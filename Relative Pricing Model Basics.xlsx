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bacin-my.sharepoint.com/personal/22b1243_iitb_ac_in/Documents/Desktop/Financial Modelling/Model/"/>
    </mc:Choice>
  </mc:AlternateContent>
  <xr:revisionPtr revIDLastSave="30" documentId="8_{54BE790B-8B3C-4EA0-869B-643C535295F5}" xr6:coauthVersionLast="47" xr6:coauthVersionMax="47" xr10:uidLastSave="{45BF29BD-4376-4868-98DA-7C9FB4C0A9EE}"/>
  <bookViews>
    <workbookView xWindow="-108" yWindow="-108" windowWidth="23256" windowHeight="12456" xr2:uid="{50AAD695-1EF0-44A6-A738-761DFB2BCA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1" l="1"/>
  <c r="O31" i="1"/>
  <c r="M31" i="1"/>
  <c r="O27" i="1"/>
  <c r="N25" i="1"/>
  <c r="M25" i="1"/>
  <c r="N28" i="1"/>
  <c r="O28" i="1"/>
  <c r="M28" i="1"/>
  <c r="N26" i="1"/>
  <c r="O26" i="1"/>
  <c r="M26" i="1"/>
  <c r="D8" i="1"/>
  <c r="D9" i="1"/>
  <c r="D10" i="1"/>
  <c r="D11" i="1"/>
  <c r="D12" i="1"/>
  <c r="D13" i="1"/>
  <c r="D14" i="1"/>
  <c r="D15" i="1"/>
  <c r="D16" i="1"/>
  <c r="D7" i="1"/>
  <c r="C8" i="1"/>
  <c r="C9" i="1"/>
  <c r="C10" i="1"/>
  <c r="C11" i="1"/>
  <c r="C12" i="1"/>
  <c r="C13" i="1"/>
  <c r="C14" i="1"/>
  <c r="C15" i="1"/>
  <c r="C16" i="1"/>
  <c r="C7" i="1"/>
  <c r="F7" i="1"/>
  <c r="I7" i="1"/>
  <c r="J7" i="1"/>
  <c r="K7" i="1"/>
  <c r="F8" i="1"/>
  <c r="F9" i="1"/>
  <c r="F10" i="1"/>
  <c r="F11" i="1"/>
  <c r="F12" i="1"/>
  <c r="F13" i="1"/>
  <c r="F14" i="1"/>
  <c r="F15" i="1"/>
  <c r="F16" i="1"/>
  <c r="K8" i="1"/>
  <c r="K9" i="1"/>
  <c r="K10" i="1"/>
  <c r="K11" i="1"/>
  <c r="K12" i="1"/>
  <c r="K13" i="1"/>
  <c r="K14" i="1"/>
  <c r="K15" i="1"/>
  <c r="K16" i="1"/>
  <c r="J8" i="1"/>
  <c r="J9" i="1"/>
  <c r="J10" i="1"/>
  <c r="J11" i="1"/>
  <c r="J12" i="1"/>
  <c r="J13" i="1"/>
  <c r="J14" i="1"/>
  <c r="J15" i="1"/>
  <c r="J16" i="1"/>
  <c r="I8" i="1"/>
  <c r="I9" i="1"/>
  <c r="I10" i="1"/>
  <c r="I11" i="1"/>
  <c r="I12" i="1"/>
  <c r="I13" i="1"/>
  <c r="I14" i="1"/>
  <c r="I15" i="1"/>
  <c r="I16" i="1"/>
  <c r="E7" i="1" l="1"/>
  <c r="E8" i="1"/>
  <c r="E9" i="1"/>
  <c r="E10" i="1"/>
  <c r="E11" i="1"/>
  <c r="E12" i="1"/>
  <c r="E13" i="1"/>
  <c r="E14" i="1"/>
  <c r="E15" i="1"/>
  <c r="E16" i="1"/>
  <c r="G7" i="1" l="1"/>
  <c r="O7" i="1"/>
  <c r="G8" i="1"/>
  <c r="O8" i="1"/>
  <c r="G9" i="1"/>
  <c r="O9" i="1"/>
  <c r="G10" i="1"/>
  <c r="O10" i="1"/>
  <c r="G11" i="1"/>
  <c r="O11" i="1"/>
  <c r="G12" i="1"/>
  <c r="O12" i="1"/>
  <c r="G13" i="1"/>
  <c r="O13" i="1"/>
  <c r="G14" i="1"/>
  <c r="O14" i="1"/>
  <c r="G15" i="1"/>
  <c r="O15" i="1"/>
  <c r="G16" i="1"/>
  <c r="O16" i="1"/>
  <c r="M7" i="1" l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O18" i="1"/>
  <c r="O19" i="1"/>
  <c r="O20" i="1"/>
  <c r="O21" i="1"/>
  <c r="O22" i="1"/>
  <c r="M18" i="1" l="1"/>
  <c r="M22" i="1"/>
  <c r="M19" i="1"/>
  <c r="M20" i="1"/>
  <c r="M27" i="1" s="1"/>
  <c r="M29" i="1" s="1"/>
  <c r="M21" i="1"/>
  <c r="N22" i="1"/>
  <c r="N21" i="1"/>
  <c r="N18" i="1"/>
  <c r="N19" i="1"/>
  <c r="N20" i="1"/>
  <c r="N27" i="1" s="1"/>
  <c r="N29" i="1" s="1"/>
  <c r="O25" i="1" l="1"/>
  <c r="O29" i="1"/>
</calcChain>
</file>

<file path=xl/sharedStrings.xml><?xml version="1.0" encoding="utf-8"?>
<sst xmlns="http://schemas.openxmlformats.org/spreadsheetml/2006/main" count="67" uniqueCount="51">
  <si>
    <t xml:space="preserve">Comparable Company Valuation </t>
  </si>
  <si>
    <t xml:space="preserve">Company </t>
  </si>
  <si>
    <t xml:space="preserve">Share </t>
  </si>
  <si>
    <t xml:space="preserve">Price </t>
  </si>
  <si>
    <t xml:space="preserve">Outstanding </t>
  </si>
  <si>
    <t xml:space="preserve">Equity </t>
  </si>
  <si>
    <t xml:space="preserve">Value </t>
  </si>
  <si>
    <t xml:space="preserve">Enterprise </t>
  </si>
  <si>
    <t xml:space="preserve">Market Data </t>
  </si>
  <si>
    <t xml:space="preserve">Revenue </t>
  </si>
  <si>
    <t>EBITDA</t>
  </si>
  <si>
    <t xml:space="preserve">Net Income </t>
  </si>
  <si>
    <t xml:space="preserve">Financials </t>
  </si>
  <si>
    <t>Valuation</t>
  </si>
  <si>
    <t>EV/Revenue</t>
  </si>
  <si>
    <t>EV/EBITDA</t>
  </si>
  <si>
    <t>P/E</t>
  </si>
  <si>
    <t>S.No.</t>
  </si>
  <si>
    <t>Name</t>
  </si>
  <si>
    <t>CMP Rs.</t>
  </si>
  <si>
    <t>Sales Rs.Cr.</t>
  </si>
  <si>
    <t>Debt Rs.Cr.</t>
  </si>
  <si>
    <t>No. Eq. Shares Cr.</t>
  </si>
  <si>
    <t>Cash End Rs.Cr.</t>
  </si>
  <si>
    <t>EV Rs.Cr.</t>
  </si>
  <si>
    <t>EBIT 12M Rs.Cr.</t>
  </si>
  <si>
    <t>Dep 12M Rs.Cr.</t>
  </si>
  <si>
    <t>NP 12M Rs.Cr.</t>
  </si>
  <si>
    <t xml:space="preserve">Mar Cap Rs.Cr. </t>
  </si>
  <si>
    <t xml:space="preserve">Net Debt </t>
  </si>
  <si>
    <t xml:space="preserve">High </t>
  </si>
  <si>
    <t xml:space="preserve">Average </t>
  </si>
  <si>
    <t>Median</t>
  </si>
  <si>
    <t xml:space="preserve">25th percentile </t>
  </si>
  <si>
    <t xml:space="preserve">75th percentile </t>
  </si>
  <si>
    <t xml:space="preserve">Implied Enterprise Value </t>
  </si>
  <si>
    <t xml:space="preserve">Implied Market Value </t>
  </si>
  <si>
    <t xml:space="preserve">Shares Outstanding </t>
  </si>
  <si>
    <t xml:space="preserve">Implied value per share </t>
  </si>
  <si>
    <t>(in crores)</t>
  </si>
  <si>
    <t>Hind. Unilever</t>
  </si>
  <si>
    <t>ITC</t>
  </si>
  <si>
    <t>Nestle India</t>
  </si>
  <si>
    <t>Varun Beverages</t>
  </si>
  <si>
    <t>Britannia Inds.</t>
  </si>
  <si>
    <t>Tata Consumer</t>
  </si>
  <si>
    <t>Marico</t>
  </si>
  <si>
    <t>Godrej Consumer</t>
  </si>
  <si>
    <t>United Spirits</t>
  </si>
  <si>
    <t>Dabur India</t>
  </si>
  <si>
    <t xml:space="preserve">ITC Comparable 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</si>
</sst>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x&quot;"/>
  </numFmts>
  <fonts count="6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2060"/>
      <name val="Calibri"/>
      <family val="2"/>
    </font>
    <font>
      <b/>
      <sz val="14"/>
      <color rgb="FF002060"/>
      <name val="Calibri"/>
      <family val="2"/>
    </font>
    <font>
      <i/>
      <sz val="11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3" fillId="3" borderId="1" xfId="0" applyFont="1" applyFill="1" applyBorder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0" borderId="0" xfId="0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0" fontId="0" fillId="4" borderId="2" xfId="0" applyFill="1" applyBorder="1"/>
    <xf numFmtId="164" fontId="0" fillId="4" borderId="2" xfId="0" applyNumberFormat="1" applyFill="1" applyBorder="1"/>
    <xf numFmtId="165" fontId="2" fillId="4" borderId="0" xfId="0" applyNumberFormat="1" applyFont="1" applyFill="1"/>
    <xf numFmtId="0" fontId="2" fillId="4" borderId="0" xfId="0" applyFont="1" applyFill="1"/>
    <xf numFmtId="0" fontId="1" fillId="2" borderId="0" xfId="0" applyFont="1" applyFill="1" applyAlignment="1">
      <alignment horizontal="center"/>
    </xf>
    <xf numFmtId="164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165" fontId="0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336D-59FE-4FE1-8CD8-F2F0A25783C8}">
  <dimension ref="B2:O31"/>
  <sheetViews>
    <sheetView tabSelected="1" zoomScale="85" workbookViewId="0">
      <selection activeCell="S23" sqref="S23"/>
    </sheetView>
  </sheetViews>
  <sheetFormatPr defaultRowHeight="14.4" x14ac:dyDescent="0.3"/>
  <cols>
    <col min="1" max="1" width="1.88671875" customWidth="1"/>
    <col min="2" max="2" width="37.5546875" bestFit="1" customWidth="1"/>
    <col min="3" max="3" width="10.109375" bestFit="1" customWidth="1"/>
    <col min="4" max="4" width="12.109375" bestFit="1" customWidth="1"/>
    <col min="5" max="5" width="9.109375" bestFit="1" customWidth="1"/>
    <col min="6" max="6" width="9.33203125" bestFit="1" customWidth="1"/>
    <col min="7" max="7" width="10.44140625" bestFit="1" customWidth="1"/>
    <col min="8" max="8" width="1.88671875" customWidth="1"/>
    <col min="9" max="9" width="9" bestFit="1" customWidth="1"/>
    <col min="10" max="10" width="8.109375" bestFit="1" customWidth="1"/>
    <col min="11" max="11" width="11.44140625" bestFit="1" customWidth="1"/>
    <col min="12" max="12" width="1.88671875" customWidth="1"/>
    <col min="13" max="13" width="11.6640625" bestFit="1" customWidth="1"/>
    <col min="14" max="15" width="11.77734375" bestFit="1" customWidth="1"/>
  </cols>
  <sheetData>
    <row r="2" spans="2:15" ht="18.600000000000001" thickBot="1" x14ac:dyDescent="0.4">
      <c r="B2" s="8" t="s">
        <v>0</v>
      </c>
      <c r="C2" s="9" t="s">
        <v>39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2:15" x14ac:dyDescent="0.3">
      <c r="B4" s="1"/>
      <c r="C4" s="14" t="s">
        <v>8</v>
      </c>
      <c r="D4" s="14"/>
      <c r="E4" s="14"/>
      <c r="F4" s="14"/>
      <c r="G4" s="14"/>
      <c r="H4" s="1"/>
      <c r="I4" s="14" t="s">
        <v>12</v>
      </c>
      <c r="J4" s="14"/>
      <c r="K4" s="14"/>
      <c r="L4" s="1"/>
      <c r="M4" s="14" t="s">
        <v>13</v>
      </c>
      <c r="N4" s="14"/>
      <c r="O4" s="14"/>
    </row>
    <row r="5" spans="2:15" x14ac:dyDescent="0.3">
      <c r="B5" s="1"/>
      <c r="C5" s="1" t="s">
        <v>2</v>
      </c>
      <c r="D5" s="1" t="s">
        <v>2</v>
      </c>
      <c r="E5" s="1" t="s">
        <v>5</v>
      </c>
      <c r="F5" s="1"/>
      <c r="G5" s="1" t="s">
        <v>7</v>
      </c>
      <c r="H5" s="1"/>
      <c r="I5" s="1"/>
      <c r="J5" s="1"/>
      <c r="K5" s="1"/>
      <c r="L5" s="1"/>
      <c r="M5" s="1"/>
      <c r="N5" s="1"/>
      <c r="O5" s="1"/>
    </row>
    <row r="6" spans="2:15" x14ac:dyDescent="0.3">
      <c r="B6" s="1" t="s">
        <v>1</v>
      </c>
      <c r="C6" s="1" t="s">
        <v>3</v>
      </c>
      <c r="D6" s="1" t="s">
        <v>4</v>
      </c>
      <c r="E6" s="1" t="s">
        <v>6</v>
      </c>
      <c r="F6" s="1" t="s">
        <v>29</v>
      </c>
      <c r="G6" s="1" t="s">
        <v>6</v>
      </c>
      <c r="H6" s="1"/>
      <c r="I6" s="1" t="s">
        <v>9</v>
      </c>
      <c r="J6" s="1" t="s">
        <v>10</v>
      </c>
      <c r="K6" s="1" t="s">
        <v>11</v>
      </c>
      <c r="L6" s="1"/>
      <c r="M6" s="1" t="s">
        <v>14</v>
      </c>
      <c r="N6" s="1" t="s">
        <v>15</v>
      </c>
      <c r="O6" s="1" t="s">
        <v>16</v>
      </c>
    </row>
    <row r="7" spans="2:15" x14ac:dyDescent="0.3">
      <c r="B7" t="s">
        <v>40</v>
      </c>
      <c r="C7" s="15">
        <f>Sheet2!D3</f>
        <v>2194.6</v>
      </c>
      <c r="D7" s="15">
        <f>Sheet2!G3</f>
        <v>234.96</v>
      </c>
      <c r="E7" s="15">
        <f>D7*C7</f>
        <v>515643.21600000001</v>
      </c>
      <c r="F7" s="15">
        <f>Sheet2!F3-Sheet2!H3</f>
        <v>-1770</v>
      </c>
      <c r="G7" s="15">
        <f>E7+F7</f>
        <v>513873.21600000001</v>
      </c>
      <c r="H7" s="15"/>
      <c r="I7" s="15">
        <f>Sheet2!E3</f>
        <v>64468</v>
      </c>
      <c r="J7" s="15">
        <f>Sheet2!J3+Sheet2!K3</f>
        <v>15790</v>
      </c>
      <c r="K7" s="15">
        <f>Sheet2!L3</f>
        <v>15059</v>
      </c>
      <c r="L7" s="16"/>
      <c r="M7" s="17">
        <f>G7/I7</f>
        <v>7.9709811999751814</v>
      </c>
      <c r="N7" s="17">
        <f>G7/J7</f>
        <v>32.544218872704242</v>
      </c>
      <c r="O7" s="17">
        <f>E7/K7</f>
        <v>34.241531044558073</v>
      </c>
    </row>
    <row r="8" spans="2:15" x14ac:dyDescent="0.3">
      <c r="B8" s="4" t="s">
        <v>41</v>
      </c>
      <c r="C8" s="5">
        <f>Sheet2!D4</f>
        <v>292.5</v>
      </c>
      <c r="D8" s="5">
        <f>Sheet2!G4</f>
        <v>1252.95</v>
      </c>
      <c r="E8" s="5">
        <f t="shared" ref="E8:E16" si="0">D8*C8</f>
        <v>366487.875</v>
      </c>
      <c r="F8" s="5">
        <f>Sheet2!F4-Sheet2!H4</f>
        <v>-609.73</v>
      </c>
      <c r="G8" s="5">
        <f t="shared" ref="G8:G16" si="1">E8+F8</f>
        <v>365878.14500000002</v>
      </c>
      <c r="H8" s="5"/>
      <c r="I8" s="5">
        <f>Sheet2!E4</f>
        <v>78868.399999999994</v>
      </c>
      <c r="J8" s="5">
        <f>Sheet2!J4+Sheet2!K4</f>
        <v>30120.789999999997</v>
      </c>
      <c r="K8" s="5">
        <f>Sheet2!L4</f>
        <v>21018.15</v>
      </c>
      <c r="L8" s="4"/>
      <c r="M8" s="6">
        <f t="shared" ref="M8:M16" si="2">G8/I8</f>
        <v>4.6390968372630867</v>
      </c>
      <c r="N8" s="6">
        <f t="shared" ref="N8:N16" si="3">G8/J8</f>
        <v>12.147030174175381</v>
      </c>
      <c r="O8" s="6">
        <f t="shared" ref="O8:O16" si="4">E8/K8</f>
        <v>17.436733251975078</v>
      </c>
    </row>
    <row r="9" spans="2:15" x14ac:dyDescent="0.3">
      <c r="B9" t="s">
        <v>42</v>
      </c>
      <c r="C9" s="15">
        <f>Sheet2!D5</f>
        <v>1414.8</v>
      </c>
      <c r="D9" s="15">
        <f>Sheet2!G5</f>
        <v>192.83</v>
      </c>
      <c r="E9" s="15">
        <f t="shared" si="0"/>
        <v>272815.88400000002</v>
      </c>
      <c r="F9" s="15">
        <f>Sheet2!F5-Sheet2!H5</f>
        <v>-896.70999999999981</v>
      </c>
      <c r="G9" s="15">
        <f t="shared" si="1"/>
        <v>271919.174</v>
      </c>
      <c r="H9" s="15"/>
      <c r="I9" s="15">
        <f>Sheet2!E5</f>
        <v>23154.6</v>
      </c>
      <c r="J9" s="15">
        <f>Sheet2!J5+Sheet2!K5</f>
        <v>5342.42</v>
      </c>
      <c r="K9" s="15">
        <f>Sheet2!L5</f>
        <v>3544.6</v>
      </c>
      <c r="L9" s="16"/>
      <c r="M9" s="17">
        <f t="shared" si="2"/>
        <v>11.74363513081634</v>
      </c>
      <c r="N9" s="17">
        <f t="shared" si="3"/>
        <v>50.898127440373464</v>
      </c>
      <c r="O9" s="17">
        <f t="shared" si="4"/>
        <v>76.966620775263792</v>
      </c>
    </row>
    <row r="10" spans="2:15" x14ac:dyDescent="0.3">
      <c r="B10" t="s">
        <v>43</v>
      </c>
      <c r="C10" s="15">
        <f>Sheet2!D6</f>
        <v>529.5</v>
      </c>
      <c r="D10" s="15">
        <f>Sheet2!G6</f>
        <v>338.23</v>
      </c>
      <c r="E10" s="15">
        <f t="shared" si="0"/>
        <v>179092.785</v>
      </c>
      <c r="F10" s="15">
        <f>Sheet2!F6-Sheet2!H6</f>
        <v>509.68999999999983</v>
      </c>
      <c r="G10" s="15">
        <f t="shared" si="1"/>
        <v>179602.47500000001</v>
      </c>
      <c r="H10" s="15"/>
      <c r="I10" s="15">
        <f>Sheet2!E6</f>
        <v>22692.63</v>
      </c>
      <c r="J10" s="15">
        <f>Sheet2!J6+Sheet2!K6</f>
        <v>5672.75</v>
      </c>
      <c r="K10" s="15">
        <f>Sheet2!L6</f>
        <v>3209.4</v>
      </c>
      <c r="L10" s="16"/>
      <c r="M10" s="17">
        <f t="shared" si="2"/>
        <v>7.9145729252184518</v>
      </c>
      <c r="N10" s="17">
        <f t="shared" si="3"/>
        <v>31.660565863117537</v>
      </c>
      <c r="O10" s="17">
        <f t="shared" si="4"/>
        <v>55.802575247709854</v>
      </c>
    </row>
    <row r="11" spans="2:15" x14ac:dyDescent="0.3">
      <c r="B11" t="s">
        <v>44</v>
      </c>
      <c r="C11" s="15">
        <f>Sheet2!D7</f>
        <v>5195</v>
      </c>
      <c r="D11" s="15">
        <f>Sheet2!G7</f>
        <v>24.09</v>
      </c>
      <c r="E11" s="15">
        <f t="shared" si="0"/>
        <v>125147.55</v>
      </c>
      <c r="F11" s="15">
        <f>Sheet2!F7-Sheet2!H7</f>
        <v>1027.8399999999999</v>
      </c>
      <c r="G11" s="15">
        <f t="shared" si="1"/>
        <v>126175.39</v>
      </c>
      <c r="H11" s="15"/>
      <c r="I11" s="15">
        <f>Sheet2!E7</f>
        <v>19151.59</v>
      </c>
      <c r="J11" s="15">
        <f>Sheet2!J7+Sheet2!K7</f>
        <v>3738.37</v>
      </c>
      <c r="K11" s="15">
        <f>Sheet2!L7</f>
        <v>2537.0100000000002</v>
      </c>
      <c r="L11" s="16"/>
      <c r="M11" s="17">
        <f t="shared" si="2"/>
        <v>6.5882461978352707</v>
      </c>
      <c r="N11" s="17">
        <f t="shared" si="3"/>
        <v>33.751445148554048</v>
      </c>
      <c r="O11" s="17">
        <f t="shared" si="4"/>
        <v>49.328757080184936</v>
      </c>
    </row>
    <row r="12" spans="2:15" x14ac:dyDescent="0.3">
      <c r="B12" t="s">
        <v>45</v>
      </c>
      <c r="C12" s="15">
        <f>Sheet2!D8</f>
        <v>1111.5</v>
      </c>
      <c r="D12" s="15">
        <f>Sheet2!G8</f>
        <v>98.96</v>
      </c>
      <c r="E12" s="15">
        <f t="shared" si="0"/>
        <v>109994.04</v>
      </c>
      <c r="F12" s="15">
        <f>Sheet2!F8-Sheet2!H8</f>
        <v>-600.97999999999956</v>
      </c>
      <c r="G12" s="15">
        <f t="shared" si="1"/>
        <v>109393.06</v>
      </c>
      <c r="H12" s="15"/>
      <c r="I12" s="15">
        <f>Sheet2!E8</f>
        <v>20290.43</v>
      </c>
      <c r="J12" s="15">
        <f>Sheet2!J8+Sheet2!K8</f>
        <v>2928</v>
      </c>
      <c r="K12" s="15">
        <f>Sheet2!L8</f>
        <v>1546.8</v>
      </c>
      <c r="L12" s="16"/>
      <c r="M12" s="17">
        <f t="shared" si="2"/>
        <v>5.3913623318973523</v>
      </c>
      <c r="N12" s="17">
        <f t="shared" si="3"/>
        <v>37.361017759562841</v>
      </c>
      <c r="O12" s="17">
        <f t="shared" si="4"/>
        <v>71.110705973622956</v>
      </c>
    </row>
    <row r="13" spans="2:15" x14ac:dyDescent="0.3">
      <c r="B13" t="s">
        <v>46</v>
      </c>
      <c r="C13" s="15">
        <f>Sheet2!D9</f>
        <v>817.05</v>
      </c>
      <c r="D13" s="15">
        <f>Sheet2!G9</f>
        <v>129.84</v>
      </c>
      <c r="E13" s="15">
        <f t="shared" si="0"/>
        <v>106085.772</v>
      </c>
      <c r="F13" s="15">
        <f>Sheet2!F9-Sheet2!H9</f>
        <v>64</v>
      </c>
      <c r="G13" s="15">
        <f t="shared" si="1"/>
        <v>106149.772</v>
      </c>
      <c r="H13" s="15"/>
      <c r="I13" s="15">
        <f>Sheet2!E9</f>
        <v>13611</v>
      </c>
      <c r="J13" s="15">
        <f>Sheet2!J9+Sheet2!K9</f>
        <v>2532</v>
      </c>
      <c r="K13" s="15">
        <f>Sheet2!L9</f>
        <v>1813</v>
      </c>
      <c r="L13" s="16"/>
      <c r="M13" s="17">
        <f t="shared" si="2"/>
        <v>7.7988224230401881</v>
      </c>
      <c r="N13" s="17">
        <f t="shared" si="3"/>
        <v>41.923290679304898</v>
      </c>
      <c r="O13" s="17">
        <f t="shared" si="4"/>
        <v>58.513939327082184</v>
      </c>
    </row>
    <row r="14" spans="2:15" x14ac:dyDescent="0.3">
      <c r="B14" t="s">
        <v>47</v>
      </c>
      <c r="C14" s="15">
        <f>Sheet2!D10</f>
        <v>1000.6</v>
      </c>
      <c r="D14" s="15">
        <f>Sheet2!G10</f>
        <v>102.32</v>
      </c>
      <c r="E14" s="15">
        <f t="shared" si="0"/>
        <v>102381.39199999999</v>
      </c>
      <c r="F14" s="15">
        <f>Sheet2!F10-Sheet2!H10</f>
        <v>3410.4000000000005</v>
      </c>
      <c r="G14" s="15">
        <f t="shared" si="1"/>
        <v>105791.79199999999</v>
      </c>
      <c r="H14" s="15"/>
      <c r="I14" s="15">
        <f>Sheet2!E10</f>
        <v>15177.9</v>
      </c>
      <c r="J14" s="15">
        <f>Sheet2!J10+Sheet2!K10</f>
        <v>3422.41</v>
      </c>
      <c r="K14" s="15">
        <f>Sheet2!L10</f>
        <v>1861.47</v>
      </c>
      <c r="L14" s="16"/>
      <c r="M14" s="17">
        <f t="shared" si="2"/>
        <v>6.9701205041540657</v>
      </c>
      <c r="N14" s="17">
        <f t="shared" si="3"/>
        <v>30.911489856563062</v>
      </c>
      <c r="O14" s="17">
        <f t="shared" si="4"/>
        <v>55.000291167733025</v>
      </c>
    </row>
    <row r="15" spans="2:15" x14ac:dyDescent="0.3">
      <c r="B15" t="s">
        <v>48</v>
      </c>
      <c r="C15" s="15">
        <f>Sheet2!D11</f>
        <v>1320.5</v>
      </c>
      <c r="D15" s="15">
        <f>Sheet2!G11</f>
        <v>72.739999999999995</v>
      </c>
      <c r="E15" s="15">
        <f t="shared" si="0"/>
        <v>96053.17</v>
      </c>
      <c r="F15" s="15">
        <f>Sheet2!F11-Sheet2!H11</f>
        <v>-1564</v>
      </c>
      <c r="G15" s="15">
        <f t="shared" si="1"/>
        <v>94489.17</v>
      </c>
      <c r="H15" s="15"/>
      <c r="I15" s="15">
        <f>Sheet2!E11</f>
        <v>12467</v>
      </c>
      <c r="J15" s="15">
        <f>Sheet2!J11+Sheet2!K11</f>
        <v>2757</v>
      </c>
      <c r="K15" s="15">
        <f>Sheet2!L11</f>
        <v>1838</v>
      </c>
      <c r="L15" s="16"/>
      <c r="M15" s="17">
        <f t="shared" si="2"/>
        <v>7.5791425362958211</v>
      </c>
      <c r="N15" s="17">
        <f t="shared" si="3"/>
        <v>34.272459194776928</v>
      </c>
      <c r="O15" s="17">
        <f t="shared" si="4"/>
        <v>52.259613710554952</v>
      </c>
    </row>
    <row r="16" spans="2:15" x14ac:dyDescent="0.3">
      <c r="B16" t="s">
        <v>49</v>
      </c>
      <c r="C16" s="15">
        <f>Sheet2!D12</f>
        <v>423.5</v>
      </c>
      <c r="D16" s="15">
        <f>Sheet2!G12</f>
        <v>177.4</v>
      </c>
      <c r="E16" s="15">
        <f t="shared" si="0"/>
        <v>75128.900000000009</v>
      </c>
      <c r="F16" s="15">
        <f>Sheet2!F12-Sheet2!H12</f>
        <v>725.24999999999989</v>
      </c>
      <c r="G16" s="15">
        <f t="shared" si="1"/>
        <v>75854.150000000009</v>
      </c>
      <c r="H16" s="15"/>
      <c r="I16" s="15">
        <f>Sheet2!E12</f>
        <v>13192.57</v>
      </c>
      <c r="J16" s="15">
        <f>Sheet2!J12+Sheet2!K12</f>
        <v>3049.81</v>
      </c>
      <c r="K16" s="15">
        <f>Sheet2!L12</f>
        <v>1868.69</v>
      </c>
      <c r="L16" s="16"/>
      <c r="M16" s="17">
        <f t="shared" si="2"/>
        <v>5.7497629347428143</v>
      </c>
      <c r="N16" s="17">
        <f t="shared" si="3"/>
        <v>24.87176250323791</v>
      </c>
      <c r="O16" s="17">
        <f t="shared" si="4"/>
        <v>40.204046685110967</v>
      </c>
    </row>
    <row r="18" spans="2:15" x14ac:dyDescent="0.3">
      <c r="B18" s="4" t="s">
        <v>30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6">
        <f>MAX(M7:M16)</f>
        <v>11.74363513081634</v>
      </c>
      <c r="N18" s="6">
        <f t="shared" ref="N18:O18" si="5">MAX(N7:N16)</f>
        <v>50.898127440373464</v>
      </c>
      <c r="O18" s="6">
        <f t="shared" si="5"/>
        <v>76.966620775263792</v>
      </c>
    </row>
    <row r="19" spans="2:15" x14ac:dyDescent="0.3">
      <c r="B19" s="4" t="s">
        <v>34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18">
        <f>QUARTILE(M7:M16,3)</f>
        <v>7.8856352996738863</v>
      </c>
      <c r="N19" s="18">
        <f t="shared" ref="N19:O19" si="6">QUARTILE(N7:N16,3)</f>
        <v>36.588878118366367</v>
      </c>
      <c r="O19" s="18">
        <f t="shared" si="6"/>
        <v>57.836098307239098</v>
      </c>
    </row>
    <row r="20" spans="2:15" x14ac:dyDescent="0.3">
      <c r="B20" s="13" t="s">
        <v>31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2">
        <f>AVERAGE(M7:M16)</f>
        <v>7.2345743021238578</v>
      </c>
      <c r="N20" s="12">
        <f t="shared" ref="N20:O20" si="7">AVERAGE(N7:N16)</f>
        <v>33.034140749237025</v>
      </c>
      <c r="O20" s="12">
        <f t="shared" si="7"/>
        <v>51.086481426379578</v>
      </c>
    </row>
    <row r="21" spans="2:15" x14ac:dyDescent="0.3">
      <c r="B21" s="13" t="s">
        <v>32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12">
        <f>MEDIAN(M7:M16)</f>
        <v>7.2746315202249434</v>
      </c>
      <c r="N21" s="12">
        <f t="shared" ref="N21:O21" si="8">MEDIAN(N7:N16)</f>
        <v>33.147832010629145</v>
      </c>
      <c r="O21" s="12">
        <f t="shared" si="8"/>
        <v>53.629952439143992</v>
      </c>
    </row>
    <row r="22" spans="2:15" x14ac:dyDescent="0.3">
      <c r="B22" s="4" t="s">
        <v>33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6">
        <f>QUARTILE(M7:M16,1)</f>
        <v>5.9593837505159284</v>
      </c>
      <c r="N22" s="6">
        <f t="shared" ref="N22:O22" si="9">QUARTILE(N7:N16,1)</f>
        <v>31.098758858201681</v>
      </c>
      <c r="O22" s="6">
        <f t="shared" si="9"/>
        <v>42.485224283879461</v>
      </c>
    </row>
    <row r="24" spans="2:15" x14ac:dyDescent="0.3">
      <c r="B24" s="1" t="s">
        <v>50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 t="s">
        <v>14</v>
      </c>
      <c r="N24" s="1" t="s">
        <v>15</v>
      </c>
      <c r="O24" s="1" t="s">
        <v>16</v>
      </c>
    </row>
    <row r="25" spans="2:15" x14ac:dyDescent="0.3">
      <c r="B25" t="s">
        <v>35</v>
      </c>
      <c r="M25" s="3">
        <f>M21*I8</f>
        <v>573738.54858970887</v>
      </c>
      <c r="N25" s="3">
        <f>N21*J8</f>
        <v>998438.88694743812</v>
      </c>
      <c r="O25" s="3">
        <f>O27+O26</f>
        <v>1126592.6548587943</v>
      </c>
    </row>
    <row r="26" spans="2:15" x14ac:dyDescent="0.3">
      <c r="B26" t="s">
        <v>29</v>
      </c>
      <c r="M26" s="3">
        <f>$F$8</f>
        <v>-609.73</v>
      </c>
      <c r="N26" s="3">
        <f t="shared" ref="N26:O26" si="10">$F$8</f>
        <v>-609.73</v>
      </c>
      <c r="O26" s="3">
        <f t="shared" si="10"/>
        <v>-609.73</v>
      </c>
    </row>
    <row r="27" spans="2:15" x14ac:dyDescent="0.3">
      <c r="B27" t="s">
        <v>36</v>
      </c>
      <c r="M27" s="3">
        <f>M25-M26</f>
        <v>574348.27858970885</v>
      </c>
      <c r="N27" s="3">
        <f t="shared" ref="N27:O27" si="11">N25-N26</f>
        <v>999048.6169474381</v>
      </c>
      <c r="O27" s="3">
        <f>O21*K8</f>
        <v>1127202.3848587943</v>
      </c>
    </row>
    <row r="28" spans="2:15" x14ac:dyDescent="0.3">
      <c r="B28" t="s">
        <v>37</v>
      </c>
      <c r="M28" s="3">
        <f>$D$8</f>
        <v>1252.95</v>
      </c>
      <c r="N28" s="3">
        <f t="shared" ref="N28:O28" si="12">$D$8</f>
        <v>1252.95</v>
      </c>
      <c r="O28" s="3">
        <f t="shared" si="12"/>
        <v>1252.95</v>
      </c>
    </row>
    <row r="29" spans="2:15" ht="15" thickBot="1" x14ac:dyDescent="0.35">
      <c r="B29" s="10" t="s">
        <v>38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1">
        <f>M27/M28</f>
        <v>458.39680640864265</v>
      </c>
      <c r="N29" s="11">
        <f t="shared" ref="N29:O29" si="13">N27/N28</f>
        <v>797.35713072942895</v>
      </c>
      <c r="O29" s="11">
        <f t="shared" si="13"/>
        <v>899.63876041246203</v>
      </c>
    </row>
    <row r="30" spans="2:15" ht="6" customHeight="1" thickTop="1" x14ac:dyDescent="0.3"/>
    <row r="31" spans="2:15" x14ac:dyDescent="0.3">
      <c r="M31" s="7" t="str">
        <f>IF($C$8&gt;M29,"Overvalued","Undervalued")</f>
        <v>Undervalued</v>
      </c>
      <c r="N31" s="7" t="str">
        <f t="shared" ref="N31:O31" si="14">IF($C$8&gt;N29,"Overvalued","Undervalued")</f>
        <v>Undervalued</v>
      </c>
      <c r="O31" s="7" t="str">
        <f t="shared" si="14"/>
        <v>Undervalued</v>
      </c>
    </row>
  </sheetData>
  <mergeCells count="3">
    <mergeCell ref="C4:G4"/>
    <mergeCell ref="I4:K4"/>
    <mergeCell ref="M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C329-8B4F-4FC7-BD5F-1C728A5285B6}">
  <dimension ref="B2:M12"/>
  <sheetViews>
    <sheetView workbookViewId="0">
      <selection activeCell="H3" sqref="H3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6.21875" bestFit="1" customWidth="1"/>
    <col min="4" max="4" width="7.6640625" bestFit="1" customWidth="1"/>
    <col min="5" max="5" width="10.33203125" bestFit="1" customWidth="1"/>
    <col min="6" max="6" width="10.109375" bestFit="1" customWidth="1"/>
    <col min="7" max="7" width="15.6640625" bestFit="1" customWidth="1"/>
    <col min="8" max="8" width="13.6640625" bestFit="1" customWidth="1"/>
    <col min="9" max="9" width="10" bestFit="1" customWidth="1"/>
    <col min="10" max="10" width="14.109375" bestFit="1" customWidth="1"/>
    <col min="11" max="11" width="13.6640625" bestFit="1" customWidth="1"/>
    <col min="12" max="12" width="12.6640625" bestFit="1" customWidth="1"/>
    <col min="13" max="13" width="13.6640625" bestFit="1" customWidth="1"/>
  </cols>
  <sheetData>
    <row r="2" spans="2:13" x14ac:dyDescent="0.3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</row>
    <row r="3" spans="2:13" x14ac:dyDescent="0.3">
      <c r="B3">
        <v>1</v>
      </c>
      <c r="C3" t="s">
        <v>40</v>
      </c>
      <c r="D3">
        <v>2194.6</v>
      </c>
      <c r="E3">
        <v>64468</v>
      </c>
      <c r="F3">
        <v>1478</v>
      </c>
      <c r="G3">
        <v>234.96</v>
      </c>
      <c r="H3">
        <v>3248</v>
      </c>
      <c r="I3">
        <v>513871.3</v>
      </c>
      <c r="J3">
        <v>14457</v>
      </c>
      <c r="K3">
        <v>1333</v>
      </c>
      <c r="L3">
        <v>15059</v>
      </c>
      <c r="M3">
        <v>515641.3</v>
      </c>
    </row>
    <row r="4" spans="2:13" x14ac:dyDescent="0.3">
      <c r="B4">
        <v>2</v>
      </c>
      <c r="C4" t="s">
        <v>41</v>
      </c>
      <c r="D4">
        <v>292.5</v>
      </c>
      <c r="E4">
        <v>78868.399999999994</v>
      </c>
      <c r="F4">
        <v>2399.06</v>
      </c>
      <c r="G4">
        <v>1252.95</v>
      </c>
      <c r="H4">
        <v>3008.79</v>
      </c>
      <c r="I4">
        <v>365877.22</v>
      </c>
      <c r="J4">
        <v>28410.26</v>
      </c>
      <c r="K4">
        <v>1710.53</v>
      </c>
      <c r="L4">
        <v>21018.15</v>
      </c>
      <c r="M4">
        <v>366486.95</v>
      </c>
    </row>
    <row r="5" spans="2:13" x14ac:dyDescent="0.3">
      <c r="B5">
        <v>3</v>
      </c>
      <c r="C5" t="s">
        <v>42</v>
      </c>
      <c r="D5">
        <v>1414.8</v>
      </c>
      <c r="E5">
        <v>23154.6</v>
      </c>
      <c r="F5">
        <v>444.16</v>
      </c>
      <c r="G5">
        <v>192.83</v>
      </c>
      <c r="H5">
        <v>1340.87</v>
      </c>
      <c r="I5">
        <v>271921.2</v>
      </c>
      <c r="J5">
        <v>4643.1899999999996</v>
      </c>
      <c r="K5">
        <v>699.23</v>
      </c>
      <c r="L5">
        <v>3544.6</v>
      </c>
      <c r="M5">
        <v>272817.90999999997</v>
      </c>
    </row>
    <row r="6" spans="2:13" x14ac:dyDescent="0.3">
      <c r="B6">
        <v>4</v>
      </c>
      <c r="C6" t="s">
        <v>43</v>
      </c>
      <c r="D6">
        <v>529.5</v>
      </c>
      <c r="E6">
        <v>22692.63</v>
      </c>
      <c r="F6">
        <v>2508.1799999999998</v>
      </c>
      <c r="G6">
        <v>338.23</v>
      </c>
      <c r="H6">
        <v>1998.49</v>
      </c>
      <c r="I6">
        <v>179602.27</v>
      </c>
      <c r="J6">
        <v>4372.01</v>
      </c>
      <c r="K6">
        <v>1300.74</v>
      </c>
      <c r="L6">
        <v>3209.4</v>
      </c>
      <c r="M6">
        <v>179092.58</v>
      </c>
    </row>
    <row r="7" spans="2:13" x14ac:dyDescent="0.3">
      <c r="B7">
        <v>5</v>
      </c>
      <c r="C7" t="s">
        <v>44</v>
      </c>
      <c r="D7">
        <v>5195</v>
      </c>
      <c r="E7">
        <v>19151.59</v>
      </c>
      <c r="F7">
        <v>1380.28</v>
      </c>
      <c r="G7">
        <v>24.09</v>
      </c>
      <c r="H7">
        <v>352.44</v>
      </c>
      <c r="I7">
        <v>126158.92</v>
      </c>
      <c r="J7">
        <v>3401.54</v>
      </c>
      <c r="K7">
        <v>336.83</v>
      </c>
      <c r="L7">
        <v>2537.0100000000002</v>
      </c>
      <c r="M7">
        <v>125131.08</v>
      </c>
    </row>
    <row r="8" spans="2:13" x14ac:dyDescent="0.3">
      <c r="B8">
        <v>6</v>
      </c>
      <c r="C8" t="s">
        <v>45</v>
      </c>
      <c r="D8">
        <v>1111.5</v>
      </c>
      <c r="E8">
        <v>20290.43</v>
      </c>
      <c r="F8">
        <v>2819.51</v>
      </c>
      <c r="G8">
        <v>98.96</v>
      </c>
      <c r="H8">
        <v>3420.49</v>
      </c>
      <c r="I8">
        <v>109398.09</v>
      </c>
      <c r="J8">
        <v>2301.3200000000002</v>
      </c>
      <c r="K8">
        <v>626.67999999999995</v>
      </c>
      <c r="L8">
        <v>1546.8</v>
      </c>
      <c r="M8">
        <v>109999.07</v>
      </c>
    </row>
    <row r="9" spans="2:13" x14ac:dyDescent="0.3">
      <c r="B9">
        <v>7</v>
      </c>
      <c r="C9" t="s">
        <v>46</v>
      </c>
      <c r="D9">
        <v>817.05</v>
      </c>
      <c r="E9">
        <v>13611</v>
      </c>
      <c r="F9">
        <v>557</v>
      </c>
      <c r="G9">
        <v>129.84</v>
      </c>
      <c r="H9">
        <v>493</v>
      </c>
      <c r="I9">
        <v>106147.76</v>
      </c>
      <c r="J9">
        <v>2330</v>
      </c>
      <c r="K9">
        <v>202</v>
      </c>
      <c r="L9">
        <v>1813</v>
      </c>
      <c r="M9">
        <v>106083.76</v>
      </c>
    </row>
    <row r="10" spans="2:13" x14ac:dyDescent="0.3">
      <c r="B10">
        <v>8</v>
      </c>
      <c r="C10" t="s">
        <v>47</v>
      </c>
      <c r="D10">
        <v>1000.6</v>
      </c>
      <c r="E10">
        <v>15177.9</v>
      </c>
      <c r="F10">
        <v>4415.8100000000004</v>
      </c>
      <c r="G10">
        <v>102.32</v>
      </c>
      <c r="H10">
        <v>1005.41</v>
      </c>
      <c r="I10">
        <v>105796.25</v>
      </c>
      <c r="J10">
        <v>3154.88</v>
      </c>
      <c r="K10">
        <v>267.52999999999997</v>
      </c>
      <c r="L10">
        <v>1861.47</v>
      </c>
      <c r="M10">
        <v>102385.85</v>
      </c>
    </row>
    <row r="11" spans="2:13" x14ac:dyDescent="0.3">
      <c r="B11">
        <v>9</v>
      </c>
      <c r="C11" t="s">
        <v>48</v>
      </c>
      <c r="D11">
        <v>1320.5</v>
      </c>
      <c r="E11">
        <v>12467</v>
      </c>
      <c r="F11">
        <v>413</v>
      </c>
      <c r="G11">
        <v>72.739999999999995</v>
      </c>
      <c r="H11">
        <v>1977</v>
      </c>
      <c r="I11">
        <v>94482.68</v>
      </c>
      <c r="J11">
        <v>2468</v>
      </c>
      <c r="K11">
        <v>289</v>
      </c>
      <c r="L11">
        <v>1838</v>
      </c>
      <c r="M11">
        <v>96046.68</v>
      </c>
    </row>
    <row r="12" spans="2:13" x14ac:dyDescent="0.3">
      <c r="B12">
        <v>10</v>
      </c>
      <c r="C12" t="s">
        <v>49</v>
      </c>
      <c r="D12">
        <v>423.5</v>
      </c>
      <c r="E12">
        <v>13192.57</v>
      </c>
      <c r="F12">
        <v>1287.32</v>
      </c>
      <c r="G12">
        <v>177.4</v>
      </c>
      <c r="H12">
        <v>562.07000000000005</v>
      </c>
      <c r="I12">
        <v>75852.13</v>
      </c>
      <c r="J12">
        <v>2580.88</v>
      </c>
      <c r="K12">
        <v>468.93</v>
      </c>
      <c r="L12">
        <v>1868.69</v>
      </c>
      <c r="M12">
        <v>75126.880000000005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Meena</dc:creator>
  <cp:lastModifiedBy>Avinash Meena</cp:lastModifiedBy>
  <dcterms:created xsi:type="dcterms:W3CDTF">2026-06-19T17:56:59Z</dcterms:created>
  <dcterms:modified xsi:type="dcterms:W3CDTF">2026-06-20T18:38:02Z</dcterms:modified>
</cp:coreProperties>
</file>