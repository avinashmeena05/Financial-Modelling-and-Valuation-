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bacin-my.sharepoint.com/personal/22b1243_iitb_ac_in/Documents/Desktop/Financial Modelling/Model/"/>
    </mc:Choice>
  </mc:AlternateContent>
  <xr:revisionPtr revIDLastSave="605" documentId="8_{01EE4CE4-6F17-4ED6-8AF5-E4065E83EF5C}" xr6:coauthVersionLast="47" xr6:coauthVersionMax="47" xr10:uidLastSave="{DD1E360D-03F6-41EB-B39F-6CB13073684F}"/>
  <bookViews>
    <workbookView xWindow="-108" yWindow="-108" windowWidth="23256" windowHeight="12456" firstSheet="1" activeTab="7" xr2:uid="{D4886810-D9CC-4231-AA87-2302A306BB27}"/>
  </bookViews>
  <sheets>
    <sheet name="Financials&gt;" sheetId="1" r:id="rId1"/>
    <sheet name="HistoricalFS" sheetId="3" r:id="rId2"/>
    <sheet name="Data&gt;" sheetId="4" r:id="rId3"/>
    <sheet name="Data Sheet" sheetId="2" r:id="rId4"/>
    <sheet name="Cash Flow Data" sheetId="5" r:id="rId5"/>
    <sheet name="DCF Model&gt;" sheetId="6" r:id="rId6"/>
    <sheet name="Raw FS " sheetId="18" r:id="rId7"/>
    <sheet name="Beta Regression" sheetId="8" r:id="rId8"/>
    <sheet name="Rm " sheetId="14" r:id="rId9"/>
    <sheet name="Intrinsic Growth" sheetId="16" r:id="rId10"/>
    <sheet name="WACC" sheetId="7" r:id="rId11"/>
    <sheet name="DCF" sheetId="17" r:id="rId12"/>
    <sheet name="Comparable Comps " sheetId="19" r:id="rId13"/>
    <sheet name="Football Field Analysis " sheetId="21" r:id="rId14"/>
    <sheet name="Value at Risk " sheetId="22" r:id="rId15"/>
    <sheet name="Sheet5" sheetId="23" r:id="rId16"/>
  </sheets>
  <externalReferences>
    <externalReference r:id="rId17"/>
  </externalReferences>
  <definedNames>
    <definedName name="_xlnm._FilterDatabase" localSheetId="7" hidden="1">'Beta Regression'!$F$6:$G$248</definedName>
    <definedName name="_xlnm._FilterDatabase" localSheetId="14" hidden="1">'Value at Risk '!$B$2:$E$5002</definedName>
    <definedName name="_xlchart.v1.0" hidden="1">'Value at Risk '!$H$3:$H$5002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0">WACC!$R$12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8" l="1"/>
  <c r="J6" i="8" s="1"/>
  <c r="J12" i="8" s="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8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I48" i="16"/>
  <c r="H60" i="16"/>
  <c r="H50" i="16"/>
  <c r="G34" i="16"/>
  <c r="G35" i="16"/>
  <c r="K31" i="22"/>
  <c r="K30" i="22"/>
  <c r="K29" i="22"/>
  <c r="K28" i="22"/>
  <c r="L25" i="22"/>
  <c r="L4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588" i="22"/>
  <c r="H589" i="22"/>
  <c r="H590" i="22"/>
  <c r="H591" i="22"/>
  <c r="H592" i="22"/>
  <c r="H593" i="22"/>
  <c r="H594" i="22"/>
  <c r="H595" i="22"/>
  <c r="H596" i="22"/>
  <c r="H597" i="22"/>
  <c r="H598" i="22"/>
  <c r="H599" i="22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H644" i="22"/>
  <c r="H645" i="22"/>
  <c r="H646" i="22"/>
  <c r="H647" i="22"/>
  <c r="H648" i="22"/>
  <c r="H649" i="22"/>
  <c r="H650" i="22"/>
  <c r="H651" i="22"/>
  <c r="H652" i="22"/>
  <c r="H653" i="22"/>
  <c r="H654" i="22"/>
  <c r="H655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78" i="22"/>
  <c r="H879" i="22"/>
  <c r="H880" i="22"/>
  <c r="H881" i="22"/>
  <c r="H882" i="22"/>
  <c r="H883" i="22"/>
  <c r="H884" i="22"/>
  <c r="H885" i="22"/>
  <c r="H886" i="22"/>
  <c r="H887" i="22"/>
  <c r="H888" i="22"/>
  <c r="H889" i="22"/>
  <c r="H890" i="22"/>
  <c r="H891" i="22"/>
  <c r="H892" i="22"/>
  <c r="H893" i="22"/>
  <c r="H894" i="22"/>
  <c r="H895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H969" i="22"/>
  <c r="H970" i="22"/>
  <c r="H971" i="22"/>
  <c r="H972" i="22"/>
  <c r="H973" i="22"/>
  <c r="H974" i="22"/>
  <c r="H975" i="22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1046" i="22"/>
  <c r="H1047" i="22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H1060" i="22"/>
  <c r="H1061" i="22"/>
  <c r="H1062" i="22"/>
  <c r="H1063" i="22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H1124" i="22"/>
  <c r="H1125" i="22"/>
  <c r="H1126" i="22"/>
  <c r="H1127" i="22"/>
  <c r="H1128" i="22"/>
  <c r="H1129" i="22"/>
  <c r="H1130" i="22"/>
  <c r="H1131" i="22"/>
  <c r="H1132" i="22"/>
  <c r="H1133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46" i="22"/>
  <c r="H1147" i="22"/>
  <c r="H1148" i="22"/>
  <c r="H1149" i="22"/>
  <c r="H1150" i="22"/>
  <c r="H1151" i="22"/>
  <c r="H1152" i="22"/>
  <c r="H1153" i="22"/>
  <c r="H1154" i="22"/>
  <c r="H1155" i="22"/>
  <c r="H1156" i="22"/>
  <c r="H1157" i="22"/>
  <c r="H1158" i="22"/>
  <c r="H1159" i="22"/>
  <c r="H1160" i="22"/>
  <c r="H1161" i="22"/>
  <c r="H1162" i="22"/>
  <c r="H1163" i="22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H1187" i="22"/>
  <c r="H1188" i="22"/>
  <c r="H1189" i="22"/>
  <c r="H1190" i="22"/>
  <c r="H1191" i="22"/>
  <c r="H1192" i="22"/>
  <c r="H1193" i="22"/>
  <c r="H1194" i="22"/>
  <c r="H1195" i="22"/>
  <c r="H1196" i="22"/>
  <c r="H1197" i="22"/>
  <c r="H1198" i="22"/>
  <c r="H1199" i="22"/>
  <c r="H1200" i="22"/>
  <c r="H1201" i="22"/>
  <c r="H1202" i="22"/>
  <c r="H1203" i="22"/>
  <c r="H1204" i="22"/>
  <c r="H1205" i="22"/>
  <c r="H1206" i="22"/>
  <c r="H1207" i="22"/>
  <c r="H1208" i="22"/>
  <c r="H1209" i="22"/>
  <c r="H1210" i="22"/>
  <c r="H1211" i="22"/>
  <c r="H1212" i="22"/>
  <c r="H1213" i="22"/>
  <c r="H1214" i="22"/>
  <c r="H1215" i="22"/>
  <c r="H1216" i="22"/>
  <c r="H1217" i="22"/>
  <c r="H1218" i="22"/>
  <c r="H1219" i="22"/>
  <c r="H1220" i="22"/>
  <c r="H1221" i="22"/>
  <c r="H1222" i="22"/>
  <c r="H1223" i="22"/>
  <c r="H1224" i="22"/>
  <c r="H1225" i="22"/>
  <c r="H1226" i="22"/>
  <c r="H1227" i="22"/>
  <c r="H1228" i="22"/>
  <c r="H1229" i="22"/>
  <c r="H1230" i="22"/>
  <c r="H1231" i="22"/>
  <c r="H1232" i="22"/>
  <c r="H1233" i="22"/>
  <c r="H1234" i="22"/>
  <c r="H1235" i="22"/>
  <c r="H1236" i="22"/>
  <c r="H1237" i="22"/>
  <c r="H1238" i="22"/>
  <c r="H1239" i="22"/>
  <c r="H1240" i="22"/>
  <c r="H1241" i="22"/>
  <c r="H1242" i="22"/>
  <c r="H1243" i="22"/>
  <c r="H1244" i="22"/>
  <c r="H1245" i="22"/>
  <c r="H1246" i="22"/>
  <c r="H1247" i="22"/>
  <c r="H1248" i="22"/>
  <c r="H1249" i="22"/>
  <c r="H1250" i="22"/>
  <c r="H1251" i="22"/>
  <c r="H1252" i="22"/>
  <c r="H1253" i="22"/>
  <c r="H1254" i="22"/>
  <c r="H1255" i="22"/>
  <c r="H1256" i="22"/>
  <c r="H1257" i="22"/>
  <c r="H1258" i="22"/>
  <c r="H1259" i="22"/>
  <c r="H1260" i="22"/>
  <c r="H1261" i="22"/>
  <c r="H1262" i="22"/>
  <c r="H1263" i="22"/>
  <c r="H1264" i="22"/>
  <c r="H1265" i="22"/>
  <c r="H1266" i="22"/>
  <c r="H1267" i="22"/>
  <c r="H1268" i="22"/>
  <c r="H1269" i="22"/>
  <c r="H1270" i="22"/>
  <c r="H1271" i="22"/>
  <c r="H1272" i="22"/>
  <c r="H1273" i="22"/>
  <c r="H1274" i="22"/>
  <c r="H1275" i="22"/>
  <c r="H1276" i="22"/>
  <c r="H1277" i="22"/>
  <c r="H1278" i="22"/>
  <c r="H1279" i="22"/>
  <c r="H1280" i="22"/>
  <c r="H1281" i="22"/>
  <c r="H1282" i="22"/>
  <c r="H1283" i="22"/>
  <c r="H1284" i="22"/>
  <c r="H1285" i="22"/>
  <c r="H1286" i="22"/>
  <c r="H1287" i="22"/>
  <c r="H1288" i="22"/>
  <c r="H1289" i="22"/>
  <c r="H1290" i="22"/>
  <c r="H1291" i="22"/>
  <c r="H1292" i="22"/>
  <c r="H1293" i="22"/>
  <c r="H1294" i="22"/>
  <c r="H1295" i="22"/>
  <c r="H1296" i="22"/>
  <c r="H1297" i="22"/>
  <c r="H1298" i="22"/>
  <c r="H1299" i="22"/>
  <c r="H1300" i="22"/>
  <c r="H1301" i="22"/>
  <c r="H1302" i="22"/>
  <c r="H1303" i="22"/>
  <c r="H1304" i="22"/>
  <c r="H1305" i="22"/>
  <c r="H1306" i="22"/>
  <c r="H1307" i="22"/>
  <c r="H1308" i="22"/>
  <c r="H1309" i="22"/>
  <c r="H1310" i="22"/>
  <c r="H1311" i="22"/>
  <c r="H1312" i="22"/>
  <c r="H1313" i="22"/>
  <c r="H1314" i="22"/>
  <c r="H1315" i="22"/>
  <c r="H1316" i="22"/>
  <c r="H1317" i="22"/>
  <c r="H1318" i="22"/>
  <c r="H1319" i="22"/>
  <c r="H1320" i="22"/>
  <c r="H1321" i="22"/>
  <c r="H1322" i="22"/>
  <c r="H1323" i="22"/>
  <c r="H1324" i="22"/>
  <c r="H1325" i="22"/>
  <c r="H1326" i="22"/>
  <c r="H1327" i="22"/>
  <c r="H1328" i="22"/>
  <c r="H1329" i="22"/>
  <c r="H1330" i="22"/>
  <c r="H1331" i="22"/>
  <c r="H1332" i="22"/>
  <c r="H1333" i="22"/>
  <c r="H1334" i="22"/>
  <c r="H1335" i="22"/>
  <c r="H1336" i="22"/>
  <c r="H1337" i="22"/>
  <c r="H1338" i="22"/>
  <c r="H1339" i="22"/>
  <c r="H1340" i="22"/>
  <c r="H1341" i="22"/>
  <c r="H1342" i="22"/>
  <c r="H1343" i="22"/>
  <c r="H1344" i="22"/>
  <c r="H1345" i="22"/>
  <c r="H1346" i="22"/>
  <c r="H1347" i="22"/>
  <c r="H1348" i="22"/>
  <c r="H1349" i="22"/>
  <c r="H1350" i="22"/>
  <c r="H1351" i="22"/>
  <c r="H1352" i="22"/>
  <c r="H1353" i="22"/>
  <c r="H1354" i="22"/>
  <c r="H1355" i="22"/>
  <c r="H1356" i="22"/>
  <c r="H1357" i="22"/>
  <c r="H1358" i="22"/>
  <c r="H1359" i="22"/>
  <c r="H1360" i="22"/>
  <c r="H1361" i="22"/>
  <c r="H1362" i="22"/>
  <c r="H1363" i="22"/>
  <c r="H1364" i="22"/>
  <c r="H1365" i="22"/>
  <c r="H1366" i="22"/>
  <c r="H1367" i="22"/>
  <c r="H1368" i="22"/>
  <c r="H1369" i="22"/>
  <c r="H1370" i="22"/>
  <c r="H1371" i="22"/>
  <c r="H1372" i="22"/>
  <c r="H1373" i="22"/>
  <c r="H1374" i="22"/>
  <c r="H1375" i="22"/>
  <c r="H1376" i="22"/>
  <c r="H1377" i="22"/>
  <c r="H1378" i="22"/>
  <c r="H1379" i="22"/>
  <c r="H1380" i="22"/>
  <c r="H1381" i="22"/>
  <c r="H1382" i="22"/>
  <c r="H1383" i="22"/>
  <c r="H1384" i="22"/>
  <c r="H1385" i="22"/>
  <c r="H1386" i="22"/>
  <c r="H1387" i="22"/>
  <c r="H1388" i="22"/>
  <c r="H1389" i="22"/>
  <c r="H1390" i="22"/>
  <c r="H1391" i="22"/>
  <c r="H1392" i="22"/>
  <c r="H1393" i="22"/>
  <c r="H1394" i="22"/>
  <c r="H1395" i="22"/>
  <c r="H1396" i="22"/>
  <c r="H1397" i="22"/>
  <c r="H1398" i="22"/>
  <c r="H1399" i="22"/>
  <c r="H1400" i="22"/>
  <c r="H1401" i="22"/>
  <c r="H1402" i="22"/>
  <c r="H1403" i="22"/>
  <c r="H1404" i="22"/>
  <c r="H1405" i="22"/>
  <c r="H1406" i="22"/>
  <c r="H1407" i="22"/>
  <c r="H1408" i="22"/>
  <c r="H1409" i="22"/>
  <c r="H1410" i="22"/>
  <c r="H1411" i="22"/>
  <c r="H1412" i="22"/>
  <c r="H1413" i="22"/>
  <c r="H1414" i="22"/>
  <c r="H1415" i="22"/>
  <c r="H1416" i="22"/>
  <c r="H1417" i="22"/>
  <c r="H1418" i="22"/>
  <c r="H1419" i="22"/>
  <c r="H1420" i="22"/>
  <c r="H1421" i="22"/>
  <c r="H1422" i="22"/>
  <c r="H1423" i="22"/>
  <c r="H1424" i="22"/>
  <c r="H1425" i="22"/>
  <c r="H1426" i="22"/>
  <c r="H1427" i="22"/>
  <c r="H1428" i="22"/>
  <c r="H1429" i="22"/>
  <c r="H1430" i="22"/>
  <c r="H1431" i="22"/>
  <c r="H1432" i="22"/>
  <c r="H1433" i="22"/>
  <c r="H1434" i="22"/>
  <c r="H1435" i="22"/>
  <c r="H1436" i="22"/>
  <c r="H1437" i="22"/>
  <c r="H1438" i="22"/>
  <c r="H1439" i="22"/>
  <c r="H1440" i="22"/>
  <c r="H1441" i="22"/>
  <c r="H1442" i="22"/>
  <c r="H1443" i="22"/>
  <c r="H1444" i="22"/>
  <c r="H1445" i="22"/>
  <c r="H1446" i="22"/>
  <c r="H1447" i="22"/>
  <c r="H1448" i="22"/>
  <c r="H1449" i="22"/>
  <c r="H1450" i="22"/>
  <c r="H1451" i="22"/>
  <c r="H1452" i="22"/>
  <c r="H1453" i="22"/>
  <c r="H1454" i="22"/>
  <c r="H1455" i="22"/>
  <c r="H1456" i="22"/>
  <c r="H1457" i="22"/>
  <c r="H1458" i="22"/>
  <c r="H1459" i="22"/>
  <c r="H1460" i="22"/>
  <c r="H1461" i="22"/>
  <c r="H1462" i="22"/>
  <c r="H1463" i="22"/>
  <c r="H1464" i="22"/>
  <c r="H1465" i="22"/>
  <c r="H1466" i="22"/>
  <c r="H1467" i="22"/>
  <c r="H1468" i="22"/>
  <c r="H1469" i="22"/>
  <c r="H1470" i="22"/>
  <c r="H1471" i="22"/>
  <c r="H1472" i="22"/>
  <c r="H1473" i="22"/>
  <c r="H1474" i="22"/>
  <c r="H1475" i="22"/>
  <c r="H1476" i="22"/>
  <c r="H1477" i="22"/>
  <c r="H1478" i="22"/>
  <c r="H1479" i="22"/>
  <c r="H1480" i="22"/>
  <c r="H1481" i="22"/>
  <c r="H1482" i="22"/>
  <c r="H1483" i="22"/>
  <c r="H1484" i="22"/>
  <c r="H1485" i="22"/>
  <c r="H1486" i="22"/>
  <c r="H1487" i="22"/>
  <c r="H1488" i="22"/>
  <c r="H1489" i="22"/>
  <c r="H1490" i="22"/>
  <c r="H1491" i="22"/>
  <c r="H1492" i="22"/>
  <c r="H1493" i="22"/>
  <c r="H1494" i="22"/>
  <c r="H1495" i="22"/>
  <c r="H1496" i="22"/>
  <c r="H1497" i="22"/>
  <c r="H1498" i="22"/>
  <c r="H1499" i="22"/>
  <c r="H1500" i="22"/>
  <c r="H1501" i="22"/>
  <c r="H1502" i="22"/>
  <c r="H1503" i="22"/>
  <c r="H1504" i="22"/>
  <c r="H1505" i="22"/>
  <c r="H1506" i="22"/>
  <c r="H1507" i="22"/>
  <c r="H1508" i="22"/>
  <c r="H1509" i="22"/>
  <c r="H1510" i="22"/>
  <c r="H1511" i="22"/>
  <c r="H1512" i="22"/>
  <c r="H1513" i="22"/>
  <c r="H1514" i="22"/>
  <c r="H1515" i="22"/>
  <c r="H1516" i="22"/>
  <c r="H1517" i="22"/>
  <c r="H1518" i="22"/>
  <c r="H1519" i="22"/>
  <c r="H1520" i="22"/>
  <c r="H1521" i="22"/>
  <c r="H1522" i="22"/>
  <c r="H1523" i="22"/>
  <c r="H1524" i="22"/>
  <c r="H1525" i="22"/>
  <c r="H1526" i="22"/>
  <c r="H1527" i="22"/>
  <c r="H1528" i="22"/>
  <c r="H1529" i="22"/>
  <c r="H1530" i="22"/>
  <c r="H1531" i="22"/>
  <c r="H1532" i="22"/>
  <c r="H1533" i="22"/>
  <c r="H1534" i="22"/>
  <c r="H1535" i="22"/>
  <c r="H1536" i="22"/>
  <c r="H1537" i="22"/>
  <c r="H1538" i="22"/>
  <c r="H1539" i="22"/>
  <c r="H1540" i="22"/>
  <c r="H1541" i="22"/>
  <c r="H1542" i="22"/>
  <c r="H1543" i="22"/>
  <c r="H1544" i="22"/>
  <c r="H1545" i="22"/>
  <c r="H1546" i="22"/>
  <c r="H1547" i="22"/>
  <c r="H1548" i="22"/>
  <c r="H1549" i="22"/>
  <c r="H1550" i="22"/>
  <c r="H1551" i="22"/>
  <c r="H1552" i="22"/>
  <c r="H1553" i="22"/>
  <c r="H1554" i="22"/>
  <c r="H1555" i="22"/>
  <c r="H1556" i="22"/>
  <c r="H1557" i="22"/>
  <c r="H1558" i="22"/>
  <c r="H1559" i="22"/>
  <c r="H1560" i="22"/>
  <c r="H1561" i="22"/>
  <c r="H1562" i="22"/>
  <c r="H1563" i="22"/>
  <c r="H1564" i="22"/>
  <c r="H1565" i="22"/>
  <c r="H1566" i="22"/>
  <c r="H1567" i="22"/>
  <c r="H1568" i="22"/>
  <c r="H1569" i="22"/>
  <c r="H1570" i="22"/>
  <c r="H1571" i="22"/>
  <c r="H1572" i="22"/>
  <c r="H1573" i="22"/>
  <c r="H1574" i="22"/>
  <c r="H1575" i="22"/>
  <c r="H1576" i="22"/>
  <c r="H1577" i="22"/>
  <c r="H1578" i="22"/>
  <c r="H1579" i="22"/>
  <c r="H1580" i="22"/>
  <c r="H1581" i="22"/>
  <c r="H1582" i="22"/>
  <c r="H1583" i="22"/>
  <c r="H1584" i="22"/>
  <c r="H1585" i="22"/>
  <c r="H1586" i="22"/>
  <c r="H1587" i="22"/>
  <c r="H1588" i="22"/>
  <c r="H1589" i="22"/>
  <c r="H1590" i="22"/>
  <c r="H1591" i="22"/>
  <c r="H1592" i="22"/>
  <c r="H1593" i="22"/>
  <c r="H1594" i="22"/>
  <c r="H1595" i="22"/>
  <c r="H1596" i="22"/>
  <c r="H1597" i="22"/>
  <c r="H1598" i="22"/>
  <c r="H1599" i="22"/>
  <c r="H1600" i="22"/>
  <c r="H1601" i="22"/>
  <c r="H1602" i="22"/>
  <c r="H1603" i="22"/>
  <c r="H1604" i="22"/>
  <c r="H1605" i="22"/>
  <c r="H1606" i="22"/>
  <c r="H1607" i="22"/>
  <c r="H1608" i="22"/>
  <c r="H1609" i="22"/>
  <c r="H1610" i="22"/>
  <c r="H1611" i="22"/>
  <c r="H1612" i="22"/>
  <c r="H1613" i="22"/>
  <c r="H1614" i="22"/>
  <c r="H1615" i="22"/>
  <c r="H1616" i="22"/>
  <c r="H1617" i="22"/>
  <c r="H1618" i="22"/>
  <c r="H1619" i="22"/>
  <c r="H1620" i="22"/>
  <c r="H1621" i="22"/>
  <c r="H1622" i="22"/>
  <c r="H1623" i="22"/>
  <c r="H1624" i="22"/>
  <c r="H1625" i="22"/>
  <c r="H1626" i="22"/>
  <c r="H1627" i="22"/>
  <c r="H1628" i="22"/>
  <c r="H1629" i="22"/>
  <c r="H1630" i="22"/>
  <c r="H1631" i="22"/>
  <c r="H1632" i="22"/>
  <c r="H1633" i="22"/>
  <c r="H1634" i="22"/>
  <c r="H1635" i="22"/>
  <c r="H1636" i="22"/>
  <c r="H1637" i="22"/>
  <c r="H1638" i="22"/>
  <c r="H1639" i="22"/>
  <c r="H1640" i="22"/>
  <c r="H1641" i="22"/>
  <c r="H1642" i="22"/>
  <c r="H1643" i="22"/>
  <c r="H1644" i="22"/>
  <c r="H1645" i="22"/>
  <c r="H1646" i="22"/>
  <c r="H1647" i="22"/>
  <c r="H1648" i="22"/>
  <c r="H1649" i="22"/>
  <c r="H1650" i="22"/>
  <c r="H1651" i="22"/>
  <c r="H1652" i="22"/>
  <c r="H1653" i="22"/>
  <c r="H1654" i="22"/>
  <c r="H1655" i="22"/>
  <c r="H1656" i="22"/>
  <c r="H1657" i="22"/>
  <c r="H1658" i="22"/>
  <c r="H1659" i="22"/>
  <c r="H1660" i="22"/>
  <c r="H1661" i="22"/>
  <c r="H1662" i="22"/>
  <c r="H1663" i="22"/>
  <c r="H1664" i="22"/>
  <c r="H1665" i="22"/>
  <c r="H1666" i="22"/>
  <c r="H1667" i="22"/>
  <c r="H1668" i="22"/>
  <c r="H1669" i="22"/>
  <c r="H1670" i="22"/>
  <c r="H1671" i="22"/>
  <c r="H1672" i="22"/>
  <c r="H1673" i="22"/>
  <c r="H1674" i="22"/>
  <c r="H1675" i="22"/>
  <c r="H1676" i="22"/>
  <c r="H1677" i="22"/>
  <c r="H1678" i="22"/>
  <c r="H1679" i="22"/>
  <c r="H1680" i="22"/>
  <c r="H1681" i="22"/>
  <c r="H1682" i="22"/>
  <c r="H1683" i="22"/>
  <c r="H1684" i="22"/>
  <c r="H1685" i="22"/>
  <c r="H1686" i="22"/>
  <c r="H1687" i="22"/>
  <c r="H1688" i="22"/>
  <c r="H1689" i="22"/>
  <c r="H1690" i="22"/>
  <c r="H1691" i="22"/>
  <c r="H1692" i="22"/>
  <c r="H1693" i="22"/>
  <c r="H1694" i="22"/>
  <c r="H1695" i="22"/>
  <c r="H1696" i="22"/>
  <c r="H1697" i="22"/>
  <c r="H1698" i="22"/>
  <c r="H1699" i="22"/>
  <c r="H1700" i="22"/>
  <c r="H1701" i="22"/>
  <c r="H1702" i="22"/>
  <c r="H1703" i="22"/>
  <c r="H1704" i="22"/>
  <c r="H1705" i="22"/>
  <c r="H1706" i="22"/>
  <c r="H1707" i="22"/>
  <c r="H1708" i="22"/>
  <c r="H1709" i="22"/>
  <c r="H1710" i="22"/>
  <c r="H1711" i="22"/>
  <c r="H1712" i="22"/>
  <c r="H1713" i="22"/>
  <c r="H1714" i="22"/>
  <c r="H1715" i="22"/>
  <c r="H1716" i="22"/>
  <c r="H1717" i="22"/>
  <c r="H1718" i="22"/>
  <c r="H1719" i="22"/>
  <c r="H1720" i="22"/>
  <c r="H1721" i="22"/>
  <c r="H1722" i="22"/>
  <c r="H1723" i="22"/>
  <c r="H1724" i="22"/>
  <c r="H1725" i="22"/>
  <c r="H1726" i="22"/>
  <c r="H1727" i="22"/>
  <c r="H1728" i="22"/>
  <c r="H1729" i="22"/>
  <c r="H1730" i="22"/>
  <c r="H1731" i="22"/>
  <c r="H1732" i="22"/>
  <c r="H1733" i="22"/>
  <c r="H1734" i="22"/>
  <c r="H1735" i="22"/>
  <c r="H1736" i="22"/>
  <c r="H1737" i="22"/>
  <c r="H1738" i="22"/>
  <c r="H1739" i="22"/>
  <c r="H1740" i="22"/>
  <c r="H1741" i="22"/>
  <c r="H1742" i="22"/>
  <c r="H1743" i="22"/>
  <c r="H1744" i="22"/>
  <c r="H1745" i="22"/>
  <c r="H1746" i="22"/>
  <c r="H1747" i="22"/>
  <c r="H1748" i="22"/>
  <c r="H1749" i="22"/>
  <c r="H1750" i="22"/>
  <c r="H1751" i="22"/>
  <c r="H1752" i="22"/>
  <c r="H1753" i="22"/>
  <c r="H1754" i="22"/>
  <c r="H1755" i="22"/>
  <c r="H1756" i="22"/>
  <c r="H1757" i="22"/>
  <c r="H1758" i="22"/>
  <c r="H1759" i="22"/>
  <c r="H1760" i="22"/>
  <c r="H1761" i="22"/>
  <c r="H1762" i="22"/>
  <c r="H1763" i="22"/>
  <c r="H1764" i="22"/>
  <c r="H1765" i="22"/>
  <c r="H1766" i="22"/>
  <c r="H1767" i="22"/>
  <c r="H1768" i="22"/>
  <c r="H1769" i="22"/>
  <c r="H1770" i="22"/>
  <c r="H1771" i="22"/>
  <c r="H1772" i="22"/>
  <c r="H1773" i="22"/>
  <c r="H1774" i="22"/>
  <c r="H1775" i="22"/>
  <c r="H1776" i="22"/>
  <c r="H1777" i="22"/>
  <c r="H1778" i="22"/>
  <c r="H1779" i="22"/>
  <c r="H1780" i="22"/>
  <c r="H1781" i="22"/>
  <c r="H1782" i="22"/>
  <c r="H1783" i="22"/>
  <c r="H1784" i="22"/>
  <c r="H1785" i="22"/>
  <c r="H1786" i="22"/>
  <c r="H1787" i="22"/>
  <c r="H1788" i="22"/>
  <c r="H1789" i="22"/>
  <c r="H1790" i="22"/>
  <c r="H1791" i="22"/>
  <c r="H1792" i="22"/>
  <c r="H1793" i="22"/>
  <c r="H1794" i="22"/>
  <c r="H1795" i="22"/>
  <c r="H1796" i="22"/>
  <c r="H1797" i="22"/>
  <c r="H1798" i="22"/>
  <c r="H1799" i="22"/>
  <c r="H1800" i="22"/>
  <c r="H1801" i="22"/>
  <c r="H1802" i="22"/>
  <c r="H1803" i="22"/>
  <c r="H1804" i="22"/>
  <c r="H1805" i="22"/>
  <c r="H1806" i="22"/>
  <c r="H1807" i="22"/>
  <c r="H1808" i="22"/>
  <c r="H1809" i="22"/>
  <c r="H1810" i="22"/>
  <c r="H1811" i="22"/>
  <c r="H1812" i="22"/>
  <c r="H1813" i="22"/>
  <c r="H1814" i="22"/>
  <c r="H1815" i="22"/>
  <c r="H1816" i="22"/>
  <c r="H1817" i="22"/>
  <c r="H1818" i="22"/>
  <c r="H1819" i="22"/>
  <c r="H1820" i="22"/>
  <c r="H1821" i="22"/>
  <c r="H1822" i="22"/>
  <c r="H1823" i="22"/>
  <c r="H1824" i="22"/>
  <c r="H1825" i="22"/>
  <c r="H1826" i="22"/>
  <c r="H1827" i="22"/>
  <c r="H1828" i="22"/>
  <c r="H1829" i="22"/>
  <c r="H1830" i="22"/>
  <c r="H1831" i="22"/>
  <c r="H1832" i="22"/>
  <c r="H1833" i="22"/>
  <c r="H1834" i="22"/>
  <c r="H1835" i="22"/>
  <c r="H1836" i="22"/>
  <c r="H1837" i="22"/>
  <c r="H1838" i="22"/>
  <c r="H1839" i="22"/>
  <c r="H1840" i="22"/>
  <c r="H1841" i="22"/>
  <c r="H1842" i="22"/>
  <c r="H1843" i="22"/>
  <c r="H1844" i="22"/>
  <c r="H1845" i="22"/>
  <c r="H1846" i="22"/>
  <c r="H1847" i="22"/>
  <c r="H1848" i="22"/>
  <c r="H1849" i="22"/>
  <c r="H1850" i="22"/>
  <c r="H1851" i="22"/>
  <c r="H1852" i="22"/>
  <c r="H1853" i="22"/>
  <c r="H1854" i="22"/>
  <c r="H1855" i="22"/>
  <c r="H1856" i="22"/>
  <c r="H1857" i="22"/>
  <c r="H1858" i="22"/>
  <c r="H1859" i="22"/>
  <c r="H1860" i="22"/>
  <c r="H1861" i="22"/>
  <c r="H1862" i="22"/>
  <c r="H1863" i="22"/>
  <c r="H1864" i="22"/>
  <c r="H1865" i="22"/>
  <c r="H1866" i="22"/>
  <c r="H1867" i="22"/>
  <c r="H1868" i="22"/>
  <c r="H1869" i="22"/>
  <c r="H1870" i="22"/>
  <c r="H1871" i="22"/>
  <c r="H1872" i="22"/>
  <c r="H1873" i="22"/>
  <c r="H1874" i="22"/>
  <c r="H1875" i="22"/>
  <c r="H1876" i="22"/>
  <c r="H1877" i="22"/>
  <c r="H1878" i="22"/>
  <c r="H1879" i="22"/>
  <c r="H1880" i="22"/>
  <c r="H1881" i="22"/>
  <c r="H1882" i="22"/>
  <c r="H1883" i="22"/>
  <c r="H1884" i="22"/>
  <c r="H1885" i="22"/>
  <c r="H1886" i="22"/>
  <c r="H1887" i="22"/>
  <c r="H1888" i="22"/>
  <c r="H1889" i="22"/>
  <c r="H1890" i="22"/>
  <c r="H1891" i="22"/>
  <c r="H1892" i="22"/>
  <c r="H1893" i="22"/>
  <c r="H1894" i="22"/>
  <c r="H1895" i="22"/>
  <c r="H1896" i="22"/>
  <c r="H1897" i="22"/>
  <c r="H1898" i="22"/>
  <c r="H1899" i="22"/>
  <c r="H1900" i="22"/>
  <c r="H1901" i="22"/>
  <c r="H1902" i="22"/>
  <c r="H1903" i="22"/>
  <c r="H1904" i="22"/>
  <c r="H1905" i="22"/>
  <c r="H1906" i="22"/>
  <c r="H1907" i="22"/>
  <c r="H1908" i="22"/>
  <c r="H1909" i="22"/>
  <c r="H1910" i="22"/>
  <c r="H1911" i="22"/>
  <c r="H1912" i="22"/>
  <c r="H1913" i="22"/>
  <c r="H1914" i="22"/>
  <c r="H1915" i="22"/>
  <c r="H1916" i="22"/>
  <c r="H1917" i="22"/>
  <c r="H1918" i="22"/>
  <c r="H1919" i="22"/>
  <c r="H1920" i="22"/>
  <c r="H1921" i="22"/>
  <c r="H1922" i="22"/>
  <c r="H1923" i="22"/>
  <c r="H1924" i="22"/>
  <c r="H1925" i="22"/>
  <c r="H1926" i="22"/>
  <c r="H1927" i="22"/>
  <c r="H1928" i="22"/>
  <c r="H1929" i="22"/>
  <c r="H1930" i="22"/>
  <c r="H1931" i="22"/>
  <c r="H1932" i="22"/>
  <c r="H1933" i="22"/>
  <c r="H1934" i="22"/>
  <c r="H1935" i="22"/>
  <c r="H1936" i="22"/>
  <c r="H1937" i="22"/>
  <c r="H1938" i="22"/>
  <c r="H1939" i="22"/>
  <c r="H1940" i="22"/>
  <c r="H1941" i="22"/>
  <c r="H1942" i="22"/>
  <c r="H1943" i="22"/>
  <c r="H1944" i="22"/>
  <c r="H1945" i="22"/>
  <c r="H1946" i="22"/>
  <c r="H1947" i="22"/>
  <c r="H1948" i="22"/>
  <c r="H1949" i="22"/>
  <c r="H1950" i="22"/>
  <c r="H1951" i="22"/>
  <c r="H1952" i="22"/>
  <c r="H1953" i="22"/>
  <c r="H1954" i="22"/>
  <c r="H1955" i="22"/>
  <c r="H1956" i="22"/>
  <c r="H1957" i="22"/>
  <c r="H1958" i="22"/>
  <c r="H1959" i="22"/>
  <c r="H1960" i="22"/>
  <c r="H1961" i="22"/>
  <c r="H1962" i="22"/>
  <c r="H1963" i="22"/>
  <c r="H1964" i="22"/>
  <c r="H1965" i="22"/>
  <c r="H1966" i="22"/>
  <c r="H1967" i="22"/>
  <c r="H1968" i="22"/>
  <c r="H1969" i="22"/>
  <c r="H1970" i="22"/>
  <c r="H1971" i="22"/>
  <c r="H1972" i="22"/>
  <c r="H1973" i="22"/>
  <c r="H1974" i="22"/>
  <c r="H1975" i="22"/>
  <c r="H1976" i="22"/>
  <c r="H1977" i="22"/>
  <c r="H1978" i="22"/>
  <c r="H1979" i="22"/>
  <c r="H1980" i="22"/>
  <c r="H1981" i="22"/>
  <c r="H1982" i="22"/>
  <c r="H1983" i="22"/>
  <c r="H1984" i="22"/>
  <c r="H1985" i="22"/>
  <c r="H1986" i="22"/>
  <c r="H1987" i="22"/>
  <c r="H1988" i="22"/>
  <c r="H1989" i="22"/>
  <c r="H1990" i="22"/>
  <c r="H1991" i="22"/>
  <c r="H1992" i="22"/>
  <c r="H1993" i="22"/>
  <c r="H1994" i="22"/>
  <c r="H1995" i="22"/>
  <c r="H1996" i="22"/>
  <c r="H1997" i="22"/>
  <c r="H1998" i="22"/>
  <c r="H1999" i="22"/>
  <c r="H2000" i="22"/>
  <c r="H2001" i="22"/>
  <c r="H2002" i="22"/>
  <c r="H2003" i="22"/>
  <c r="H2004" i="22"/>
  <c r="H2005" i="22"/>
  <c r="H2006" i="22"/>
  <c r="H2007" i="22"/>
  <c r="H2008" i="22"/>
  <c r="H2009" i="22"/>
  <c r="H2010" i="22"/>
  <c r="H2011" i="22"/>
  <c r="H2012" i="22"/>
  <c r="H2013" i="22"/>
  <c r="H2014" i="22"/>
  <c r="H2015" i="22"/>
  <c r="H2016" i="22"/>
  <c r="H2017" i="22"/>
  <c r="H2018" i="22"/>
  <c r="H2019" i="22"/>
  <c r="H2020" i="22"/>
  <c r="H2021" i="22"/>
  <c r="H2022" i="22"/>
  <c r="H2023" i="22"/>
  <c r="H2024" i="22"/>
  <c r="H2025" i="22"/>
  <c r="H2026" i="22"/>
  <c r="H2027" i="22"/>
  <c r="H2028" i="22"/>
  <c r="H2029" i="22"/>
  <c r="H2030" i="22"/>
  <c r="H2031" i="22"/>
  <c r="H2032" i="22"/>
  <c r="H2033" i="22"/>
  <c r="H2034" i="22"/>
  <c r="H2035" i="22"/>
  <c r="H2036" i="22"/>
  <c r="H2037" i="22"/>
  <c r="H2038" i="22"/>
  <c r="H2039" i="22"/>
  <c r="H2040" i="22"/>
  <c r="H2041" i="22"/>
  <c r="H2042" i="22"/>
  <c r="H2043" i="22"/>
  <c r="H2044" i="22"/>
  <c r="H2045" i="22"/>
  <c r="H2046" i="22"/>
  <c r="H2047" i="22"/>
  <c r="H2048" i="22"/>
  <c r="H2049" i="22"/>
  <c r="H2050" i="22"/>
  <c r="H2051" i="22"/>
  <c r="H2052" i="22"/>
  <c r="H2053" i="22"/>
  <c r="H2054" i="22"/>
  <c r="H2055" i="22"/>
  <c r="H2056" i="22"/>
  <c r="H2057" i="22"/>
  <c r="H2058" i="22"/>
  <c r="H2059" i="22"/>
  <c r="H2060" i="22"/>
  <c r="H2061" i="22"/>
  <c r="H2062" i="22"/>
  <c r="H2063" i="22"/>
  <c r="H2064" i="22"/>
  <c r="H2065" i="22"/>
  <c r="H2066" i="22"/>
  <c r="H2067" i="22"/>
  <c r="H2068" i="22"/>
  <c r="H2069" i="22"/>
  <c r="H2070" i="22"/>
  <c r="H2071" i="22"/>
  <c r="H2072" i="22"/>
  <c r="H2073" i="22"/>
  <c r="H2074" i="22"/>
  <c r="H2075" i="22"/>
  <c r="H2076" i="22"/>
  <c r="H2077" i="22"/>
  <c r="H2078" i="22"/>
  <c r="H2079" i="22"/>
  <c r="H2080" i="22"/>
  <c r="H2081" i="22"/>
  <c r="H2082" i="22"/>
  <c r="H2083" i="22"/>
  <c r="H2084" i="22"/>
  <c r="H2085" i="22"/>
  <c r="H2086" i="22"/>
  <c r="H2087" i="22"/>
  <c r="H2088" i="22"/>
  <c r="H2089" i="22"/>
  <c r="H2090" i="22"/>
  <c r="H2091" i="22"/>
  <c r="H2092" i="22"/>
  <c r="H2093" i="22"/>
  <c r="H2094" i="22"/>
  <c r="H2095" i="22"/>
  <c r="H2096" i="22"/>
  <c r="H2097" i="22"/>
  <c r="H2098" i="22"/>
  <c r="H2099" i="22"/>
  <c r="H2100" i="22"/>
  <c r="H2101" i="22"/>
  <c r="H2102" i="22"/>
  <c r="H2103" i="22"/>
  <c r="H2104" i="22"/>
  <c r="H2105" i="22"/>
  <c r="H2106" i="22"/>
  <c r="H2107" i="22"/>
  <c r="H2108" i="22"/>
  <c r="H2109" i="22"/>
  <c r="H2110" i="22"/>
  <c r="H2111" i="22"/>
  <c r="H2112" i="22"/>
  <c r="H2113" i="22"/>
  <c r="H2114" i="22"/>
  <c r="H2115" i="22"/>
  <c r="H2116" i="22"/>
  <c r="H2117" i="22"/>
  <c r="H2118" i="22"/>
  <c r="H2119" i="22"/>
  <c r="H2120" i="22"/>
  <c r="H2121" i="22"/>
  <c r="H2122" i="22"/>
  <c r="H2123" i="22"/>
  <c r="H2124" i="22"/>
  <c r="H2125" i="22"/>
  <c r="H2126" i="22"/>
  <c r="H2127" i="22"/>
  <c r="H2128" i="22"/>
  <c r="H2129" i="22"/>
  <c r="H2130" i="22"/>
  <c r="H2131" i="22"/>
  <c r="H2132" i="22"/>
  <c r="H2133" i="22"/>
  <c r="H2134" i="22"/>
  <c r="H2135" i="22"/>
  <c r="H2136" i="22"/>
  <c r="H2137" i="22"/>
  <c r="H2138" i="22"/>
  <c r="H2139" i="22"/>
  <c r="H2140" i="22"/>
  <c r="H2141" i="22"/>
  <c r="H2142" i="22"/>
  <c r="H2143" i="22"/>
  <c r="H2144" i="22"/>
  <c r="H2145" i="22"/>
  <c r="H2146" i="22"/>
  <c r="H2147" i="22"/>
  <c r="H2148" i="22"/>
  <c r="H2149" i="22"/>
  <c r="H2150" i="22"/>
  <c r="H2151" i="22"/>
  <c r="H2152" i="22"/>
  <c r="H2153" i="22"/>
  <c r="H2154" i="22"/>
  <c r="H2155" i="22"/>
  <c r="H2156" i="22"/>
  <c r="H2157" i="22"/>
  <c r="H2158" i="22"/>
  <c r="H2159" i="22"/>
  <c r="H2160" i="22"/>
  <c r="H2161" i="22"/>
  <c r="H2162" i="22"/>
  <c r="H2163" i="22"/>
  <c r="H2164" i="22"/>
  <c r="H2165" i="22"/>
  <c r="H2166" i="22"/>
  <c r="H2167" i="22"/>
  <c r="H2168" i="22"/>
  <c r="H2169" i="22"/>
  <c r="H2170" i="22"/>
  <c r="H2171" i="22"/>
  <c r="H2172" i="22"/>
  <c r="H2173" i="22"/>
  <c r="H2174" i="22"/>
  <c r="H2175" i="22"/>
  <c r="H2176" i="22"/>
  <c r="H2177" i="22"/>
  <c r="H2178" i="22"/>
  <c r="H2179" i="22"/>
  <c r="H2180" i="22"/>
  <c r="H2181" i="22"/>
  <c r="H2182" i="22"/>
  <c r="H2183" i="22"/>
  <c r="H2184" i="22"/>
  <c r="H2185" i="22"/>
  <c r="H2186" i="22"/>
  <c r="H2187" i="22"/>
  <c r="H2188" i="22"/>
  <c r="H2189" i="22"/>
  <c r="H2190" i="22"/>
  <c r="H2191" i="22"/>
  <c r="H2192" i="22"/>
  <c r="H2193" i="22"/>
  <c r="H2194" i="22"/>
  <c r="H2195" i="22"/>
  <c r="H2196" i="22"/>
  <c r="H2197" i="22"/>
  <c r="H2198" i="22"/>
  <c r="H2199" i="22"/>
  <c r="H2200" i="22"/>
  <c r="H2201" i="22"/>
  <c r="H2202" i="22"/>
  <c r="H2203" i="22"/>
  <c r="H2204" i="22"/>
  <c r="H2205" i="22"/>
  <c r="H2206" i="22"/>
  <c r="H2207" i="22"/>
  <c r="H2208" i="22"/>
  <c r="H2209" i="22"/>
  <c r="H2210" i="22"/>
  <c r="H2211" i="22"/>
  <c r="H2212" i="22"/>
  <c r="H2213" i="22"/>
  <c r="H2214" i="22"/>
  <c r="H2215" i="22"/>
  <c r="H2216" i="22"/>
  <c r="H2217" i="22"/>
  <c r="H2218" i="22"/>
  <c r="H2219" i="22"/>
  <c r="H2220" i="22"/>
  <c r="H2221" i="22"/>
  <c r="H2222" i="22"/>
  <c r="H2223" i="22"/>
  <c r="H2224" i="22"/>
  <c r="H2225" i="22"/>
  <c r="H2226" i="22"/>
  <c r="H2227" i="22"/>
  <c r="H2228" i="22"/>
  <c r="H2229" i="22"/>
  <c r="H2230" i="22"/>
  <c r="H2231" i="22"/>
  <c r="H2232" i="22"/>
  <c r="H2233" i="22"/>
  <c r="H2234" i="22"/>
  <c r="H2235" i="22"/>
  <c r="H2236" i="22"/>
  <c r="H2237" i="22"/>
  <c r="H2238" i="22"/>
  <c r="H2239" i="22"/>
  <c r="H2240" i="22"/>
  <c r="H2241" i="22"/>
  <c r="H2242" i="22"/>
  <c r="H2243" i="22"/>
  <c r="H2244" i="22"/>
  <c r="H2245" i="22"/>
  <c r="H2246" i="22"/>
  <c r="H2247" i="22"/>
  <c r="H2248" i="22"/>
  <c r="H2249" i="22"/>
  <c r="H2250" i="22"/>
  <c r="H2251" i="22"/>
  <c r="H2252" i="22"/>
  <c r="H2253" i="22"/>
  <c r="H2254" i="22"/>
  <c r="H2255" i="22"/>
  <c r="H2256" i="22"/>
  <c r="H2257" i="22"/>
  <c r="H2258" i="22"/>
  <c r="H2259" i="22"/>
  <c r="H2260" i="22"/>
  <c r="H2261" i="22"/>
  <c r="H2262" i="22"/>
  <c r="H2263" i="22"/>
  <c r="H2264" i="22"/>
  <c r="H2265" i="22"/>
  <c r="H2266" i="22"/>
  <c r="H2267" i="22"/>
  <c r="H2268" i="22"/>
  <c r="H2269" i="22"/>
  <c r="H2270" i="22"/>
  <c r="H2271" i="22"/>
  <c r="H2272" i="22"/>
  <c r="H2273" i="22"/>
  <c r="H2274" i="22"/>
  <c r="H2275" i="22"/>
  <c r="H2276" i="22"/>
  <c r="H2277" i="22"/>
  <c r="H2278" i="22"/>
  <c r="H2279" i="22"/>
  <c r="H2280" i="22"/>
  <c r="H2281" i="22"/>
  <c r="H2282" i="22"/>
  <c r="H2283" i="22"/>
  <c r="H2284" i="22"/>
  <c r="H2285" i="22"/>
  <c r="H2286" i="22"/>
  <c r="H2287" i="22"/>
  <c r="H2288" i="22"/>
  <c r="H2289" i="22"/>
  <c r="H2290" i="22"/>
  <c r="H2291" i="22"/>
  <c r="H2292" i="22"/>
  <c r="H2293" i="22"/>
  <c r="H2294" i="22"/>
  <c r="H2295" i="22"/>
  <c r="H2296" i="22"/>
  <c r="H2297" i="22"/>
  <c r="H2298" i="22"/>
  <c r="H2299" i="22"/>
  <c r="H2300" i="22"/>
  <c r="H2301" i="22"/>
  <c r="H2302" i="22"/>
  <c r="H2303" i="22"/>
  <c r="H2304" i="22"/>
  <c r="H2305" i="22"/>
  <c r="H2306" i="22"/>
  <c r="H2307" i="22"/>
  <c r="H2308" i="22"/>
  <c r="H2309" i="22"/>
  <c r="H2310" i="22"/>
  <c r="H2311" i="22"/>
  <c r="H2312" i="22"/>
  <c r="H2313" i="22"/>
  <c r="H2314" i="22"/>
  <c r="H2315" i="22"/>
  <c r="H2316" i="22"/>
  <c r="H2317" i="22"/>
  <c r="H2318" i="22"/>
  <c r="H2319" i="22"/>
  <c r="H2320" i="22"/>
  <c r="H2321" i="22"/>
  <c r="H2322" i="22"/>
  <c r="H2323" i="22"/>
  <c r="H2324" i="22"/>
  <c r="H2325" i="22"/>
  <c r="H2326" i="22"/>
  <c r="H2327" i="22"/>
  <c r="H2328" i="22"/>
  <c r="H2329" i="22"/>
  <c r="H2330" i="22"/>
  <c r="H2331" i="22"/>
  <c r="H2332" i="22"/>
  <c r="H2333" i="22"/>
  <c r="H2334" i="22"/>
  <c r="H2335" i="22"/>
  <c r="H2336" i="22"/>
  <c r="H2337" i="22"/>
  <c r="H2338" i="22"/>
  <c r="H2339" i="22"/>
  <c r="H2340" i="22"/>
  <c r="H2341" i="22"/>
  <c r="H2342" i="22"/>
  <c r="H2343" i="22"/>
  <c r="H2344" i="22"/>
  <c r="H2345" i="22"/>
  <c r="H2346" i="22"/>
  <c r="H2347" i="22"/>
  <c r="H2348" i="22"/>
  <c r="H2349" i="22"/>
  <c r="H2350" i="22"/>
  <c r="H2351" i="22"/>
  <c r="H2352" i="22"/>
  <c r="H2353" i="22"/>
  <c r="H2354" i="22"/>
  <c r="H2355" i="22"/>
  <c r="H2356" i="22"/>
  <c r="H2357" i="22"/>
  <c r="H2358" i="22"/>
  <c r="H2359" i="22"/>
  <c r="H2360" i="22"/>
  <c r="H2361" i="22"/>
  <c r="H2362" i="22"/>
  <c r="H2363" i="22"/>
  <c r="H2364" i="22"/>
  <c r="H2365" i="22"/>
  <c r="H2366" i="22"/>
  <c r="H2367" i="22"/>
  <c r="H2368" i="22"/>
  <c r="H2369" i="22"/>
  <c r="H2370" i="22"/>
  <c r="H2371" i="22"/>
  <c r="H2372" i="22"/>
  <c r="H2373" i="22"/>
  <c r="H2374" i="22"/>
  <c r="H2375" i="22"/>
  <c r="H2376" i="22"/>
  <c r="H2377" i="22"/>
  <c r="H2378" i="22"/>
  <c r="H2379" i="22"/>
  <c r="H2380" i="22"/>
  <c r="H2381" i="22"/>
  <c r="H2382" i="22"/>
  <c r="H2383" i="22"/>
  <c r="H2384" i="22"/>
  <c r="H2385" i="22"/>
  <c r="H2386" i="22"/>
  <c r="H2387" i="22"/>
  <c r="H2388" i="22"/>
  <c r="H2389" i="22"/>
  <c r="H2390" i="22"/>
  <c r="H2391" i="22"/>
  <c r="H2392" i="22"/>
  <c r="H2393" i="22"/>
  <c r="H2394" i="22"/>
  <c r="H2395" i="22"/>
  <c r="H2396" i="22"/>
  <c r="H2397" i="22"/>
  <c r="H2398" i="22"/>
  <c r="H2399" i="22"/>
  <c r="H2400" i="22"/>
  <c r="H2401" i="22"/>
  <c r="H2402" i="22"/>
  <c r="H2403" i="22"/>
  <c r="H2404" i="22"/>
  <c r="H2405" i="22"/>
  <c r="H2406" i="22"/>
  <c r="H2407" i="22"/>
  <c r="H2408" i="22"/>
  <c r="H2409" i="22"/>
  <c r="H2410" i="22"/>
  <c r="H2411" i="22"/>
  <c r="H2412" i="22"/>
  <c r="H2413" i="22"/>
  <c r="H2414" i="22"/>
  <c r="H2415" i="22"/>
  <c r="H2416" i="22"/>
  <c r="H2417" i="22"/>
  <c r="H2418" i="22"/>
  <c r="H2419" i="22"/>
  <c r="H2420" i="22"/>
  <c r="H2421" i="22"/>
  <c r="H2422" i="22"/>
  <c r="H2423" i="22"/>
  <c r="H2424" i="22"/>
  <c r="H2425" i="22"/>
  <c r="H2426" i="22"/>
  <c r="H2427" i="22"/>
  <c r="H2428" i="22"/>
  <c r="H2429" i="22"/>
  <c r="H2430" i="22"/>
  <c r="H2431" i="22"/>
  <c r="H2432" i="22"/>
  <c r="H2433" i="22"/>
  <c r="H2434" i="22"/>
  <c r="H2435" i="22"/>
  <c r="H2436" i="22"/>
  <c r="H2437" i="22"/>
  <c r="H2438" i="22"/>
  <c r="H2439" i="22"/>
  <c r="H2440" i="22"/>
  <c r="H2441" i="22"/>
  <c r="H2442" i="22"/>
  <c r="H2443" i="22"/>
  <c r="H2444" i="22"/>
  <c r="H2445" i="22"/>
  <c r="H2446" i="22"/>
  <c r="H2447" i="22"/>
  <c r="H2448" i="22"/>
  <c r="H2449" i="22"/>
  <c r="H2450" i="22"/>
  <c r="H2451" i="22"/>
  <c r="H2452" i="22"/>
  <c r="H2453" i="22"/>
  <c r="H2454" i="22"/>
  <c r="H2455" i="22"/>
  <c r="H2456" i="22"/>
  <c r="H2457" i="22"/>
  <c r="H2458" i="22"/>
  <c r="H2459" i="22"/>
  <c r="H2460" i="22"/>
  <c r="H2461" i="22"/>
  <c r="H2462" i="22"/>
  <c r="H2463" i="22"/>
  <c r="H2464" i="22"/>
  <c r="H2465" i="22"/>
  <c r="H2466" i="22"/>
  <c r="H2467" i="22"/>
  <c r="H2468" i="22"/>
  <c r="H2469" i="22"/>
  <c r="H2470" i="22"/>
  <c r="H2471" i="22"/>
  <c r="H2472" i="22"/>
  <c r="H2473" i="22"/>
  <c r="H2474" i="22"/>
  <c r="H2475" i="22"/>
  <c r="H2476" i="22"/>
  <c r="H2477" i="22"/>
  <c r="H2478" i="22"/>
  <c r="H2479" i="22"/>
  <c r="H2480" i="22"/>
  <c r="H2481" i="22"/>
  <c r="H2482" i="22"/>
  <c r="H2483" i="22"/>
  <c r="H2484" i="22"/>
  <c r="H2485" i="22"/>
  <c r="H2486" i="22"/>
  <c r="H2487" i="22"/>
  <c r="H2488" i="22"/>
  <c r="H2489" i="22"/>
  <c r="H2490" i="22"/>
  <c r="H2491" i="22"/>
  <c r="H2492" i="22"/>
  <c r="H2493" i="22"/>
  <c r="H2494" i="22"/>
  <c r="H2495" i="22"/>
  <c r="H2496" i="22"/>
  <c r="H2497" i="22"/>
  <c r="H2498" i="22"/>
  <c r="H2499" i="22"/>
  <c r="H2500" i="22"/>
  <c r="H2501" i="22"/>
  <c r="H2502" i="22"/>
  <c r="H2503" i="22"/>
  <c r="H2504" i="22"/>
  <c r="H2505" i="22"/>
  <c r="H2506" i="22"/>
  <c r="H2507" i="22"/>
  <c r="H2508" i="22"/>
  <c r="H2509" i="22"/>
  <c r="H2510" i="22"/>
  <c r="H2511" i="22"/>
  <c r="H2512" i="22"/>
  <c r="H2513" i="22"/>
  <c r="H2514" i="22"/>
  <c r="H2515" i="22"/>
  <c r="H2516" i="22"/>
  <c r="H2517" i="22"/>
  <c r="H2518" i="22"/>
  <c r="H2519" i="22"/>
  <c r="H2520" i="22"/>
  <c r="H2521" i="22"/>
  <c r="H2522" i="22"/>
  <c r="H2523" i="22"/>
  <c r="H2524" i="22"/>
  <c r="H2525" i="22"/>
  <c r="H2526" i="22"/>
  <c r="H2527" i="22"/>
  <c r="H2528" i="22"/>
  <c r="H2529" i="22"/>
  <c r="H2530" i="22"/>
  <c r="H2531" i="22"/>
  <c r="H2532" i="22"/>
  <c r="H2533" i="22"/>
  <c r="H2534" i="22"/>
  <c r="H2535" i="22"/>
  <c r="H2536" i="22"/>
  <c r="H2537" i="22"/>
  <c r="H2538" i="22"/>
  <c r="H2539" i="22"/>
  <c r="H2540" i="22"/>
  <c r="H2541" i="22"/>
  <c r="H2542" i="22"/>
  <c r="H2543" i="22"/>
  <c r="H2544" i="22"/>
  <c r="H2545" i="22"/>
  <c r="H2546" i="22"/>
  <c r="H2547" i="22"/>
  <c r="H2548" i="22"/>
  <c r="H2549" i="22"/>
  <c r="H2550" i="22"/>
  <c r="H2551" i="22"/>
  <c r="H2552" i="22"/>
  <c r="H2553" i="22"/>
  <c r="H2554" i="22"/>
  <c r="H2555" i="22"/>
  <c r="H2556" i="22"/>
  <c r="H2557" i="22"/>
  <c r="H2558" i="22"/>
  <c r="H2559" i="22"/>
  <c r="H2560" i="22"/>
  <c r="H2561" i="22"/>
  <c r="H2562" i="22"/>
  <c r="H2563" i="22"/>
  <c r="H2564" i="22"/>
  <c r="H2565" i="22"/>
  <c r="H2566" i="22"/>
  <c r="H2567" i="22"/>
  <c r="H2568" i="22"/>
  <c r="H2569" i="22"/>
  <c r="H2570" i="22"/>
  <c r="H2571" i="22"/>
  <c r="H2572" i="22"/>
  <c r="H2573" i="22"/>
  <c r="H2574" i="22"/>
  <c r="H2575" i="22"/>
  <c r="H2576" i="22"/>
  <c r="H2577" i="22"/>
  <c r="H2578" i="22"/>
  <c r="H2579" i="22"/>
  <c r="H2580" i="22"/>
  <c r="H2581" i="22"/>
  <c r="H2582" i="22"/>
  <c r="H2583" i="22"/>
  <c r="H2584" i="22"/>
  <c r="H2585" i="22"/>
  <c r="H2586" i="22"/>
  <c r="H2587" i="22"/>
  <c r="H2588" i="22"/>
  <c r="H2589" i="22"/>
  <c r="H2590" i="22"/>
  <c r="H2591" i="22"/>
  <c r="H2592" i="22"/>
  <c r="H2593" i="22"/>
  <c r="H2594" i="22"/>
  <c r="H2595" i="22"/>
  <c r="H2596" i="22"/>
  <c r="H2597" i="22"/>
  <c r="H2598" i="22"/>
  <c r="H2599" i="22"/>
  <c r="H2600" i="22"/>
  <c r="H2601" i="22"/>
  <c r="H2602" i="22"/>
  <c r="H2603" i="22"/>
  <c r="H2604" i="22"/>
  <c r="H2605" i="22"/>
  <c r="H2606" i="22"/>
  <c r="H2607" i="22"/>
  <c r="H2608" i="22"/>
  <c r="H2609" i="22"/>
  <c r="H2610" i="22"/>
  <c r="H2611" i="22"/>
  <c r="H2612" i="22"/>
  <c r="H2613" i="22"/>
  <c r="H2614" i="22"/>
  <c r="H2615" i="22"/>
  <c r="H2616" i="22"/>
  <c r="H2617" i="22"/>
  <c r="H2618" i="22"/>
  <c r="H2619" i="22"/>
  <c r="H2620" i="22"/>
  <c r="H2621" i="22"/>
  <c r="H2622" i="22"/>
  <c r="H2623" i="22"/>
  <c r="H2624" i="22"/>
  <c r="H2625" i="22"/>
  <c r="H2626" i="22"/>
  <c r="H2627" i="22"/>
  <c r="H2628" i="22"/>
  <c r="H2629" i="22"/>
  <c r="H2630" i="22"/>
  <c r="H2631" i="22"/>
  <c r="H2632" i="22"/>
  <c r="H2633" i="22"/>
  <c r="H2634" i="22"/>
  <c r="H2635" i="22"/>
  <c r="H2636" i="22"/>
  <c r="H2637" i="22"/>
  <c r="H2638" i="22"/>
  <c r="H2639" i="22"/>
  <c r="H2640" i="22"/>
  <c r="H2641" i="22"/>
  <c r="H2642" i="22"/>
  <c r="H2643" i="22"/>
  <c r="H2644" i="22"/>
  <c r="H2645" i="22"/>
  <c r="H2646" i="22"/>
  <c r="H2647" i="22"/>
  <c r="H2648" i="22"/>
  <c r="H2649" i="22"/>
  <c r="H2650" i="22"/>
  <c r="H2651" i="22"/>
  <c r="H2652" i="22"/>
  <c r="H2653" i="22"/>
  <c r="H2654" i="22"/>
  <c r="H2655" i="22"/>
  <c r="H2656" i="22"/>
  <c r="H2657" i="22"/>
  <c r="H2658" i="22"/>
  <c r="H2659" i="22"/>
  <c r="H2660" i="22"/>
  <c r="H2661" i="22"/>
  <c r="H2662" i="22"/>
  <c r="H2663" i="22"/>
  <c r="H2664" i="22"/>
  <c r="H2665" i="22"/>
  <c r="H2666" i="22"/>
  <c r="H2667" i="22"/>
  <c r="H2668" i="22"/>
  <c r="H2669" i="22"/>
  <c r="H2670" i="22"/>
  <c r="H2671" i="22"/>
  <c r="H2672" i="22"/>
  <c r="H2673" i="22"/>
  <c r="H2674" i="22"/>
  <c r="H2675" i="22"/>
  <c r="H2676" i="22"/>
  <c r="H2677" i="22"/>
  <c r="H2678" i="22"/>
  <c r="H2679" i="22"/>
  <c r="H2680" i="22"/>
  <c r="H2681" i="22"/>
  <c r="H2682" i="22"/>
  <c r="H2683" i="22"/>
  <c r="H2684" i="22"/>
  <c r="H2685" i="22"/>
  <c r="H2686" i="22"/>
  <c r="H2687" i="22"/>
  <c r="H2688" i="22"/>
  <c r="H2689" i="22"/>
  <c r="H2690" i="22"/>
  <c r="H2691" i="22"/>
  <c r="H2692" i="22"/>
  <c r="H2693" i="22"/>
  <c r="H2694" i="22"/>
  <c r="H2695" i="22"/>
  <c r="H2696" i="22"/>
  <c r="H2697" i="22"/>
  <c r="H2698" i="22"/>
  <c r="H2699" i="22"/>
  <c r="H2700" i="22"/>
  <c r="H2701" i="22"/>
  <c r="H2702" i="22"/>
  <c r="H2703" i="22"/>
  <c r="H2704" i="22"/>
  <c r="H2705" i="22"/>
  <c r="H2706" i="22"/>
  <c r="H2707" i="22"/>
  <c r="H2708" i="22"/>
  <c r="H2709" i="22"/>
  <c r="H2710" i="22"/>
  <c r="H2711" i="22"/>
  <c r="H2712" i="22"/>
  <c r="H2713" i="22"/>
  <c r="H2714" i="22"/>
  <c r="H2715" i="22"/>
  <c r="H2716" i="22"/>
  <c r="H2717" i="22"/>
  <c r="H2718" i="22"/>
  <c r="H2719" i="22"/>
  <c r="H2720" i="22"/>
  <c r="H2721" i="22"/>
  <c r="H2722" i="22"/>
  <c r="H2723" i="22"/>
  <c r="H2724" i="22"/>
  <c r="H2725" i="22"/>
  <c r="H2726" i="22"/>
  <c r="H2727" i="22"/>
  <c r="H2728" i="22"/>
  <c r="H2729" i="22"/>
  <c r="H2730" i="22"/>
  <c r="H2731" i="22"/>
  <c r="H2732" i="22"/>
  <c r="H2733" i="22"/>
  <c r="H2734" i="22"/>
  <c r="H2735" i="22"/>
  <c r="H2736" i="22"/>
  <c r="H2737" i="22"/>
  <c r="H2738" i="22"/>
  <c r="H2739" i="22"/>
  <c r="H2740" i="22"/>
  <c r="H2741" i="22"/>
  <c r="H2742" i="22"/>
  <c r="H2743" i="22"/>
  <c r="H2744" i="22"/>
  <c r="H2745" i="22"/>
  <c r="H2746" i="22"/>
  <c r="H2747" i="22"/>
  <c r="H2748" i="22"/>
  <c r="H2749" i="22"/>
  <c r="H2750" i="22"/>
  <c r="H2751" i="22"/>
  <c r="H2752" i="22"/>
  <c r="H2753" i="22"/>
  <c r="H2754" i="22"/>
  <c r="H2755" i="22"/>
  <c r="H2756" i="22"/>
  <c r="H2757" i="22"/>
  <c r="H2758" i="22"/>
  <c r="H2759" i="22"/>
  <c r="H2760" i="22"/>
  <c r="H2761" i="22"/>
  <c r="H2762" i="22"/>
  <c r="H2763" i="22"/>
  <c r="H2764" i="22"/>
  <c r="H2765" i="22"/>
  <c r="H2766" i="22"/>
  <c r="H2767" i="22"/>
  <c r="H2768" i="22"/>
  <c r="H2769" i="22"/>
  <c r="H2770" i="22"/>
  <c r="H2771" i="22"/>
  <c r="H2772" i="22"/>
  <c r="H2773" i="22"/>
  <c r="H2774" i="22"/>
  <c r="H2775" i="22"/>
  <c r="H2776" i="22"/>
  <c r="H2777" i="22"/>
  <c r="H2778" i="22"/>
  <c r="H2779" i="22"/>
  <c r="H2780" i="22"/>
  <c r="H2781" i="22"/>
  <c r="H2782" i="22"/>
  <c r="H2783" i="22"/>
  <c r="H2784" i="22"/>
  <c r="H2785" i="22"/>
  <c r="H2786" i="22"/>
  <c r="H2787" i="22"/>
  <c r="H2788" i="22"/>
  <c r="H2789" i="22"/>
  <c r="H2790" i="22"/>
  <c r="H2791" i="22"/>
  <c r="H2792" i="22"/>
  <c r="H2793" i="22"/>
  <c r="H2794" i="22"/>
  <c r="H2795" i="22"/>
  <c r="H2796" i="22"/>
  <c r="H2797" i="22"/>
  <c r="H2798" i="22"/>
  <c r="H2799" i="22"/>
  <c r="H2800" i="22"/>
  <c r="H2801" i="22"/>
  <c r="H2802" i="22"/>
  <c r="H2803" i="22"/>
  <c r="H2804" i="22"/>
  <c r="H2805" i="22"/>
  <c r="H2806" i="22"/>
  <c r="H2807" i="22"/>
  <c r="H2808" i="22"/>
  <c r="H2809" i="22"/>
  <c r="H2810" i="22"/>
  <c r="H2811" i="22"/>
  <c r="H2812" i="22"/>
  <c r="H2813" i="22"/>
  <c r="H2814" i="22"/>
  <c r="H2815" i="22"/>
  <c r="H2816" i="22"/>
  <c r="H2817" i="22"/>
  <c r="H2818" i="22"/>
  <c r="H2819" i="22"/>
  <c r="H2820" i="22"/>
  <c r="H2821" i="22"/>
  <c r="H2822" i="22"/>
  <c r="H2823" i="22"/>
  <c r="H2824" i="22"/>
  <c r="H2825" i="22"/>
  <c r="H2826" i="22"/>
  <c r="H2827" i="22"/>
  <c r="H2828" i="22"/>
  <c r="H2829" i="22"/>
  <c r="H2830" i="22"/>
  <c r="H2831" i="22"/>
  <c r="H2832" i="22"/>
  <c r="H2833" i="22"/>
  <c r="H2834" i="22"/>
  <c r="H2835" i="22"/>
  <c r="H2836" i="22"/>
  <c r="H2837" i="22"/>
  <c r="H2838" i="22"/>
  <c r="H2839" i="22"/>
  <c r="H2840" i="22"/>
  <c r="H2841" i="22"/>
  <c r="H2842" i="22"/>
  <c r="H2843" i="22"/>
  <c r="H2844" i="22"/>
  <c r="H2845" i="22"/>
  <c r="H2846" i="22"/>
  <c r="H2847" i="22"/>
  <c r="H2848" i="22"/>
  <c r="H2849" i="22"/>
  <c r="H2850" i="22"/>
  <c r="H2851" i="22"/>
  <c r="H2852" i="22"/>
  <c r="H2853" i="22"/>
  <c r="H2854" i="22"/>
  <c r="H2855" i="22"/>
  <c r="H2856" i="22"/>
  <c r="H2857" i="22"/>
  <c r="H2858" i="22"/>
  <c r="H2859" i="22"/>
  <c r="H2860" i="22"/>
  <c r="H2861" i="22"/>
  <c r="H2862" i="22"/>
  <c r="H2863" i="22"/>
  <c r="H2864" i="22"/>
  <c r="H2865" i="22"/>
  <c r="H2866" i="22"/>
  <c r="H2867" i="22"/>
  <c r="H2868" i="22"/>
  <c r="H2869" i="22"/>
  <c r="H2870" i="22"/>
  <c r="H2871" i="22"/>
  <c r="H2872" i="22"/>
  <c r="H2873" i="22"/>
  <c r="H2874" i="22"/>
  <c r="H2875" i="22"/>
  <c r="H2876" i="22"/>
  <c r="H2877" i="22"/>
  <c r="H2878" i="22"/>
  <c r="H2879" i="22"/>
  <c r="H2880" i="22"/>
  <c r="H2881" i="22"/>
  <c r="H2882" i="22"/>
  <c r="H2883" i="22"/>
  <c r="H2884" i="22"/>
  <c r="H2885" i="22"/>
  <c r="H2886" i="22"/>
  <c r="H2887" i="22"/>
  <c r="H2888" i="22"/>
  <c r="H2889" i="22"/>
  <c r="H2890" i="22"/>
  <c r="H2891" i="22"/>
  <c r="H2892" i="22"/>
  <c r="H2893" i="22"/>
  <c r="H2894" i="22"/>
  <c r="H2895" i="22"/>
  <c r="H2896" i="22"/>
  <c r="H2897" i="22"/>
  <c r="H2898" i="22"/>
  <c r="H2899" i="22"/>
  <c r="H2900" i="22"/>
  <c r="H2901" i="22"/>
  <c r="H2902" i="22"/>
  <c r="H2903" i="22"/>
  <c r="H2904" i="22"/>
  <c r="H2905" i="22"/>
  <c r="H2906" i="22"/>
  <c r="H2907" i="22"/>
  <c r="H2908" i="22"/>
  <c r="H2909" i="22"/>
  <c r="H2910" i="22"/>
  <c r="H2911" i="22"/>
  <c r="H2912" i="22"/>
  <c r="H2913" i="22"/>
  <c r="H2914" i="22"/>
  <c r="H2915" i="22"/>
  <c r="H2916" i="22"/>
  <c r="H2917" i="22"/>
  <c r="H2918" i="22"/>
  <c r="H2919" i="22"/>
  <c r="H2920" i="22"/>
  <c r="H2921" i="22"/>
  <c r="H2922" i="22"/>
  <c r="H2923" i="22"/>
  <c r="H2924" i="22"/>
  <c r="H2925" i="22"/>
  <c r="H2926" i="22"/>
  <c r="H2927" i="22"/>
  <c r="H2928" i="22"/>
  <c r="H2929" i="22"/>
  <c r="H2930" i="22"/>
  <c r="H2931" i="22"/>
  <c r="H2932" i="22"/>
  <c r="H2933" i="22"/>
  <c r="H2934" i="22"/>
  <c r="H2935" i="22"/>
  <c r="H2936" i="22"/>
  <c r="H2937" i="22"/>
  <c r="H2938" i="22"/>
  <c r="H2939" i="22"/>
  <c r="H2940" i="22"/>
  <c r="H2941" i="22"/>
  <c r="H2942" i="22"/>
  <c r="H2943" i="22"/>
  <c r="H2944" i="22"/>
  <c r="H2945" i="22"/>
  <c r="H2946" i="22"/>
  <c r="H2947" i="22"/>
  <c r="H2948" i="22"/>
  <c r="H2949" i="22"/>
  <c r="H2950" i="22"/>
  <c r="H2951" i="22"/>
  <c r="H2952" i="22"/>
  <c r="H2953" i="22"/>
  <c r="H2954" i="22"/>
  <c r="H2955" i="22"/>
  <c r="H2956" i="22"/>
  <c r="H2957" i="22"/>
  <c r="H2958" i="22"/>
  <c r="H2959" i="22"/>
  <c r="H2960" i="22"/>
  <c r="H2961" i="22"/>
  <c r="H2962" i="22"/>
  <c r="H2963" i="22"/>
  <c r="H2964" i="22"/>
  <c r="H2965" i="22"/>
  <c r="H2966" i="22"/>
  <c r="H2967" i="22"/>
  <c r="H2968" i="22"/>
  <c r="H2969" i="22"/>
  <c r="H2970" i="22"/>
  <c r="H2971" i="22"/>
  <c r="H2972" i="22"/>
  <c r="H2973" i="22"/>
  <c r="H2974" i="22"/>
  <c r="H2975" i="22"/>
  <c r="H2976" i="22"/>
  <c r="H2977" i="22"/>
  <c r="H2978" i="22"/>
  <c r="H2979" i="22"/>
  <c r="H2980" i="22"/>
  <c r="H2981" i="22"/>
  <c r="H2982" i="22"/>
  <c r="H2983" i="22"/>
  <c r="H2984" i="22"/>
  <c r="H2985" i="22"/>
  <c r="H2986" i="22"/>
  <c r="H2987" i="22"/>
  <c r="H2988" i="22"/>
  <c r="H2989" i="22"/>
  <c r="H2990" i="22"/>
  <c r="H2991" i="22"/>
  <c r="H2992" i="22"/>
  <c r="H2993" i="22"/>
  <c r="H2994" i="22"/>
  <c r="H2995" i="22"/>
  <c r="H2996" i="22"/>
  <c r="H2997" i="22"/>
  <c r="H2998" i="22"/>
  <c r="H2999" i="22"/>
  <c r="H3000" i="22"/>
  <c r="H3001" i="22"/>
  <c r="H3002" i="22"/>
  <c r="H3003" i="22"/>
  <c r="H3004" i="22"/>
  <c r="H3005" i="22"/>
  <c r="H3006" i="22"/>
  <c r="H3007" i="22"/>
  <c r="H3008" i="22"/>
  <c r="H3009" i="22"/>
  <c r="H3010" i="22"/>
  <c r="H3011" i="22"/>
  <c r="H3012" i="22"/>
  <c r="H3013" i="22"/>
  <c r="H3014" i="22"/>
  <c r="H3015" i="22"/>
  <c r="H3016" i="22"/>
  <c r="H3017" i="22"/>
  <c r="H3018" i="22"/>
  <c r="H3019" i="22"/>
  <c r="H3020" i="22"/>
  <c r="H3021" i="22"/>
  <c r="H3022" i="22"/>
  <c r="H3023" i="22"/>
  <c r="H3024" i="22"/>
  <c r="H3025" i="22"/>
  <c r="H3026" i="22"/>
  <c r="H3027" i="22"/>
  <c r="H3028" i="22"/>
  <c r="H3029" i="22"/>
  <c r="H3030" i="22"/>
  <c r="H3031" i="22"/>
  <c r="H3032" i="22"/>
  <c r="H3033" i="22"/>
  <c r="H3034" i="22"/>
  <c r="H3035" i="22"/>
  <c r="H3036" i="22"/>
  <c r="H3037" i="22"/>
  <c r="H3038" i="22"/>
  <c r="H3039" i="22"/>
  <c r="H3040" i="22"/>
  <c r="H3041" i="22"/>
  <c r="H3042" i="22"/>
  <c r="H3043" i="22"/>
  <c r="H3044" i="22"/>
  <c r="H3045" i="22"/>
  <c r="H3046" i="22"/>
  <c r="H3047" i="22"/>
  <c r="H3048" i="22"/>
  <c r="H3049" i="22"/>
  <c r="H3050" i="22"/>
  <c r="H3051" i="22"/>
  <c r="H3052" i="22"/>
  <c r="H3053" i="22"/>
  <c r="H3054" i="22"/>
  <c r="H3055" i="22"/>
  <c r="H3056" i="22"/>
  <c r="H3057" i="22"/>
  <c r="H3058" i="22"/>
  <c r="H3059" i="22"/>
  <c r="H3060" i="22"/>
  <c r="H3061" i="22"/>
  <c r="H3062" i="22"/>
  <c r="H3063" i="22"/>
  <c r="H3064" i="22"/>
  <c r="H3065" i="22"/>
  <c r="H3066" i="22"/>
  <c r="H3067" i="22"/>
  <c r="H3068" i="22"/>
  <c r="H3069" i="22"/>
  <c r="H3070" i="22"/>
  <c r="H3071" i="22"/>
  <c r="H3072" i="22"/>
  <c r="H3073" i="22"/>
  <c r="H3074" i="22"/>
  <c r="H3075" i="22"/>
  <c r="H3076" i="22"/>
  <c r="H3077" i="22"/>
  <c r="H3078" i="22"/>
  <c r="H3079" i="22"/>
  <c r="H3080" i="22"/>
  <c r="H3081" i="22"/>
  <c r="H3082" i="22"/>
  <c r="H3083" i="22"/>
  <c r="H3084" i="22"/>
  <c r="H3085" i="22"/>
  <c r="H3086" i="22"/>
  <c r="H3087" i="22"/>
  <c r="H3088" i="22"/>
  <c r="H3089" i="22"/>
  <c r="H3090" i="22"/>
  <c r="H3091" i="22"/>
  <c r="H3092" i="22"/>
  <c r="H3093" i="22"/>
  <c r="H3094" i="22"/>
  <c r="H3095" i="22"/>
  <c r="H3096" i="22"/>
  <c r="H3097" i="22"/>
  <c r="H3098" i="22"/>
  <c r="H3099" i="22"/>
  <c r="H3100" i="22"/>
  <c r="H3101" i="22"/>
  <c r="H3102" i="22"/>
  <c r="H3103" i="22"/>
  <c r="H3104" i="22"/>
  <c r="H3105" i="22"/>
  <c r="H3106" i="22"/>
  <c r="H3107" i="22"/>
  <c r="H3108" i="22"/>
  <c r="H3109" i="22"/>
  <c r="H3110" i="22"/>
  <c r="H3111" i="22"/>
  <c r="H3112" i="22"/>
  <c r="H3113" i="22"/>
  <c r="H3114" i="22"/>
  <c r="H3115" i="22"/>
  <c r="H3116" i="22"/>
  <c r="H3117" i="22"/>
  <c r="H3118" i="22"/>
  <c r="H3119" i="22"/>
  <c r="H3120" i="22"/>
  <c r="H3121" i="22"/>
  <c r="H3122" i="22"/>
  <c r="H3123" i="22"/>
  <c r="H3124" i="22"/>
  <c r="H3125" i="22"/>
  <c r="H3126" i="22"/>
  <c r="H3127" i="22"/>
  <c r="H3128" i="22"/>
  <c r="H3129" i="22"/>
  <c r="H3130" i="22"/>
  <c r="H3131" i="22"/>
  <c r="H3132" i="22"/>
  <c r="H3133" i="22"/>
  <c r="H3134" i="22"/>
  <c r="H3135" i="22"/>
  <c r="H3136" i="22"/>
  <c r="H3138" i="22"/>
  <c r="H3139" i="22"/>
  <c r="H3140" i="22"/>
  <c r="H3141" i="22"/>
  <c r="H3142" i="22"/>
  <c r="H3143" i="22"/>
  <c r="H3144" i="22"/>
  <c r="H3145" i="22"/>
  <c r="H3146" i="22"/>
  <c r="H3147" i="22"/>
  <c r="H3148" i="22"/>
  <c r="H3149" i="22"/>
  <c r="H3150" i="22"/>
  <c r="H3151" i="22"/>
  <c r="H3152" i="22"/>
  <c r="H3153" i="22"/>
  <c r="H3154" i="22"/>
  <c r="H3155" i="22"/>
  <c r="H3156" i="22"/>
  <c r="H3157" i="22"/>
  <c r="H3158" i="22"/>
  <c r="H3159" i="22"/>
  <c r="H3160" i="22"/>
  <c r="H3161" i="22"/>
  <c r="H3162" i="22"/>
  <c r="H3163" i="22"/>
  <c r="H3164" i="22"/>
  <c r="H3165" i="22"/>
  <c r="H3166" i="22"/>
  <c r="H3167" i="22"/>
  <c r="H3168" i="22"/>
  <c r="H3169" i="22"/>
  <c r="H3170" i="22"/>
  <c r="H3171" i="22"/>
  <c r="H3172" i="22"/>
  <c r="H3173" i="22"/>
  <c r="H3174" i="22"/>
  <c r="H3175" i="22"/>
  <c r="H3176" i="22"/>
  <c r="H3177" i="22"/>
  <c r="H3178" i="22"/>
  <c r="H3179" i="22"/>
  <c r="H3180" i="22"/>
  <c r="H3181" i="22"/>
  <c r="H3182" i="22"/>
  <c r="H3183" i="22"/>
  <c r="H3184" i="22"/>
  <c r="H3185" i="22"/>
  <c r="H3186" i="22"/>
  <c r="H3187" i="22"/>
  <c r="H3188" i="22"/>
  <c r="H3189" i="22"/>
  <c r="H3190" i="22"/>
  <c r="H3191" i="22"/>
  <c r="H3192" i="22"/>
  <c r="H3193" i="22"/>
  <c r="H3194" i="22"/>
  <c r="H3195" i="22"/>
  <c r="H3196" i="22"/>
  <c r="H3197" i="22"/>
  <c r="H3198" i="22"/>
  <c r="H3199" i="22"/>
  <c r="H3200" i="22"/>
  <c r="H3201" i="22"/>
  <c r="H3202" i="22"/>
  <c r="H3203" i="22"/>
  <c r="H3204" i="22"/>
  <c r="H3205" i="22"/>
  <c r="H3206" i="22"/>
  <c r="H3207" i="22"/>
  <c r="H3208" i="22"/>
  <c r="H3209" i="22"/>
  <c r="H3210" i="22"/>
  <c r="H3211" i="22"/>
  <c r="H3212" i="22"/>
  <c r="H3213" i="22"/>
  <c r="H3214" i="22"/>
  <c r="H3215" i="22"/>
  <c r="H3216" i="22"/>
  <c r="H3217" i="22"/>
  <c r="H3218" i="22"/>
  <c r="H3219" i="22"/>
  <c r="H3220" i="22"/>
  <c r="H3221" i="22"/>
  <c r="H3222" i="22"/>
  <c r="H3223" i="22"/>
  <c r="H3224" i="22"/>
  <c r="H3225" i="22"/>
  <c r="H3226" i="22"/>
  <c r="H3227" i="22"/>
  <c r="H3228" i="22"/>
  <c r="H3229" i="22"/>
  <c r="H3230" i="22"/>
  <c r="H3231" i="22"/>
  <c r="H3232" i="22"/>
  <c r="H3233" i="22"/>
  <c r="H3234" i="22"/>
  <c r="H3235" i="22"/>
  <c r="H3236" i="22"/>
  <c r="H3237" i="22"/>
  <c r="H3238" i="22"/>
  <c r="H3239" i="22"/>
  <c r="H3240" i="22"/>
  <c r="H3241" i="22"/>
  <c r="H3242" i="22"/>
  <c r="H3243" i="22"/>
  <c r="H3244" i="22"/>
  <c r="H3245" i="22"/>
  <c r="H3246" i="22"/>
  <c r="H3247" i="22"/>
  <c r="H3248" i="22"/>
  <c r="H3249" i="22"/>
  <c r="H3250" i="22"/>
  <c r="H3251" i="22"/>
  <c r="H3252" i="22"/>
  <c r="H3253" i="22"/>
  <c r="H3254" i="22"/>
  <c r="H3255" i="22"/>
  <c r="H3256" i="22"/>
  <c r="H3257" i="22"/>
  <c r="H3258" i="22"/>
  <c r="H3259" i="22"/>
  <c r="H3260" i="22"/>
  <c r="H3261" i="22"/>
  <c r="H3262" i="22"/>
  <c r="H3263" i="22"/>
  <c r="H3264" i="22"/>
  <c r="H3265" i="22"/>
  <c r="H3266" i="22"/>
  <c r="H3267" i="22"/>
  <c r="H3268" i="22"/>
  <c r="H3269" i="22"/>
  <c r="H3270" i="22"/>
  <c r="H3271" i="22"/>
  <c r="H3272" i="22"/>
  <c r="H3273" i="22"/>
  <c r="H3274" i="22"/>
  <c r="H3275" i="22"/>
  <c r="H3276" i="22"/>
  <c r="H3277" i="22"/>
  <c r="H3278" i="22"/>
  <c r="H3279" i="22"/>
  <c r="H3280" i="22"/>
  <c r="H3281" i="22"/>
  <c r="H3282" i="22"/>
  <c r="H3283" i="22"/>
  <c r="H3284" i="22"/>
  <c r="H3285" i="22"/>
  <c r="H3286" i="22"/>
  <c r="H3287" i="22"/>
  <c r="H3288" i="22"/>
  <c r="H3289" i="22"/>
  <c r="H3290" i="22"/>
  <c r="H3291" i="22"/>
  <c r="H3292" i="22"/>
  <c r="H3293" i="22"/>
  <c r="H3294" i="22"/>
  <c r="H3295" i="22"/>
  <c r="H3296" i="22"/>
  <c r="H3297" i="22"/>
  <c r="H3298" i="22"/>
  <c r="H3299" i="22"/>
  <c r="H3300" i="22"/>
  <c r="H3301" i="22"/>
  <c r="H3302" i="22"/>
  <c r="H3303" i="22"/>
  <c r="H3304" i="22"/>
  <c r="H3305" i="22"/>
  <c r="H3306" i="22"/>
  <c r="H3307" i="22"/>
  <c r="H3308" i="22"/>
  <c r="H3309" i="22"/>
  <c r="H3310" i="22"/>
  <c r="H3311" i="22"/>
  <c r="H3312" i="22"/>
  <c r="H3313" i="22"/>
  <c r="H3314" i="22"/>
  <c r="H3315" i="22"/>
  <c r="H3316" i="22"/>
  <c r="H3317" i="22"/>
  <c r="H3318" i="22"/>
  <c r="H3319" i="22"/>
  <c r="H3320" i="22"/>
  <c r="H3321" i="22"/>
  <c r="H3322" i="22"/>
  <c r="H3323" i="22"/>
  <c r="H3324" i="22"/>
  <c r="H3325" i="22"/>
  <c r="H3326" i="22"/>
  <c r="H3327" i="22"/>
  <c r="H3328" i="22"/>
  <c r="H3329" i="22"/>
  <c r="H3330" i="22"/>
  <c r="H3331" i="22"/>
  <c r="H3332" i="22"/>
  <c r="H3333" i="22"/>
  <c r="H3334" i="22"/>
  <c r="H3335" i="22"/>
  <c r="H3336" i="22"/>
  <c r="H3337" i="22"/>
  <c r="H3338" i="22"/>
  <c r="H3339" i="22"/>
  <c r="H3340" i="22"/>
  <c r="H3341" i="22"/>
  <c r="H3342" i="22"/>
  <c r="H3343" i="22"/>
  <c r="H3344" i="22"/>
  <c r="H3345" i="22"/>
  <c r="H3346" i="22"/>
  <c r="H3347" i="22"/>
  <c r="H3348" i="22"/>
  <c r="H3349" i="22"/>
  <c r="H3350" i="22"/>
  <c r="H3351" i="22"/>
  <c r="H3352" i="22"/>
  <c r="H3353" i="22"/>
  <c r="H3354" i="22"/>
  <c r="H3355" i="22"/>
  <c r="H3356" i="22"/>
  <c r="H3357" i="22"/>
  <c r="H3358" i="22"/>
  <c r="H3359" i="22"/>
  <c r="H3360" i="22"/>
  <c r="H3361" i="22"/>
  <c r="H3362" i="22"/>
  <c r="H3363" i="22"/>
  <c r="H3364" i="22"/>
  <c r="H3365" i="22"/>
  <c r="H3366" i="22"/>
  <c r="H3367" i="22"/>
  <c r="H3368" i="22"/>
  <c r="H3369" i="22"/>
  <c r="H3370" i="22"/>
  <c r="H3371" i="22"/>
  <c r="H3372" i="22"/>
  <c r="H3373" i="22"/>
  <c r="H3374" i="22"/>
  <c r="H3375" i="22"/>
  <c r="H3376" i="22"/>
  <c r="H3377" i="22"/>
  <c r="H3378" i="22"/>
  <c r="H3379" i="22"/>
  <c r="H3380" i="22"/>
  <c r="H3381" i="22"/>
  <c r="H3382" i="22"/>
  <c r="H3383" i="22"/>
  <c r="H3384" i="22"/>
  <c r="H3385" i="22"/>
  <c r="H3386" i="22"/>
  <c r="H3387" i="22"/>
  <c r="H3388" i="22"/>
  <c r="H3389" i="22"/>
  <c r="H3390" i="22"/>
  <c r="H3391" i="22"/>
  <c r="H3392" i="22"/>
  <c r="H3393" i="22"/>
  <c r="H3394" i="22"/>
  <c r="H3395" i="22"/>
  <c r="H3396" i="22"/>
  <c r="H3397" i="22"/>
  <c r="H3398" i="22"/>
  <c r="H3399" i="22"/>
  <c r="H3400" i="22"/>
  <c r="H3401" i="22"/>
  <c r="H3402" i="22"/>
  <c r="H3403" i="22"/>
  <c r="H3404" i="22"/>
  <c r="H3405" i="22"/>
  <c r="H3406" i="22"/>
  <c r="H3407" i="22"/>
  <c r="H3408" i="22"/>
  <c r="H3409" i="22"/>
  <c r="H3410" i="22"/>
  <c r="H3411" i="22"/>
  <c r="H3412" i="22"/>
  <c r="H3413" i="22"/>
  <c r="H3414" i="22"/>
  <c r="H3415" i="22"/>
  <c r="H3416" i="22"/>
  <c r="H3417" i="22"/>
  <c r="H3418" i="22"/>
  <c r="H3419" i="22"/>
  <c r="H3420" i="22"/>
  <c r="H3421" i="22"/>
  <c r="H3422" i="22"/>
  <c r="H3423" i="22"/>
  <c r="H3424" i="22"/>
  <c r="H3425" i="22"/>
  <c r="H3426" i="22"/>
  <c r="H3427" i="22"/>
  <c r="H3428" i="22"/>
  <c r="H3429" i="22"/>
  <c r="H3430" i="22"/>
  <c r="H3431" i="22"/>
  <c r="H3432" i="22"/>
  <c r="H3433" i="22"/>
  <c r="H3434" i="22"/>
  <c r="H3435" i="22"/>
  <c r="H3436" i="22"/>
  <c r="H3437" i="22"/>
  <c r="H3438" i="22"/>
  <c r="H3439" i="22"/>
  <c r="H3440" i="22"/>
  <c r="H3441" i="22"/>
  <c r="H3442" i="22"/>
  <c r="H3443" i="22"/>
  <c r="H3444" i="22"/>
  <c r="H3445" i="22"/>
  <c r="H3446" i="22"/>
  <c r="H3447" i="22"/>
  <c r="H3448" i="22"/>
  <c r="H3449" i="22"/>
  <c r="H3450" i="22"/>
  <c r="H3451" i="22"/>
  <c r="H3452" i="22"/>
  <c r="H3453" i="22"/>
  <c r="H3454" i="22"/>
  <c r="H3455" i="22"/>
  <c r="H3456" i="22"/>
  <c r="H3457" i="22"/>
  <c r="H3458" i="22"/>
  <c r="H3459" i="22"/>
  <c r="H3460" i="22"/>
  <c r="H3461" i="22"/>
  <c r="H3462" i="22"/>
  <c r="H3463" i="22"/>
  <c r="H3464" i="22"/>
  <c r="H3465" i="22"/>
  <c r="H3466" i="22"/>
  <c r="H3467" i="22"/>
  <c r="H3468" i="22"/>
  <c r="H3469" i="22"/>
  <c r="H3470" i="22"/>
  <c r="H3471" i="22"/>
  <c r="H3472" i="22"/>
  <c r="H3473" i="22"/>
  <c r="H3474" i="22"/>
  <c r="H3475" i="22"/>
  <c r="H3476" i="22"/>
  <c r="H3477" i="22"/>
  <c r="H3478" i="22"/>
  <c r="H3479" i="22"/>
  <c r="H3480" i="22"/>
  <c r="H3481" i="22"/>
  <c r="H3482" i="22"/>
  <c r="H3483" i="22"/>
  <c r="H3484" i="22"/>
  <c r="H3485" i="22"/>
  <c r="H3486" i="22"/>
  <c r="H3487" i="22"/>
  <c r="H3488" i="22"/>
  <c r="H3489" i="22"/>
  <c r="H3490" i="22"/>
  <c r="H3491" i="22"/>
  <c r="H3492" i="22"/>
  <c r="H3493" i="22"/>
  <c r="H3494" i="22"/>
  <c r="H3495" i="22"/>
  <c r="H3496" i="22"/>
  <c r="H3497" i="22"/>
  <c r="H3498" i="22"/>
  <c r="H3499" i="22"/>
  <c r="H3500" i="22"/>
  <c r="H3501" i="22"/>
  <c r="H3502" i="22"/>
  <c r="H3503" i="22"/>
  <c r="H3504" i="22"/>
  <c r="H3505" i="22"/>
  <c r="H3506" i="22"/>
  <c r="H3507" i="22"/>
  <c r="H3508" i="22"/>
  <c r="H3509" i="22"/>
  <c r="H3510" i="22"/>
  <c r="H3511" i="22"/>
  <c r="H3512" i="22"/>
  <c r="H3513" i="22"/>
  <c r="H3514" i="22"/>
  <c r="H3515" i="22"/>
  <c r="H3516" i="22"/>
  <c r="H3517" i="22"/>
  <c r="H3518" i="22"/>
  <c r="H3519" i="22"/>
  <c r="H3520" i="22"/>
  <c r="H3521" i="22"/>
  <c r="H3522" i="22"/>
  <c r="H3523" i="22"/>
  <c r="H3524" i="22"/>
  <c r="H3525" i="22"/>
  <c r="H3526" i="22"/>
  <c r="H3527" i="22"/>
  <c r="H3528" i="22"/>
  <c r="H3529" i="22"/>
  <c r="H3530" i="22"/>
  <c r="H3531" i="22"/>
  <c r="H3532" i="22"/>
  <c r="H3533" i="22"/>
  <c r="H3534" i="22"/>
  <c r="H3535" i="22"/>
  <c r="H3536" i="22"/>
  <c r="H3537" i="22"/>
  <c r="H3538" i="22"/>
  <c r="H3539" i="22"/>
  <c r="H3540" i="22"/>
  <c r="H3541" i="22"/>
  <c r="H3542" i="22"/>
  <c r="H3543" i="22"/>
  <c r="H3544" i="22"/>
  <c r="H3545" i="22"/>
  <c r="H3546" i="22"/>
  <c r="H3547" i="22"/>
  <c r="H3548" i="22"/>
  <c r="H3549" i="22"/>
  <c r="H3550" i="22"/>
  <c r="H3551" i="22"/>
  <c r="H3552" i="22"/>
  <c r="H3553" i="22"/>
  <c r="H3554" i="22"/>
  <c r="H3555" i="22"/>
  <c r="H3556" i="22"/>
  <c r="H3557" i="22"/>
  <c r="H3558" i="22"/>
  <c r="H3559" i="22"/>
  <c r="H3560" i="22"/>
  <c r="H3561" i="22"/>
  <c r="H3562" i="22"/>
  <c r="H3563" i="22"/>
  <c r="H3564" i="22"/>
  <c r="H3565" i="22"/>
  <c r="H3566" i="22"/>
  <c r="H3567" i="22"/>
  <c r="H3568" i="22"/>
  <c r="H3569" i="22"/>
  <c r="H3570" i="22"/>
  <c r="H3571" i="22"/>
  <c r="H3572" i="22"/>
  <c r="H3573" i="22"/>
  <c r="H3574" i="22"/>
  <c r="H3575" i="22"/>
  <c r="H3576" i="22"/>
  <c r="H3577" i="22"/>
  <c r="H3578" i="22"/>
  <c r="H3579" i="22"/>
  <c r="H3580" i="22"/>
  <c r="H3581" i="22"/>
  <c r="H3582" i="22"/>
  <c r="H3583" i="22"/>
  <c r="H3584" i="22"/>
  <c r="H3585" i="22"/>
  <c r="H3586" i="22"/>
  <c r="H3587" i="22"/>
  <c r="H3588" i="22"/>
  <c r="H3589" i="22"/>
  <c r="H3590" i="22"/>
  <c r="H3591" i="22"/>
  <c r="H3592" i="22"/>
  <c r="H3593" i="22"/>
  <c r="H3594" i="22"/>
  <c r="H3595" i="22"/>
  <c r="H3596" i="22"/>
  <c r="H3597" i="22"/>
  <c r="H3598" i="22"/>
  <c r="H3599" i="22"/>
  <c r="H3600" i="22"/>
  <c r="H3601" i="22"/>
  <c r="H3602" i="22"/>
  <c r="H3603" i="22"/>
  <c r="H3604" i="22"/>
  <c r="H3605" i="22"/>
  <c r="H3606" i="22"/>
  <c r="H3607" i="22"/>
  <c r="H3608" i="22"/>
  <c r="H3609" i="22"/>
  <c r="H3610" i="22"/>
  <c r="H3611" i="22"/>
  <c r="H3612" i="22"/>
  <c r="H3613" i="22"/>
  <c r="H3614" i="22"/>
  <c r="H3615" i="22"/>
  <c r="H3616" i="22"/>
  <c r="H3617" i="22"/>
  <c r="H3618" i="22"/>
  <c r="H3619" i="22"/>
  <c r="H3620" i="22"/>
  <c r="H3621" i="22"/>
  <c r="H3622" i="22"/>
  <c r="H3623" i="22"/>
  <c r="H3624" i="22"/>
  <c r="H3625" i="22"/>
  <c r="H3626" i="22"/>
  <c r="H3627" i="22"/>
  <c r="H3628" i="22"/>
  <c r="H3629" i="22"/>
  <c r="H3630" i="22"/>
  <c r="H3631" i="22"/>
  <c r="H3632" i="22"/>
  <c r="H3633" i="22"/>
  <c r="H3634" i="22"/>
  <c r="H3635" i="22"/>
  <c r="H3636" i="22"/>
  <c r="H3637" i="22"/>
  <c r="H3638" i="22"/>
  <c r="H3639" i="22"/>
  <c r="H3640" i="22"/>
  <c r="H3641" i="22"/>
  <c r="H3642" i="22"/>
  <c r="H3643" i="22"/>
  <c r="H3644" i="22"/>
  <c r="H3645" i="22"/>
  <c r="H3646" i="22"/>
  <c r="H3647" i="22"/>
  <c r="H3648" i="22"/>
  <c r="H3649" i="22"/>
  <c r="H3650" i="22"/>
  <c r="H3651" i="22"/>
  <c r="H3652" i="22"/>
  <c r="H3653" i="22"/>
  <c r="H3654" i="22"/>
  <c r="H3655" i="22"/>
  <c r="H3656" i="22"/>
  <c r="H3657" i="22"/>
  <c r="H3658" i="22"/>
  <c r="H3659" i="22"/>
  <c r="H3660" i="22"/>
  <c r="H3661" i="22"/>
  <c r="H3662" i="22"/>
  <c r="H3663" i="22"/>
  <c r="H3664" i="22"/>
  <c r="H3665" i="22"/>
  <c r="H3666" i="22"/>
  <c r="H3667" i="22"/>
  <c r="H3668" i="22"/>
  <c r="H3669" i="22"/>
  <c r="H3670" i="22"/>
  <c r="H3671" i="22"/>
  <c r="H3672" i="22"/>
  <c r="H3673" i="22"/>
  <c r="H3674" i="22"/>
  <c r="H3675" i="22"/>
  <c r="H3676" i="22"/>
  <c r="H3677" i="22"/>
  <c r="H3678" i="22"/>
  <c r="H3679" i="22"/>
  <c r="H3680" i="22"/>
  <c r="H3681" i="22"/>
  <c r="H3682" i="22"/>
  <c r="H3683" i="22"/>
  <c r="H3684" i="22"/>
  <c r="H3685" i="22"/>
  <c r="H3686" i="22"/>
  <c r="H3687" i="22"/>
  <c r="H3688" i="22"/>
  <c r="H3689" i="22"/>
  <c r="H3690" i="22"/>
  <c r="H3691" i="22"/>
  <c r="H3692" i="22"/>
  <c r="H3693" i="22"/>
  <c r="H3694" i="22"/>
  <c r="H3695" i="22"/>
  <c r="H3696" i="22"/>
  <c r="H3697" i="22"/>
  <c r="H3698" i="22"/>
  <c r="H3699" i="22"/>
  <c r="H3700" i="22"/>
  <c r="H3701" i="22"/>
  <c r="H3702" i="22"/>
  <c r="H3703" i="22"/>
  <c r="H3704" i="22"/>
  <c r="H3705" i="22"/>
  <c r="H3706" i="22"/>
  <c r="H3707" i="22"/>
  <c r="H3708" i="22"/>
  <c r="H3709" i="22"/>
  <c r="H3710" i="22"/>
  <c r="H3711" i="22"/>
  <c r="H3712" i="22"/>
  <c r="H3713" i="22"/>
  <c r="H3714" i="22"/>
  <c r="H3715" i="22"/>
  <c r="H3716" i="22"/>
  <c r="H3717" i="22"/>
  <c r="H3718" i="22"/>
  <c r="H3719" i="22"/>
  <c r="H3720" i="22"/>
  <c r="H3721" i="22"/>
  <c r="H3722" i="22"/>
  <c r="H3723" i="22"/>
  <c r="H3724" i="22"/>
  <c r="H3725" i="22"/>
  <c r="H3726" i="22"/>
  <c r="H3727" i="22"/>
  <c r="H3728" i="22"/>
  <c r="H3729" i="22"/>
  <c r="H3730" i="22"/>
  <c r="H3731" i="22"/>
  <c r="H3732" i="22"/>
  <c r="H3733" i="22"/>
  <c r="H3734" i="22"/>
  <c r="H3735" i="22"/>
  <c r="H3736" i="22"/>
  <c r="H3737" i="22"/>
  <c r="H3738" i="22"/>
  <c r="H3739" i="22"/>
  <c r="H3740" i="22"/>
  <c r="H3741" i="22"/>
  <c r="H3742" i="22"/>
  <c r="H3743" i="22"/>
  <c r="H3744" i="22"/>
  <c r="H3745" i="22"/>
  <c r="H3746" i="22"/>
  <c r="H3747" i="22"/>
  <c r="H3748" i="22"/>
  <c r="H3749" i="22"/>
  <c r="H3750" i="22"/>
  <c r="H3751" i="22"/>
  <c r="H3752" i="22"/>
  <c r="H3753" i="22"/>
  <c r="H3754" i="22"/>
  <c r="H3755" i="22"/>
  <c r="H3756" i="22"/>
  <c r="H3757" i="22"/>
  <c r="H3758" i="22"/>
  <c r="H3759" i="22"/>
  <c r="H3760" i="22"/>
  <c r="H3761" i="22"/>
  <c r="H3762" i="22"/>
  <c r="H3763" i="22"/>
  <c r="H3764" i="22"/>
  <c r="H3765" i="22"/>
  <c r="H3766" i="22"/>
  <c r="H3767" i="22"/>
  <c r="H3768" i="22"/>
  <c r="H3769" i="22"/>
  <c r="H3770" i="22"/>
  <c r="H3771" i="22"/>
  <c r="H3772" i="22"/>
  <c r="H3773" i="22"/>
  <c r="H3774" i="22"/>
  <c r="H3775" i="22"/>
  <c r="H3776" i="22"/>
  <c r="H3777" i="22"/>
  <c r="H3778" i="22"/>
  <c r="H3779" i="22"/>
  <c r="H3780" i="22"/>
  <c r="H3781" i="22"/>
  <c r="H3782" i="22"/>
  <c r="H3783" i="22"/>
  <c r="H3784" i="22"/>
  <c r="H3785" i="22"/>
  <c r="H3786" i="22"/>
  <c r="H3787" i="22"/>
  <c r="H3788" i="22"/>
  <c r="H3789" i="22"/>
  <c r="H3790" i="22"/>
  <c r="H3791" i="22"/>
  <c r="H3792" i="22"/>
  <c r="H3793" i="22"/>
  <c r="H3794" i="22"/>
  <c r="H3795" i="22"/>
  <c r="H3796" i="22"/>
  <c r="H3797" i="22"/>
  <c r="H3798" i="22"/>
  <c r="H3799" i="22"/>
  <c r="H3800" i="22"/>
  <c r="H3801" i="22"/>
  <c r="H3802" i="22"/>
  <c r="H3803" i="22"/>
  <c r="H3804" i="22"/>
  <c r="H3805" i="22"/>
  <c r="H3806" i="22"/>
  <c r="H3807" i="22"/>
  <c r="H3808" i="22"/>
  <c r="H3809" i="22"/>
  <c r="H3810" i="22"/>
  <c r="H3811" i="22"/>
  <c r="H3812" i="22"/>
  <c r="H3813" i="22"/>
  <c r="H3814" i="22"/>
  <c r="H3815" i="22"/>
  <c r="H3816" i="22"/>
  <c r="H3817" i="22"/>
  <c r="H3818" i="22"/>
  <c r="H3819" i="22"/>
  <c r="H3820" i="22"/>
  <c r="H3821" i="22"/>
  <c r="H3822" i="22"/>
  <c r="H3823" i="22"/>
  <c r="H3824" i="22"/>
  <c r="H3825" i="22"/>
  <c r="H3826" i="22"/>
  <c r="H3827" i="22"/>
  <c r="H3828" i="22"/>
  <c r="H3829" i="22"/>
  <c r="H3830" i="22"/>
  <c r="H3831" i="22"/>
  <c r="H3832" i="22"/>
  <c r="H3833" i="22"/>
  <c r="H3834" i="22"/>
  <c r="H3835" i="22"/>
  <c r="H3836" i="22"/>
  <c r="H3837" i="22"/>
  <c r="H3838" i="22"/>
  <c r="H3839" i="22"/>
  <c r="H3840" i="22"/>
  <c r="H3841" i="22"/>
  <c r="H3842" i="22"/>
  <c r="H3843" i="22"/>
  <c r="H3844" i="22"/>
  <c r="H3845" i="22"/>
  <c r="H3846" i="22"/>
  <c r="H3847" i="22"/>
  <c r="H3848" i="22"/>
  <c r="H3849" i="22"/>
  <c r="H3850" i="22"/>
  <c r="H3851" i="22"/>
  <c r="H3852" i="22"/>
  <c r="H3853" i="22"/>
  <c r="H3854" i="22"/>
  <c r="H3855" i="22"/>
  <c r="H3856" i="22"/>
  <c r="H3857" i="22"/>
  <c r="H3858" i="22"/>
  <c r="H3859" i="22"/>
  <c r="H3860" i="22"/>
  <c r="H3861" i="22"/>
  <c r="H3862" i="22"/>
  <c r="H3863" i="22"/>
  <c r="H3864" i="22"/>
  <c r="H3865" i="22"/>
  <c r="H3866" i="22"/>
  <c r="H3867" i="22"/>
  <c r="H3868" i="22"/>
  <c r="H3869" i="22"/>
  <c r="H3870" i="22"/>
  <c r="H3871" i="22"/>
  <c r="H3872" i="22"/>
  <c r="H3873" i="22"/>
  <c r="H3874" i="22"/>
  <c r="H3875" i="22"/>
  <c r="H3876" i="22"/>
  <c r="H3877" i="22"/>
  <c r="H3878" i="22"/>
  <c r="H3879" i="22"/>
  <c r="H3880" i="22"/>
  <c r="H3881" i="22"/>
  <c r="H3882" i="22"/>
  <c r="H3883" i="22"/>
  <c r="H3884" i="22"/>
  <c r="H3885" i="22"/>
  <c r="H3886" i="22"/>
  <c r="H3887" i="22"/>
  <c r="H3888" i="22"/>
  <c r="H3889" i="22"/>
  <c r="H3890" i="22"/>
  <c r="H3891" i="22"/>
  <c r="H3892" i="22"/>
  <c r="H3893" i="22"/>
  <c r="H3894" i="22"/>
  <c r="H3895" i="22"/>
  <c r="H3896" i="22"/>
  <c r="H3897" i="22"/>
  <c r="H3898" i="22"/>
  <c r="H3899" i="22"/>
  <c r="H3900" i="22"/>
  <c r="H3901" i="22"/>
  <c r="H3902" i="22"/>
  <c r="H3903" i="22"/>
  <c r="H3904" i="22"/>
  <c r="H3905" i="22"/>
  <c r="H3906" i="22"/>
  <c r="H3907" i="22"/>
  <c r="H3908" i="22"/>
  <c r="H3909" i="22"/>
  <c r="H3910" i="22"/>
  <c r="H3911" i="22"/>
  <c r="H3912" i="22"/>
  <c r="H3913" i="22"/>
  <c r="H3914" i="22"/>
  <c r="H3915" i="22"/>
  <c r="H3916" i="22"/>
  <c r="H3917" i="22"/>
  <c r="H3918" i="22"/>
  <c r="H3919" i="22"/>
  <c r="H3920" i="22"/>
  <c r="H3921" i="22"/>
  <c r="H3922" i="22"/>
  <c r="H3923" i="22"/>
  <c r="H3924" i="22"/>
  <c r="H3925" i="22"/>
  <c r="H3926" i="22"/>
  <c r="H3927" i="22"/>
  <c r="H3928" i="22"/>
  <c r="H3929" i="22"/>
  <c r="H3930" i="22"/>
  <c r="H3931" i="22"/>
  <c r="H3932" i="22"/>
  <c r="H3933" i="22"/>
  <c r="H3934" i="22"/>
  <c r="H3935" i="22"/>
  <c r="H3936" i="22"/>
  <c r="H3937" i="22"/>
  <c r="H3938" i="22"/>
  <c r="H3939" i="22"/>
  <c r="H3940" i="22"/>
  <c r="H3941" i="22"/>
  <c r="H3942" i="22"/>
  <c r="H3943" i="22"/>
  <c r="H3944" i="22"/>
  <c r="H3945" i="22"/>
  <c r="H3946" i="22"/>
  <c r="H3947" i="22"/>
  <c r="H3948" i="22"/>
  <c r="H3949" i="22"/>
  <c r="H3950" i="22"/>
  <c r="H3951" i="22"/>
  <c r="H3952" i="22"/>
  <c r="H3953" i="22"/>
  <c r="H3954" i="22"/>
  <c r="H3955" i="22"/>
  <c r="H3956" i="22"/>
  <c r="H3957" i="22"/>
  <c r="H3958" i="22"/>
  <c r="H3959" i="22"/>
  <c r="H3960" i="22"/>
  <c r="H3961" i="22"/>
  <c r="H3962" i="22"/>
  <c r="H3963" i="22"/>
  <c r="H3964" i="22"/>
  <c r="H3965" i="22"/>
  <c r="H3966" i="22"/>
  <c r="H3967" i="22"/>
  <c r="H3968" i="22"/>
  <c r="H3969" i="22"/>
  <c r="H3970" i="22"/>
  <c r="H3971" i="22"/>
  <c r="H3972" i="22"/>
  <c r="H3973" i="22"/>
  <c r="H3974" i="22"/>
  <c r="H3975" i="22"/>
  <c r="H3976" i="22"/>
  <c r="H3977" i="22"/>
  <c r="H3978" i="22"/>
  <c r="H3979" i="22"/>
  <c r="H3980" i="22"/>
  <c r="H3981" i="22"/>
  <c r="H3982" i="22"/>
  <c r="H3983" i="22"/>
  <c r="H3984" i="22"/>
  <c r="H3985" i="22"/>
  <c r="H3986" i="22"/>
  <c r="H3987" i="22"/>
  <c r="H3988" i="22"/>
  <c r="H3989" i="22"/>
  <c r="H3990" i="22"/>
  <c r="H3991" i="22"/>
  <c r="H3992" i="22"/>
  <c r="H3993" i="22"/>
  <c r="H3994" i="22"/>
  <c r="H3995" i="22"/>
  <c r="H3996" i="22"/>
  <c r="H3997" i="22"/>
  <c r="H3998" i="22"/>
  <c r="H3999" i="22"/>
  <c r="H4000" i="22"/>
  <c r="H4001" i="22"/>
  <c r="H4002" i="22"/>
  <c r="H4003" i="22"/>
  <c r="H4004" i="22"/>
  <c r="H4005" i="22"/>
  <c r="H4006" i="22"/>
  <c r="H4007" i="22"/>
  <c r="H4008" i="22"/>
  <c r="H4009" i="22"/>
  <c r="H4010" i="22"/>
  <c r="H4011" i="22"/>
  <c r="H4012" i="22"/>
  <c r="H4013" i="22"/>
  <c r="H4014" i="22"/>
  <c r="H4015" i="22"/>
  <c r="H4016" i="22"/>
  <c r="H4017" i="22"/>
  <c r="H4018" i="22"/>
  <c r="H4019" i="22"/>
  <c r="H4020" i="22"/>
  <c r="H4021" i="22"/>
  <c r="H4022" i="22"/>
  <c r="H4023" i="22"/>
  <c r="H4024" i="22"/>
  <c r="H4025" i="22"/>
  <c r="H4026" i="22"/>
  <c r="H4027" i="22"/>
  <c r="H4028" i="22"/>
  <c r="H4029" i="22"/>
  <c r="H4030" i="22"/>
  <c r="H4031" i="22"/>
  <c r="H4032" i="22"/>
  <c r="H4033" i="22"/>
  <c r="H4034" i="22"/>
  <c r="H4035" i="22"/>
  <c r="H4036" i="22"/>
  <c r="H4037" i="22"/>
  <c r="H4038" i="22"/>
  <c r="H4039" i="22"/>
  <c r="H4040" i="22"/>
  <c r="H4041" i="22"/>
  <c r="H4042" i="22"/>
  <c r="H4043" i="22"/>
  <c r="H4044" i="22"/>
  <c r="H4045" i="22"/>
  <c r="H4046" i="22"/>
  <c r="H4047" i="22"/>
  <c r="H4048" i="22"/>
  <c r="H4049" i="22"/>
  <c r="H4050" i="22"/>
  <c r="H4051" i="22"/>
  <c r="H4052" i="22"/>
  <c r="H4053" i="22"/>
  <c r="H4054" i="22"/>
  <c r="H4055" i="22"/>
  <c r="H4056" i="22"/>
  <c r="H4057" i="22"/>
  <c r="H4058" i="22"/>
  <c r="H4059" i="22"/>
  <c r="H4060" i="22"/>
  <c r="H4061" i="22"/>
  <c r="H4062" i="22"/>
  <c r="H4063" i="22"/>
  <c r="H4064" i="22"/>
  <c r="H4065" i="22"/>
  <c r="H4066" i="22"/>
  <c r="H4067" i="22"/>
  <c r="H4068" i="22"/>
  <c r="H4069" i="22"/>
  <c r="H4070" i="22"/>
  <c r="H4071" i="22"/>
  <c r="H4072" i="22"/>
  <c r="H4073" i="22"/>
  <c r="H4074" i="22"/>
  <c r="H4075" i="22"/>
  <c r="H4076" i="22"/>
  <c r="H4077" i="22"/>
  <c r="H4078" i="22"/>
  <c r="H4079" i="22"/>
  <c r="H4080" i="22"/>
  <c r="H4081" i="22"/>
  <c r="H4082" i="22"/>
  <c r="H4083" i="22"/>
  <c r="H4084" i="22"/>
  <c r="H4085" i="22"/>
  <c r="H4086" i="22"/>
  <c r="H4087" i="22"/>
  <c r="H4088" i="22"/>
  <c r="H4089" i="22"/>
  <c r="H4090" i="22"/>
  <c r="H4091" i="22"/>
  <c r="H4092" i="22"/>
  <c r="H4093" i="22"/>
  <c r="H4094" i="22"/>
  <c r="H4095" i="22"/>
  <c r="H4096" i="22"/>
  <c r="H4097" i="22"/>
  <c r="H4098" i="22"/>
  <c r="H4099" i="22"/>
  <c r="H4100" i="22"/>
  <c r="H4101" i="22"/>
  <c r="H4102" i="22"/>
  <c r="H4103" i="22"/>
  <c r="H4104" i="22"/>
  <c r="H4105" i="22"/>
  <c r="H4106" i="22"/>
  <c r="H4107" i="22"/>
  <c r="H4108" i="22"/>
  <c r="H4109" i="22"/>
  <c r="H4110" i="22"/>
  <c r="H4111" i="22"/>
  <c r="H4112" i="22"/>
  <c r="H4113" i="22"/>
  <c r="H4114" i="22"/>
  <c r="H4115" i="22"/>
  <c r="H4116" i="22"/>
  <c r="H4117" i="22"/>
  <c r="H4118" i="22"/>
  <c r="H4119" i="22"/>
  <c r="H4120" i="22"/>
  <c r="H4121" i="22"/>
  <c r="H4122" i="22"/>
  <c r="H4123" i="22"/>
  <c r="H4124" i="22"/>
  <c r="H4125" i="22"/>
  <c r="H4126" i="22"/>
  <c r="H4127" i="22"/>
  <c r="H4128" i="22"/>
  <c r="H4129" i="22"/>
  <c r="H4130" i="22"/>
  <c r="H4131" i="22"/>
  <c r="H4132" i="22"/>
  <c r="H4133" i="22"/>
  <c r="H4134" i="22"/>
  <c r="H4135" i="22"/>
  <c r="H4136" i="22"/>
  <c r="H4137" i="22"/>
  <c r="H4138" i="22"/>
  <c r="H4139" i="22"/>
  <c r="H4140" i="22"/>
  <c r="H4141" i="22"/>
  <c r="H4142" i="22"/>
  <c r="H4143" i="22"/>
  <c r="H4144" i="22"/>
  <c r="H4145" i="22"/>
  <c r="H4146" i="22"/>
  <c r="H4147" i="22"/>
  <c r="H4148" i="22"/>
  <c r="H4149" i="22"/>
  <c r="H4150" i="22"/>
  <c r="H4151" i="22"/>
  <c r="H4152" i="22"/>
  <c r="H4153" i="22"/>
  <c r="H4154" i="22"/>
  <c r="H4155" i="22"/>
  <c r="H4156" i="22"/>
  <c r="H4157" i="22"/>
  <c r="H4158" i="22"/>
  <c r="H4159" i="22"/>
  <c r="H4160" i="22"/>
  <c r="H4161" i="22"/>
  <c r="H4162" i="22"/>
  <c r="H4163" i="22"/>
  <c r="H4164" i="22"/>
  <c r="H4165" i="22"/>
  <c r="H4166" i="22"/>
  <c r="H4167" i="22"/>
  <c r="H4168" i="22"/>
  <c r="H4169" i="22"/>
  <c r="H4170" i="22"/>
  <c r="H4171" i="22"/>
  <c r="H4172" i="22"/>
  <c r="H4173" i="22"/>
  <c r="H4174" i="22"/>
  <c r="H4175" i="22"/>
  <c r="H4176" i="22"/>
  <c r="H4177" i="22"/>
  <c r="H4178" i="22"/>
  <c r="H4179" i="22"/>
  <c r="H4180" i="22"/>
  <c r="H4181" i="22"/>
  <c r="H4182" i="22"/>
  <c r="H4183" i="22"/>
  <c r="H4184" i="22"/>
  <c r="H4185" i="22"/>
  <c r="H4186" i="22"/>
  <c r="H4187" i="22"/>
  <c r="H4188" i="22"/>
  <c r="H4189" i="22"/>
  <c r="H4190" i="22"/>
  <c r="H4191" i="22"/>
  <c r="H4192" i="22"/>
  <c r="H4193" i="22"/>
  <c r="H4194" i="22"/>
  <c r="H4195" i="22"/>
  <c r="H4196" i="22"/>
  <c r="H4197" i="22"/>
  <c r="H4198" i="22"/>
  <c r="H4199" i="22"/>
  <c r="H4200" i="22"/>
  <c r="H4201" i="22"/>
  <c r="H4202" i="22"/>
  <c r="H4203" i="22"/>
  <c r="H4204" i="22"/>
  <c r="H4205" i="22"/>
  <c r="H4206" i="22"/>
  <c r="H4207" i="22"/>
  <c r="H4208" i="22"/>
  <c r="H4209" i="22"/>
  <c r="H4210" i="22"/>
  <c r="H4211" i="22"/>
  <c r="H4212" i="22"/>
  <c r="H4213" i="22"/>
  <c r="H4214" i="22"/>
  <c r="H4215" i="22"/>
  <c r="H4216" i="22"/>
  <c r="H4217" i="22"/>
  <c r="H4218" i="22"/>
  <c r="H4219" i="22"/>
  <c r="H4220" i="22"/>
  <c r="H4221" i="22"/>
  <c r="H4222" i="22"/>
  <c r="H4223" i="22"/>
  <c r="H4224" i="22"/>
  <c r="H4225" i="22"/>
  <c r="H4226" i="22"/>
  <c r="H4227" i="22"/>
  <c r="H4228" i="22"/>
  <c r="H4229" i="22"/>
  <c r="H4230" i="22"/>
  <c r="H4231" i="22"/>
  <c r="H4232" i="22"/>
  <c r="H4233" i="22"/>
  <c r="H4234" i="22"/>
  <c r="H4235" i="22"/>
  <c r="H4236" i="22"/>
  <c r="H4237" i="22"/>
  <c r="H4238" i="22"/>
  <c r="H4239" i="22"/>
  <c r="H4240" i="22"/>
  <c r="H4241" i="22"/>
  <c r="H4242" i="22"/>
  <c r="H4243" i="22"/>
  <c r="H4244" i="22"/>
  <c r="H4245" i="22"/>
  <c r="H4246" i="22"/>
  <c r="H4247" i="22"/>
  <c r="H4248" i="22"/>
  <c r="H4249" i="22"/>
  <c r="H4250" i="22"/>
  <c r="H4251" i="22"/>
  <c r="H4252" i="22"/>
  <c r="H4253" i="22"/>
  <c r="H4254" i="22"/>
  <c r="H4255" i="22"/>
  <c r="H4256" i="22"/>
  <c r="H4257" i="22"/>
  <c r="H4258" i="22"/>
  <c r="H4259" i="22"/>
  <c r="H4260" i="22"/>
  <c r="H4261" i="22"/>
  <c r="H4262" i="22"/>
  <c r="H4263" i="22"/>
  <c r="H4264" i="22"/>
  <c r="H4265" i="22"/>
  <c r="H4266" i="22"/>
  <c r="H4267" i="22"/>
  <c r="H4268" i="22"/>
  <c r="H4269" i="22"/>
  <c r="H4270" i="22"/>
  <c r="H4271" i="22"/>
  <c r="H4272" i="22"/>
  <c r="H4273" i="22"/>
  <c r="H4274" i="22"/>
  <c r="H4275" i="22"/>
  <c r="H4276" i="22"/>
  <c r="H4277" i="22"/>
  <c r="H4278" i="22"/>
  <c r="H4279" i="22"/>
  <c r="H4280" i="22"/>
  <c r="H4281" i="22"/>
  <c r="H4282" i="22"/>
  <c r="H4283" i="22"/>
  <c r="H4284" i="22"/>
  <c r="H4285" i="22"/>
  <c r="H4286" i="22"/>
  <c r="H4287" i="22"/>
  <c r="H4288" i="22"/>
  <c r="H4289" i="22"/>
  <c r="H4290" i="22"/>
  <c r="H4291" i="22"/>
  <c r="H4292" i="22"/>
  <c r="H4293" i="22"/>
  <c r="H4294" i="22"/>
  <c r="H4295" i="22"/>
  <c r="H4296" i="22"/>
  <c r="H4297" i="22"/>
  <c r="H4298" i="22"/>
  <c r="H4299" i="22"/>
  <c r="H4300" i="22"/>
  <c r="H4301" i="22"/>
  <c r="H4302" i="22"/>
  <c r="H4303" i="22"/>
  <c r="H4304" i="22"/>
  <c r="H4305" i="22"/>
  <c r="H4306" i="22"/>
  <c r="H4307" i="22"/>
  <c r="H4308" i="22"/>
  <c r="H4309" i="22"/>
  <c r="H4310" i="22"/>
  <c r="H4311" i="22"/>
  <c r="H4312" i="22"/>
  <c r="H4313" i="22"/>
  <c r="H4314" i="22"/>
  <c r="H4315" i="22"/>
  <c r="H4316" i="22"/>
  <c r="H4317" i="22"/>
  <c r="H4318" i="22"/>
  <c r="H4319" i="22"/>
  <c r="H4320" i="22"/>
  <c r="H4321" i="22"/>
  <c r="H4322" i="22"/>
  <c r="H4323" i="22"/>
  <c r="H4324" i="22"/>
  <c r="H4325" i="22"/>
  <c r="H4326" i="22"/>
  <c r="H4327" i="22"/>
  <c r="H4328" i="22"/>
  <c r="H4329" i="22"/>
  <c r="H4330" i="22"/>
  <c r="H4331" i="22"/>
  <c r="H4332" i="22"/>
  <c r="H4333" i="22"/>
  <c r="H4334" i="22"/>
  <c r="H4335" i="22"/>
  <c r="H4336" i="22"/>
  <c r="H4337" i="22"/>
  <c r="H4338" i="22"/>
  <c r="H4339" i="22"/>
  <c r="H4340" i="22"/>
  <c r="H4341" i="22"/>
  <c r="H4342" i="22"/>
  <c r="H4343" i="22"/>
  <c r="H4344" i="22"/>
  <c r="H4345" i="22"/>
  <c r="H4346" i="22"/>
  <c r="H4347" i="22"/>
  <c r="H4348" i="22"/>
  <c r="H4349" i="22"/>
  <c r="H4350" i="22"/>
  <c r="H4351" i="22"/>
  <c r="H4352" i="22"/>
  <c r="H4353" i="22"/>
  <c r="H4354" i="22"/>
  <c r="H4355" i="22"/>
  <c r="H4356" i="22"/>
  <c r="H4357" i="22"/>
  <c r="H4358" i="22"/>
  <c r="H4359" i="22"/>
  <c r="H4360" i="22"/>
  <c r="H4361" i="22"/>
  <c r="H4362" i="22"/>
  <c r="H4363" i="22"/>
  <c r="H4364" i="22"/>
  <c r="H4365" i="22"/>
  <c r="H4366" i="22"/>
  <c r="H4367" i="22"/>
  <c r="H4368" i="22"/>
  <c r="H4369" i="22"/>
  <c r="H4370" i="22"/>
  <c r="H4371" i="22"/>
  <c r="H4372" i="22"/>
  <c r="H4373" i="22"/>
  <c r="H4374" i="22"/>
  <c r="H4375" i="22"/>
  <c r="H4376" i="22"/>
  <c r="H4377" i="22"/>
  <c r="H4378" i="22"/>
  <c r="H4379" i="22"/>
  <c r="H4380" i="22"/>
  <c r="H4381" i="22"/>
  <c r="H4382" i="22"/>
  <c r="H4383" i="22"/>
  <c r="H4384" i="22"/>
  <c r="H4385" i="22"/>
  <c r="H4386" i="22"/>
  <c r="H4387" i="22"/>
  <c r="H4388" i="22"/>
  <c r="H4389" i="22"/>
  <c r="H4390" i="22"/>
  <c r="H4391" i="22"/>
  <c r="H4392" i="22"/>
  <c r="H4393" i="22"/>
  <c r="H4394" i="22"/>
  <c r="H4395" i="22"/>
  <c r="H4396" i="22"/>
  <c r="H4397" i="22"/>
  <c r="H4398" i="22"/>
  <c r="H4399" i="22"/>
  <c r="H4400" i="22"/>
  <c r="H4401" i="22"/>
  <c r="H4402" i="22"/>
  <c r="H4403" i="22"/>
  <c r="H4404" i="22"/>
  <c r="H4405" i="22"/>
  <c r="H4406" i="22"/>
  <c r="H4407" i="22"/>
  <c r="H4408" i="22"/>
  <c r="H4409" i="22"/>
  <c r="H4410" i="22"/>
  <c r="H4411" i="22"/>
  <c r="H4412" i="22"/>
  <c r="H4413" i="22"/>
  <c r="H4414" i="22"/>
  <c r="H4415" i="22"/>
  <c r="H4416" i="22"/>
  <c r="H4417" i="22"/>
  <c r="H4418" i="22"/>
  <c r="H4419" i="22"/>
  <c r="H4420" i="22"/>
  <c r="H4421" i="22"/>
  <c r="H4422" i="22"/>
  <c r="H4423" i="22"/>
  <c r="H4424" i="22"/>
  <c r="H4425" i="22"/>
  <c r="H4426" i="22"/>
  <c r="H4427" i="22"/>
  <c r="H4428" i="22"/>
  <c r="H4429" i="22"/>
  <c r="H4430" i="22"/>
  <c r="H4431" i="22"/>
  <c r="H4432" i="22"/>
  <c r="H4433" i="22"/>
  <c r="H4434" i="22"/>
  <c r="H4435" i="22"/>
  <c r="H4436" i="22"/>
  <c r="H4437" i="22"/>
  <c r="H4438" i="22"/>
  <c r="H4439" i="22"/>
  <c r="H4440" i="22"/>
  <c r="H4441" i="22"/>
  <c r="H4442" i="22"/>
  <c r="H4443" i="22"/>
  <c r="H4444" i="22"/>
  <c r="H4445" i="22"/>
  <c r="H4446" i="22"/>
  <c r="H4447" i="22"/>
  <c r="H4448" i="22"/>
  <c r="H4449" i="22"/>
  <c r="H4450" i="22"/>
  <c r="H4451" i="22"/>
  <c r="H4452" i="22"/>
  <c r="H4453" i="22"/>
  <c r="H4454" i="22"/>
  <c r="H4455" i="22"/>
  <c r="H4456" i="22"/>
  <c r="H4457" i="22"/>
  <c r="H4458" i="22"/>
  <c r="H4459" i="22"/>
  <c r="H4460" i="22"/>
  <c r="H4461" i="22"/>
  <c r="H4462" i="22"/>
  <c r="H4463" i="22"/>
  <c r="H4464" i="22"/>
  <c r="H4465" i="22"/>
  <c r="H4466" i="22"/>
  <c r="H4467" i="22"/>
  <c r="H4468" i="22"/>
  <c r="H4469" i="22"/>
  <c r="H4470" i="22"/>
  <c r="H4471" i="22"/>
  <c r="H4472" i="22"/>
  <c r="H4473" i="22"/>
  <c r="H4474" i="22"/>
  <c r="H4475" i="22"/>
  <c r="H4476" i="22"/>
  <c r="H4477" i="22"/>
  <c r="H4478" i="22"/>
  <c r="H4479" i="22"/>
  <c r="H4480" i="22"/>
  <c r="H4481" i="22"/>
  <c r="H4482" i="22"/>
  <c r="H4483" i="22"/>
  <c r="H4484" i="22"/>
  <c r="H4485" i="22"/>
  <c r="H4486" i="22"/>
  <c r="H4487" i="22"/>
  <c r="H4488" i="22"/>
  <c r="H4489" i="22"/>
  <c r="H4490" i="22"/>
  <c r="H4491" i="22"/>
  <c r="H4492" i="22"/>
  <c r="H4493" i="22"/>
  <c r="H4494" i="22"/>
  <c r="H4495" i="22"/>
  <c r="H4496" i="22"/>
  <c r="H4497" i="22"/>
  <c r="H4498" i="22"/>
  <c r="H4499" i="22"/>
  <c r="H4500" i="22"/>
  <c r="H4501" i="22"/>
  <c r="H4502" i="22"/>
  <c r="H4503" i="22"/>
  <c r="H4504" i="22"/>
  <c r="H4505" i="22"/>
  <c r="H4506" i="22"/>
  <c r="H4507" i="22"/>
  <c r="H4508" i="22"/>
  <c r="H4509" i="22"/>
  <c r="H4510" i="22"/>
  <c r="H4511" i="22"/>
  <c r="H4512" i="22"/>
  <c r="H4513" i="22"/>
  <c r="H4514" i="22"/>
  <c r="H4515" i="22"/>
  <c r="H4516" i="22"/>
  <c r="H4517" i="22"/>
  <c r="H4518" i="22"/>
  <c r="H4519" i="22"/>
  <c r="H4520" i="22"/>
  <c r="H4521" i="22"/>
  <c r="H4522" i="22"/>
  <c r="H4523" i="22"/>
  <c r="H4524" i="22"/>
  <c r="H4525" i="22"/>
  <c r="H4526" i="22"/>
  <c r="H4527" i="22"/>
  <c r="H4528" i="22"/>
  <c r="H4529" i="22"/>
  <c r="H4530" i="22"/>
  <c r="H4531" i="22"/>
  <c r="H4532" i="22"/>
  <c r="H4533" i="22"/>
  <c r="H4534" i="22"/>
  <c r="H4535" i="22"/>
  <c r="H4536" i="22"/>
  <c r="H4537" i="22"/>
  <c r="H4538" i="22"/>
  <c r="H4539" i="22"/>
  <c r="H4540" i="22"/>
  <c r="H4541" i="22"/>
  <c r="H4542" i="22"/>
  <c r="H4543" i="22"/>
  <c r="H4544" i="22"/>
  <c r="H4545" i="22"/>
  <c r="H4546" i="22"/>
  <c r="H4547" i="22"/>
  <c r="H4548" i="22"/>
  <c r="H4549" i="22"/>
  <c r="H4550" i="22"/>
  <c r="H4551" i="22"/>
  <c r="H4552" i="22"/>
  <c r="H4553" i="22"/>
  <c r="H4554" i="22"/>
  <c r="H4555" i="22"/>
  <c r="H4556" i="22"/>
  <c r="H4557" i="22"/>
  <c r="H4558" i="22"/>
  <c r="H4559" i="22"/>
  <c r="H4560" i="22"/>
  <c r="H4561" i="22"/>
  <c r="H4562" i="22"/>
  <c r="H4563" i="22"/>
  <c r="H4564" i="22"/>
  <c r="H4565" i="22"/>
  <c r="H4566" i="22"/>
  <c r="H4567" i="22"/>
  <c r="H4568" i="22"/>
  <c r="H4569" i="22"/>
  <c r="H4570" i="22"/>
  <c r="H4571" i="22"/>
  <c r="H4572" i="22"/>
  <c r="H4573" i="22"/>
  <c r="H4574" i="22"/>
  <c r="H4575" i="22"/>
  <c r="H4576" i="22"/>
  <c r="H4577" i="22"/>
  <c r="H4578" i="22"/>
  <c r="H4579" i="22"/>
  <c r="H4580" i="22"/>
  <c r="H4581" i="22"/>
  <c r="H4582" i="22"/>
  <c r="H4583" i="22"/>
  <c r="H4584" i="22"/>
  <c r="H4585" i="22"/>
  <c r="H4586" i="22"/>
  <c r="H4587" i="22"/>
  <c r="H4588" i="22"/>
  <c r="H4589" i="22"/>
  <c r="H4590" i="22"/>
  <c r="H4591" i="22"/>
  <c r="H4592" i="22"/>
  <c r="H4593" i="22"/>
  <c r="H4594" i="22"/>
  <c r="H4595" i="22"/>
  <c r="H4596" i="22"/>
  <c r="H4597" i="22"/>
  <c r="H4598" i="22"/>
  <c r="H4599" i="22"/>
  <c r="H4600" i="22"/>
  <c r="H4601" i="22"/>
  <c r="H4602" i="22"/>
  <c r="H4603" i="22"/>
  <c r="H4604" i="22"/>
  <c r="H4605" i="22"/>
  <c r="H4606" i="22"/>
  <c r="H4607" i="22"/>
  <c r="H4608" i="22"/>
  <c r="H4609" i="22"/>
  <c r="H4610" i="22"/>
  <c r="H4611" i="22"/>
  <c r="H4612" i="22"/>
  <c r="H4613" i="22"/>
  <c r="H4614" i="22"/>
  <c r="H4615" i="22"/>
  <c r="H4616" i="22"/>
  <c r="H4617" i="22"/>
  <c r="H4618" i="22"/>
  <c r="H4619" i="22"/>
  <c r="H4620" i="22"/>
  <c r="H4621" i="22"/>
  <c r="H4622" i="22"/>
  <c r="H4623" i="22"/>
  <c r="H4624" i="22"/>
  <c r="H4625" i="22"/>
  <c r="H4626" i="22"/>
  <c r="H4627" i="22"/>
  <c r="H4628" i="22"/>
  <c r="H4629" i="22"/>
  <c r="H4630" i="22"/>
  <c r="H4631" i="22"/>
  <c r="H4632" i="22"/>
  <c r="H4633" i="22"/>
  <c r="H4634" i="22"/>
  <c r="H4635" i="22"/>
  <c r="H4636" i="22"/>
  <c r="H4637" i="22"/>
  <c r="H4638" i="22"/>
  <c r="H4639" i="22"/>
  <c r="H4640" i="22"/>
  <c r="H4641" i="22"/>
  <c r="H4642" i="22"/>
  <c r="H4643" i="22"/>
  <c r="H4644" i="22"/>
  <c r="H4645" i="22"/>
  <c r="H4646" i="22"/>
  <c r="H4647" i="22"/>
  <c r="H4648" i="22"/>
  <c r="H4649" i="22"/>
  <c r="H4650" i="22"/>
  <c r="H4651" i="22"/>
  <c r="H4652" i="22"/>
  <c r="H4653" i="22"/>
  <c r="H4654" i="22"/>
  <c r="H4655" i="22"/>
  <c r="H4656" i="22"/>
  <c r="H4657" i="22"/>
  <c r="H4658" i="22"/>
  <c r="H4659" i="22"/>
  <c r="H4660" i="22"/>
  <c r="H4661" i="22"/>
  <c r="H4662" i="22"/>
  <c r="H4663" i="22"/>
  <c r="H4664" i="22"/>
  <c r="H4665" i="22"/>
  <c r="H4666" i="22"/>
  <c r="H4667" i="22"/>
  <c r="H4668" i="22"/>
  <c r="H4669" i="22"/>
  <c r="H4670" i="22"/>
  <c r="H4671" i="22"/>
  <c r="H4672" i="22"/>
  <c r="H4673" i="22"/>
  <c r="H4674" i="22"/>
  <c r="H4675" i="22"/>
  <c r="H4676" i="22"/>
  <c r="H4677" i="22"/>
  <c r="H4678" i="22"/>
  <c r="H4679" i="22"/>
  <c r="H4680" i="22"/>
  <c r="H4681" i="22"/>
  <c r="H4682" i="22"/>
  <c r="H4683" i="22"/>
  <c r="H4684" i="22"/>
  <c r="H4685" i="22"/>
  <c r="H4686" i="22"/>
  <c r="H4687" i="22"/>
  <c r="H4688" i="22"/>
  <c r="H4689" i="22"/>
  <c r="H4690" i="22"/>
  <c r="H4691" i="22"/>
  <c r="H4692" i="22"/>
  <c r="H4693" i="22"/>
  <c r="H4694" i="22"/>
  <c r="H4695" i="22"/>
  <c r="H4696" i="22"/>
  <c r="H4697" i="22"/>
  <c r="H4698" i="22"/>
  <c r="H4699" i="22"/>
  <c r="H4700" i="22"/>
  <c r="H4701" i="22"/>
  <c r="H4702" i="22"/>
  <c r="H4703" i="22"/>
  <c r="H4704" i="22"/>
  <c r="H4705" i="22"/>
  <c r="H4706" i="22"/>
  <c r="H4707" i="22"/>
  <c r="H4708" i="22"/>
  <c r="H4709" i="22"/>
  <c r="H4710" i="22"/>
  <c r="H4711" i="22"/>
  <c r="H4712" i="22"/>
  <c r="H4713" i="22"/>
  <c r="H4714" i="22"/>
  <c r="H4715" i="22"/>
  <c r="H4716" i="22"/>
  <c r="H4717" i="22"/>
  <c r="H4718" i="22"/>
  <c r="H4719" i="22"/>
  <c r="H4720" i="22"/>
  <c r="H4721" i="22"/>
  <c r="H4722" i="22"/>
  <c r="H4723" i="22"/>
  <c r="H4724" i="22"/>
  <c r="H4725" i="22"/>
  <c r="H4726" i="22"/>
  <c r="H4727" i="22"/>
  <c r="H4728" i="22"/>
  <c r="H4729" i="22"/>
  <c r="H4730" i="22"/>
  <c r="H4731" i="22"/>
  <c r="H4732" i="22"/>
  <c r="H4733" i="22"/>
  <c r="H4734" i="22"/>
  <c r="H4735" i="22"/>
  <c r="H4736" i="22"/>
  <c r="H4737" i="22"/>
  <c r="H4738" i="22"/>
  <c r="H4739" i="22"/>
  <c r="H4740" i="22"/>
  <c r="H4741" i="22"/>
  <c r="H4742" i="22"/>
  <c r="H4743" i="22"/>
  <c r="H4744" i="22"/>
  <c r="H4745" i="22"/>
  <c r="H4746" i="22"/>
  <c r="H4747" i="22"/>
  <c r="H4748" i="22"/>
  <c r="H4749" i="22"/>
  <c r="H4750" i="22"/>
  <c r="H4751" i="22"/>
  <c r="H4752" i="22"/>
  <c r="H4753" i="22"/>
  <c r="H4754" i="22"/>
  <c r="H4755" i="22"/>
  <c r="H4756" i="22"/>
  <c r="H4757" i="22"/>
  <c r="H4758" i="22"/>
  <c r="H4759" i="22"/>
  <c r="H4760" i="22"/>
  <c r="H4761" i="22"/>
  <c r="H4762" i="22"/>
  <c r="H4763" i="22"/>
  <c r="H4764" i="22"/>
  <c r="H4765" i="22"/>
  <c r="H4766" i="22"/>
  <c r="H4767" i="22"/>
  <c r="H4768" i="22"/>
  <c r="H4769" i="22"/>
  <c r="H4770" i="22"/>
  <c r="H4771" i="22"/>
  <c r="H4772" i="22"/>
  <c r="H4773" i="22"/>
  <c r="H4774" i="22"/>
  <c r="H4775" i="22"/>
  <c r="H4776" i="22"/>
  <c r="H4777" i="22"/>
  <c r="H4778" i="22"/>
  <c r="H4779" i="22"/>
  <c r="H4780" i="22"/>
  <c r="H4781" i="22"/>
  <c r="H4782" i="22"/>
  <c r="H4783" i="22"/>
  <c r="H4784" i="22"/>
  <c r="H4785" i="22"/>
  <c r="H4786" i="22"/>
  <c r="H4787" i="22"/>
  <c r="H4788" i="22"/>
  <c r="H4789" i="22"/>
  <c r="H4790" i="22"/>
  <c r="H4791" i="22"/>
  <c r="H4792" i="22"/>
  <c r="H4793" i="22"/>
  <c r="H4794" i="22"/>
  <c r="H4795" i="22"/>
  <c r="H4796" i="22"/>
  <c r="H4797" i="22"/>
  <c r="H4798" i="22"/>
  <c r="H4799" i="22"/>
  <c r="H4800" i="22"/>
  <c r="H4801" i="22"/>
  <c r="H4802" i="22"/>
  <c r="H4803" i="22"/>
  <c r="H4804" i="22"/>
  <c r="H4805" i="22"/>
  <c r="H4806" i="22"/>
  <c r="H4807" i="22"/>
  <c r="H4808" i="22"/>
  <c r="H4809" i="22"/>
  <c r="H4810" i="22"/>
  <c r="H4811" i="22"/>
  <c r="H4812" i="22"/>
  <c r="H4813" i="22"/>
  <c r="H4814" i="22"/>
  <c r="H4815" i="22"/>
  <c r="H4816" i="22"/>
  <c r="H4817" i="22"/>
  <c r="H4818" i="22"/>
  <c r="H4819" i="22"/>
  <c r="H4820" i="22"/>
  <c r="H4821" i="22"/>
  <c r="H4822" i="22"/>
  <c r="H4823" i="22"/>
  <c r="H4824" i="22"/>
  <c r="H4825" i="22"/>
  <c r="H4826" i="22"/>
  <c r="H4827" i="22"/>
  <c r="H4828" i="22"/>
  <c r="H4829" i="22"/>
  <c r="H4830" i="22"/>
  <c r="H4831" i="22"/>
  <c r="H4832" i="22"/>
  <c r="H4833" i="22"/>
  <c r="H4834" i="22"/>
  <c r="H4835" i="22"/>
  <c r="H4836" i="22"/>
  <c r="H4837" i="22"/>
  <c r="H4838" i="22"/>
  <c r="H4839" i="22"/>
  <c r="H4840" i="22"/>
  <c r="H4841" i="22"/>
  <c r="H4842" i="22"/>
  <c r="H4843" i="22"/>
  <c r="H4844" i="22"/>
  <c r="H4845" i="22"/>
  <c r="H4846" i="22"/>
  <c r="H4847" i="22"/>
  <c r="H4848" i="22"/>
  <c r="H4849" i="22"/>
  <c r="H4850" i="22"/>
  <c r="H4851" i="22"/>
  <c r="H4852" i="22"/>
  <c r="H4853" i="22"/>
  <c r="H4854" i="22"/>
  <c r="H4855" i="22"/>
  <c r="H4856" i="22"/>
  <c r="H4857" i="22"/>
  <c r="H4858" i="22"/>
  <c r="H4859" i="22"/>
  <c r="H4860" i="22"/>
  <c r="H4861" i="22"/>
  <c r="H4862" i="22"/>
  <c r="H4863" i="22"/>
  <c r="H4864" i="22"/>
  <c r="H4865" i="22"/>
  <c r="H4866" i="22"/>
  <c r="H4867" i="22"/>
  <c r="H4868" i="22"/>
  <c r="H4869" i="22"/>
  <c r="H4870" i="22"/>
  <c r="H4871" i="22"/>
  <c r="H4872" i="22"/>
  <c r="H4873" i="22"/>
  <c r="H4874" i="22"/>
  <c r="H4875" i="22"/>
  <c r="H4876" i="22"/>
  <c r="H4877" i="22"/>
  <c r="H4878" i="22"/>
  <c r="H4879" i="22"/>
  <c r="H4880" i="22"/>
  <c r="H4881" i="22"/>
  <c r="H4882" i="22"/>
  <c r="H4883" i="22"/>
  <c r="H4884" i="22"/>
  <c r="H4885" i="22"/>
  <c r="H4886" i="22"/>
  <c r="H4887" i="22"/>
  <c r="H4888" i="22"/>
  <c r="H4889" i="22"/>
  <c r="H4890" i="22"/>
  <c r="H4891" i="22"/>
  <c r="H4892" i="22"/>
  <c r="H4893" i="22"/>
  <c r="H4894" i="22"/>
  <c r="H4895" i="22"/>
  <c r="H4896" i="22"/>
  <c r="H4897" i="22"/>
  <c r="H4898" i="22"/>
  <c r="H4899" i="22"/>
  <c r="H4900" i="22"/>
  <c r="H4901" i="22"/>
  <c r="H4902" i="22"/>
  <c r="H4903" i="22"/>
  <c r="H4904" i="22"/>
  <c r="H4905" i="22"/>
  <c r="H4906" i="22"/>
  <c r="H4907" i="22"/>
  <c r="H4908" i="22"/>
  <c r="H4909" i="22"/>
  <c r="H4910" i="22"/>
  <c r="H4911" i="22"/>
  <c r="H4912" i="22"/>
  <c r="H4913" i="22"/>
  <c r="H4914" i="22"/>
  <c r="H4915" i="22"/>
  <c r="H4916" i="22"/>
  <c r="H4917" i="22"/>
  <c r="H4918" i="22"/>
  <c r="H4919" i="22"/>
  <c r="H4920" i="22"/>
  <c r="H4921" i="22"/>
  <c r="H4922" i="22"/>
  <c r="H4923" i="22"/>
  <c r="H4924" i="22"/>
  <c r="H4925" i="22"/>
  <c r="H4926" i="22"/>
  <c r="H4927" i="22"/>
  <c r="H4928" i="22"/>
  <c r="H4929" i="22"/>
  <c r="H4930" i="22"/>
  <c r="H4931" i="22"/>
  <c r="H4932" i="22"/>
  <c r="H4933" i="22"/>
  <c r="H4934" i="22"/>
  <c r="H4935" i="22"/>
  <c r="H4936" i="22"/>
  <c r="H4937" i="22"/>
  <c r="H4938" i="22"/>
  <c r="H4939" i="22"/>
  <c r="H4940" i="22"/>
  <c r="H4941" i="22"/>
  <c r="H4942" i="22"/>
  <c r="H4943" i="22"/>
  <c r="H4944" i="22"/>
  <c r="H4945" i="22"/>
  <c r="H4946" i="22"/>
  <c r="H4947" i="22"/>
  <c r="H4948" i="22"/>
  <c r="H4949" i="22"/>
  <c r="H4950" i="22"/>
  <c r="H4951" i="22"/>
  <c r="H4952" i="22"/>
  <c r="H4953" i="22"/>
  <c r="H4954" i="22"/>
  <c r="H4955" i="22"/>
  <c r="H4956" i="22"/>
  <c r="H4957" i="22"/>
  <c r="H4958" i="22"/>
  <c r="H4959" i="22"/>
  <c r="H4960" i="22"/>
  <c r="H4961" i="22"/>
  <c r="H4962" i="22"/>
  <c r="H4963" i="22"/>
  <c r="H4964" i="22"/>
  <c r="H4965" i="22"/>
  <c r="H4966" i="22"/>
  <c r="H4967" i="22"/>
  <c r="H4968" i="22"/>
  <c r="H4969" i="22"/>
  <c r="H4970" i="22"/>
  <c r="H4971" i="22"/>
  <c r="H4972" i="22"/>
  <c r="H4973" i="22"/>
  <c r="H4974" i="22"/>
  <c r="H4975" i="22"/>
  <c r="H4976" i="22"/>
  <c r="H4977" i="22"/>
  <c r="H4978" i="22"/>
  <c r="H4979" i="22"/>
  <c r="H4980" i="22"/>
  <c r="H4981" i="22"/>
  <c r="H4982" i="22"/>
  <c r="H4983" i="22"/>
  <c r="H4984" i="22"/>
  <c r="H4985" i="22"/>
  <c r="H4986" i="22"/>
  <c r="H4987" i="22"/>
  <c r="H4988" i="22"/>
  <c r="H4989" i="22"/>
  <c r="H4990" i="22"/>
  <c r="H4991" i="22"/>
  <c r="H4992" i="22"/>
  <c r="H4993" i="22"/>
  <c r="H4994" i="22"/>
  <c r="H4995" i="22"/>
  <c r="H4996" i="22"/>
  <c r="H4997" i="22"/>
  <c r="H4998" i="22"/>
  <c r="H4999" i="22"/>
  <c r="H5000" i="22"/>
  <c r="H5001" i="22"/>
  <c r="H5002" i="22"/>
  <c r="H3" i="22"/>
  <c r="K13" i="22"/>
  <c r="K14" i="22"/>
  <c r="K15" i="22"/>
  <c r="K12" i="22"/>
  <c r="L13" i="22"/>
  <c r="L14" i="22"/>
  <c r="L15" i="22"/>
  <c r="L12" i="22"/>
  <c r="L8" i="22"/>
  <c r="L7" i="22"/>
  <c r="L6" i="22"/>
  <c r="L5" i="22"/>
  <c r="D842" i="22"/>
  <c r="D2779" i="22"/>
  <c r="D2902" i="22"/>
  <c r="D1727" i="22"/>
  <c r="D1893" i="22"/>
  <c r="D2262" i="22"/>
  <c r="D2067" i="22"/>
  <c r="D1881" i="22"/>
  <c r="D1041" i="22"/>
  <c r="D2909" i="22"/>
  <c r="D1680" i="22"/>
  <c r="D1308" i="22"/>
  <c r="D3980" i="22"/>
  <c r="D1871" i="22"/>
  <c r="D3658" i="22"/>
  <c r="D1610" i="22"/>
  <c r="D1991" i="22"/>
  <c r="D1321" i="22"/>
  <c r="D1410" i="22"/>
  <c r="D4421" i="22"/>
  <c r="D322" i="22"/>
  <c r="D106" i="22"/>
  <c r="D2855" i="22"/>
  <c r="D1441" i="22"/>
  <c r="D1565" i="22"/>
  <c r="D801" i="22"/>
  <c r="D2342" i="22"/>
  <c r="D2435" i="22"/>
  <c r="D4411" i="22"/>
  <c r="D465" i="22"/>
  <c r="D2110" i="22"/>
  <c r="D1235" i="22"/>
  <c r="D3932" i="22"/>
  <c r="D3653" i="22"/>
  <c r="D2104" i="22"/>
  <c r="D4575" i="22"/>
  <c r="D2941" i="22"/>
  <c r="D1139" i="22"/>
  <c r="D4632" i="22"/>
  <c r="D3052" i="22"/>
  <c r="D1485" i="22"/>
  <c r="D3009" i="22"/>
  <c r="D1663" i="22"/>
  <c r="D1900" i="22"/>
  <c r="D1683" i="22"/>
  <c r="D2651" i="22"/>
  <c r="D1298" i="22"/>
  <c r="D4636" i="22"/>
  <c r="D1584" i="22"/>
  <c r="D4169" i="22"/>
  <c r="D4537" i="22"/>
  <c r="D774" i="22"/>
  <c r="D309" i="22"/>
  <c r="D1462" i="22"/>
  <c r="D88" i="22"/>
  <c r="D4443" i="22"/>
  <c r="D264" i="22"/>
  <c r="D3973" i="22"/>
  <c r="D4627" i="22"/>
  <c r="D3459" i="22"/>
  <c r="D4555" i="22"/>
  <c r="D658" i="22"/>
  <c r="D1364" i="22"/>
  <c r="D4137" i="22"/>
  <c r="D913" i="22"/>
  <c r="D3441" i="22"/>
  <c r="D904" i="22"/>
  <c r="D3389" i="22"/>
  <c r="D856" i="22"/>
  <c r="D4643" i="22"/>
  <c r="D2152" i="22"/>
  <c r="D2074" i="22"/>
  <c r="D3645" i="22"/>
  <c r="D4733" i="22"/>
  <c r="D3178" i="22"/>
  <c r="D389" i="22"/>
  <c r="D4361" i="22"/>
  <c r="D1815" i="22"/>
  <c r="D140" i="22"/>
  <c r="D4021" i="22"/>
  <c r="D2456" i="22"/>
  <c r="D781" i="22"/>
  <c r="D1397" i="22"/>
  <c r="D1171" i="22"/>
  <c r="D1698" i="22"/>
  <c r="D4605" i="22"/>
  <c r="D3862" i="22"/>
  <c r="D845" i="22"/>
  <c r="D3432" i="22"/>
  <c r="D1117" i="22"/>
  <c r="D1342" i="22"/>
  <c r="D482" i="22"/>
  <c r="D2821" i="22"/>
  <c r="D1284" i="22"/>
  <c r="D540" i="22"/>
  <c r="D3278" i="22"/>
  <c r="D1125" i="22"/>
  <c r="D597" i="22"/>
  <c r="D1059" i="22"/>
  <c r="D1196" i="22"/>
  <c r="D1381" i="22"/>
  <c r="D2926" i="22"/>
  <c r="D291" i="22"/>
  <c r="D582" i="22"/>
  <c r="D2940" i="22"/>
  <c r="D1360" i="22"/>
  <c r="D334" i="22"/>
  <c r="D4877" i="22"/>
  <c r="D1802" i="22"/>
  <c r="D4250" i="22"/>
  <c r="D4451" i="22"/>
  <c r="D3068" i="22"/>
  <c r="D2630" i="22"/>
  <c r="D2741" i="22"/>
  <c r="D750" i="22"/>
  <c r="D4976" i="22"/>
  <c r="D2416" i="22"/>
  <c r="D1324" i="22"/>
  <c r="D3267" i="22"/>
  <c r="D1880" i="22"/>
  <c r="D4448" i="22"/>
  <c r="D2664" i="22"/>
  <c r="D1245" i="22"/>
  <c r="D574" i="22"/>
  <c r="D167" i="22"/>
  <c r="D1063" i="22"/>
  <c r="D905" i="22"/>
  <c r="D2326" i="22"/>
  <c r="D1075" i="22"/>
  <c r="D4688" i="22"/>
  <c r="D3657" i="22"/>
  <c r="D3599" i="22"/>
  <c r="D2839" i="22"/>
  <c r="D4422" i="22"/>
  <c r="D1343" i="22"/>
  <c r="D3452" i="22"/>
  <c r="D1756" i="22"/>
  <c r="D2023" i="22"/>
  <c r="D3453" i="22"/>
  <c r="D443" i="22"/>
  <c r="D2784" i="22"/>
  <c r="D3733" i="22"/>
  <c r="D2335" i="22"/>
  <c r="D1787" i="22"/>
  <c r="D1842" i="22"/>
  <c r="D1282" i="22"/>
  <c r="D3082" i="22"/>
  <c r="D4289" i="22"/>
  <c r="D1102" i="22"/>
  <c r="D2864" i="22"/>
  <c r="D2080" i="22"/>
  <c r="D364" i="22"/>
  <c r="D2911" i="22"/>
  <c r="D2472" i="22"/>
  <c r="D4717" i="22"/>
  <c r="D4640" i="22"/>
  <c r="D3322" i="22"/>
  <c r="D4553" i="22"/>
  <c r="D4723" i="22"/>
  <c r="D3499" i="22"/>
  <c r="D2115" i="22"/>
  <c r="D69" i="22"/>
  <c r="D566" i="22"/>
  <c r="D1011" i="22"/>
  <c r="D4405" i="22"/>
  <c r="D4402" i="22"/>
  <c r="D764" i="22"/>
  <c r="D2053" i="22"/>
  <c r="D2813" i="22"/>
  <c r="D4010" i="22"/>
  <c r="D4843" i="22"/>
  <c r="D773" i="22"/>
  <c r="D4400" i="22"/>
  <c r="D2106" i="22"/>
  <c r="D4782" i="22"/>
  <c r="D3728" i="22"/>
  <c r="D684" i="22"/>
  <c r="D4007" i="22"/>
  <c r="D453" i="22"/>
  <c r="D1013" i="22"/>
  <c r="D3117" i="22"/>
  <c r="D1317" i="22"/>
  <c r="D3236" i="22"/>
  <c r="D863" i="22"/>
  <c r="D618" i="22"/>
  <c r="D4216" i="22"/>
  <c r="D3378" i="22"/>
  <c r="D742" i="22"/>
  <c r="D3738" i="22"/>
  <c r="D4977" i="22"/>
  <c r="D1523" i="22"/>
  <c r="D892" i="22"/>
  <c r="D4184" i="22"/>
  <c r="D4860" i="22"/>
  <c r="D3650" i="22"/>
  <c r="D2160" i="22"/>
  <c r="D4988" i="22"/>
  <c r="D417" i="22"/>
  <c r="D246" i="22"/>
  <c r="D192" i="22"/>
  <c r="D929" i="22"/>
  <c r="D298" i="22"/>
  <c r="D3354" i="22"/>
  <c r="D1531" i="22"/>
  <c r="D4268" i="22"/>
  <c r="D3690" i="22"/>
  <c r="D1773" i="22"/>
  <c r="D3072" i="22"/>
  <c r="D3706" i="22"/>
  <c r="D2322" i="22"/>
  <c r="D3159" i="22"/>
  <c r="D2391" i="22"/>
  <c r="D4392" i="22"/>
  <c r="D3183" i="22"/>
  <c r="D1420" i="22"/>
  <c r="D184" i="22"/>
  <c r="D1122" i="22"/>
  <c r="D2275" i="22"/>
  <c r="D23" i="22"/>
  <c r="D2632" i="22"/>
  <c r="D1327" i="22"/>
  <c r="D1559" i="22"/>
  <c r="D1609" i="22"/>
  <c r="D2913" i="22"/>
  <c r="D1085" i="22"/>
  <c r="D3477" i="22"/>
  <c r="D1956" i="22"/>
  <c r="D2368" i="22"/>
  <c r="D3742" i="22"/>
  <c r="D770" i="22"/>
  <c r="D1216" i="22"/>
  <c r="D1638" i="22"/>
  <c r="D3776" i="22"/>
  <c r="D2091" i="22"/>
  <c r="D2958" i="22"/>
  <c r="D4105" i="22"/>
  <c r="D2594" i="22"/>
  <c r="D2751" i="22"/>
  <c r="D3693" i="22"/>
  <c r="D2949" i="22"/>
  <c r="D1039" i="22"/>
  <c r="D2366" i="22"/>
  <c r="D3407" i="22"/>
  <c r="D4492" i="22"/>
  <c r="D2874" i="22"/>
  <c r="D3247" i="22"/>
  <c r="D201" i="22"/>
  <c r="D3479" i="22"/>
  <c r="D1019" i="22"/>
  <c r="D1104" i="22"/>
  <c r="D3350" i="22"/>
  <c r="D4261" i="22"/>
  <c r="D2217" i="22"/>
  <c r="D4061" i="22"/>
  <c r="D3431" i="22"/>
  <c r="D336" i="22"/>
  <c r="D2405" i="22"/>
  <c r="D3238" i="22"/>
  <c r="D2685" i="22"/>
  <c r="D1452" i="22"/>
  <c r="D1174" i="22"/>
  <c r="D1129" i="22"/>
  <c r="D2000" i="22"/>
  <c r="D2764" i="22"/>
  <c r="D3042" i="22"/>
  <c r="D3755" i="22"/>
  <c r="D1656" i="22"/>
  <c r="D3400" i="22"/>
  <c r="D1655" i="22"/>
  <c r="D3012" i="22"/>
  <c r="D2320" i="22"/>
  <c r="D3010" i="22"/>
  <c r="D2804" i="22"/>
  <c r="D3578" i="22"/>
  <c r="D1363" i="22"/>
  <c r="D3076" i="22"/>
  <c r="D3392" i="22"/>
  <c r="D2089" i="22"/>
  <c r="D2635" i="22"/>
  <c r="D3351" i="22"/>
  <c r="D3956" i="22"/>
  <c r="D1982" i="22"/>
  <c r="D2753" i="22"/>
  <c r="D2997" i="22"/>
  <c r="D3534" i="22"/>
  <c r="D4292" i="22"/>
  <c r="D3356" i="22"/>
  <c r="D1189" i="22"/>
  <c r="D977" i="22"/>
  <c r="D2795" i="22"/>
  <c r="D2509" i="22"/>
  <c r="D4809" i="22"/>
  <c r="D3480" i="22"/>
  <c r="D674" i="22"/>
  <c r="D1419" i="22"/>
  <c r="D2163" i="22"/>
  <c r="D2791" i="22"/>
  <c r="D2991" i="22"/>
  <c r="D1083" i="22"/>
  <c r="D1246" i="22"/>
  <c r="D3110" i="22"/>
  <c r="D3990" i="22"/>
  <c r="D4077" i="22"/>
  <c r="D2291" i="22"/>
  <c r="D76" i="22"/>
  <c r="D3116" i="22"/>
  <c r="D3633" i="22"/>
  <c r="D2401" i="22"/>
  <c r="D988" i="22"/>
  <c r="D1598" i="22"/>
  <c r="D1340" i="22"/>
  <c r="D3543" i="22"/>
  <c r="D3700" i="22"/>
  <c r="D3721" i="22"/>
  <c r="D3420" i="22"/>
  <c r="D2469" i="22"/>
  <c r="D2468" i="22"/>
  <c r="D2597" i="22"/>
  <c r="D2959" i="22"/>
  <c r="D1097" i="22"/>
  <c r="D3903" i="22"/>
  <c r="D4015" i="22"/>
  <c r="D1670" i="22"/>
  <c r="D3865" i="22"/>
  <c r="D720" i="22"/>
  <c r="D4903" i="22"/>
  <c r="D2677" i="22"/>
  <c r="D2943" i="22"/>
  <c r="D1753" i="22"/>
  <c r="D2474" i="22"/>
  <c r="D4870" i="22"/>
  <c r="D1554" i="22"/>
  <c r="D621" i="22"/>
  <c r="D676" i="22"/>
  <c r="D3053" i="22"/>
  <c r="D4565" i="22"/>
  <c r="D4792" i="22"/>
  <c r="D4397" i="22"/>
  <c r="D927" i="22"/>
  <c r="D380" i="22"/>
  <c r="D183" i="22"/>
  <c r="D952" i="22"/>
  <c r="D1089" i="22"/>
  <c r="D2365" i="22"/>
  <c r="D3490" i="22"/>
  <c r="D3483" i="22"/>
  <c r="D2723" i="22"/>
  <c r="D2954" i="22"/>
  <c r="D3373" i="22"/>
  <c r="D2749" i="22"/>
  <c r="D2510" i="22"/>
  <c r="D855" i="22"/>
  <c r="D826" i="22"/>
  <c r="D4715" i="22"/>
  <c r="D2325" i="22"/>
  <c r="D2286" i="22"/>
  <c r="D1566" i="22"/>
  <c r="D4936" i="22"/>
  <c r="D4164" i="22"/>
  <c r="D1813" i="22"/>
  <c r="D2899" i="22"/>
  <c r="D2816" i="22"/>
  <c r="D1778" i="22"/>
  <c r="D4924" i="22"/>
  <c r="D3281" i="22"/>
  <c r="D3496" i="22"/>
  <c r="D4452" i="22"/>
  <c r="D3348" i="22"/>
  <c r="D577" i="22"/>
  <c r="D29" i="22"/>
  <c r="D3531" i="22"/>
  <c r="D1186" i="22"/>
  <c r="D25" i="22"/>
  <c r="D4362" i="22"/>
  <c r="D4518" i="22"/>
  <c r="D924" i="22"/>
  <c r="D4199" i="22"/>
  <c r="D4223" i="22"/>
  <c r="D4478" i="22"/>
  <c r="D3372" i="22"/>
  <c r="D3181" i="22"/>
  <c r="D1374" i="22"/>
  <c r="D678" i="22"/>
  <c r="D921" i="22"/>
  <c r="D421" i="22"/>
  <c r="D562" i="22"/>
  <c r="D1822" i="22"/>
  <c r="D3505" i="22"/>
  <c r="D4118" i="22"/>
  <c r="D4799" i="22"/>
  <c r="D3817" i="22"/>
  <c r="D2875" i="22"/>
  <c r="D423" i="22"/>
  <c r="D3924" i="22"/>
  <c r="D2851" i="22"/>
  <c r="D1255" i="22"/>
  <c r="D1914" i="22"/>
  <c r="D1949" i="22"/>
  <c r="D488" i="22"/>
  <c r="D2207" i="22"/>
  <c r="D4972" i="22"/>
  <c r="D1592" i="22"/>
  <c r="D3217" i="22"/>
  <c r="D2231" i="22"/>
  <c r="D3981" i="22"/>
  <c r="D2847" i="22"/>
  <c r="D699" i="22"/>
  <c r="D156" i="22"/>
  <c r="D848" i="22"/>
  <c r="D3080" i="22"/>
  <c r="D367" i="22"/>
  <c r="D1217" i="22"/>
  <c r="D2355" i="22"/>
  <c r="D1456" i="22"/>
  <c r="D1981" i="22"/>
  <c r="D3437" i="22"/>
  <c r="D1833" i="22"/>
  <c r="D3770" i="22"/>
  <c r="D372" i="22"/>
  <c r="D3215" i="22"/>
  <c r="D533" i="22"/>
  <c r="D506" i="22"/>
  <c r="D4454" i="22"/>
  <c r="D3528" i="22"/>
  <c r="D1449" i="22"/>
  <c r="D3273" i="22"/>
  <c r="D849" i="22"/>
  <c r="D114" i="22"/>
  <c r="D197" i="22"/>
  <c r="D3527" i="22"/>
  <c r="D3241" i="22"/>
  <c r="D257" i="22"/>
  <c r="D2833" i="22"/>
  <c r="D536" i="22"/>
  <c r="D1331" i="22"/>
  <c r="D1391" i="22"/>
  <c r="D3901" i="22"/>
  <c r="D3921" i="22"/>
  <c r="D3686" i="22"/>
  <c r="D4133" i="22"/>
  <c r="D969" i="22"/>
  <c r="D1761" i="22"/>
  <c r="D2367" i="22"/>
  <c r="D3266" i="22"/>
  <c r="D804" i="22"/>
  <c r="D1972" i="22"/>
  <c r="D4371" i="22"/>
  <c r="D4203" i="22"/>
  <c r="D4071" i="22"/>
  <c r="D338" i="22"/>
  <c r="D1935" i="22"/>
  <c r="D4205" i="22"/>
  <c r="D2912" i="22"/>
  <c r="D1985" i="22"/>
  <c r="D3850" i="22"/>
  <c r="D3294" i="22"/>
  <c r="D932" i="22"/>
  <c r="D4648" i="22"/>
  <c r="D827" i="22"/>
  <c r="D356" i="22"/>
  <c r="D4876" i="22"/>
  <c r="D3884" i="22"/>
  <c r="D3784" i="22"/>
  <c r="D4501" i="22"/>
  <c r="D2138" i="22"/>
  <c r="D4018" i="22"/>
  <c r="D3494" i="22"/>
  <c r="D3739" i="22"/>
  <c r="D3046" i="22"/>
  <c r="D3323" i="22"/>
  <c r="D1678" i="22"/>
  <c r="D4670" i="22"/>
  <c r="D3304" i="22"/>
  <c r="D983" i="22"/>
  <c r="D4722" i="22"/>
  <c r="D2347" i="22"/>
  <c r="D1671" i="22"/>
  <c r="D3257" i="22"/>
  <c r="D4654" i="22"/>
  <c r="D1601" i="22"/>
  <c r="D3104" i="22"/>
  <c r="D2900" i="22"/>
  <c r="D3526" i="22"/>
  <c r="D2641" i="22"/>
  <c r="D1805" i="22"/>
  <c r="D4174" i="22"/>
  <c r="D2639" i="22"/>
  <c r="D2727" i="22"/>
  <c r="D1061" i="22"/>
  <c r="D4710" i="22"/>
  <c r="D4181" i="22"/>
  <c r="D1719" i="22"/>
  <c r="D497" i="22"/>
  <c r="D874" i="22"/>
  <c r="D2025" i="22"/>
  <c r="D953" i="22"/>
  <c r="D3212" i="22"/>
  <c r="D1748" i="22"/>
  <c r="D3684" i="22"/>
  <c r="D1941" i="22"/>
  <c r="D4410" i="22"/>
  <c r="D1605" i="22"/>
  <c r="D3316" i="22"/>
  <c r="D4356" i="22"/>
  <c r="D3370" i="22"/>
  <c r="D498" i="22"/>
  <c r="D447" i="22"/>
  <c r="D2905" i="22"/>
  <c r="D3559" i="22"/>
  <c r="D2394" i="22"/>
  <c r="D4693" i="22"/>
  <c r="D873" i="22"/>
  <c r="D3729" i="22"/>
  <c r="D733" i="22"/>
  <c r="D3397" i="22"/>
  <c r="D3206" i="22"/>
  <c r="D1172" i="22"/>
  <c r="D4780" i="22"/>
  <c r="D4907" i="22"/>
  <c r="D1422" i="22"/>
  <c r="D852" i="22"/>
  <c r="D83" i="22"/>
  <c r="D4158" i="22"/>
  <c r="D1180" i="22"/>
  <c r="D4872" i="22"/>
  <c r="D47" i="22"/>
  <c r="D195" i="22"/>
  <c r="D1874" i="22"/>
  <c r="D1796" i="22"/>
  <c r="D4191" i="22"/>
  <c r="D241" i="22"/>
  <c r="D4581" i="22"/>
  <c r="D4048" i="22"/>
  <c r="D4878" i="22"/>
  <c r="D2837" i="22"/>
  <c r="D4685" i="22"/>
  <c r="D2140" i="22"/>
  <c r="D1917" i="22"/>
  <c r="D4047" i="22"/>
  <c r="D2688" i="22"/>
  <c r="D661" i="22"/>
  <c r="D2980" i="22"/>
  <c r="D4377" i="22"/>
  <c r="D747" i="22"/>
  <c r="D159" i="22"/>
  <c r="D3662" i="22"/>
  <c r="D2188" i="22"/>
  <c r="D266" i="22"/>
  <c r="D4198" i="22"/>
  <c r="D15" i="22"/>
  <c r="D254" i="22"/>
  <c r="D146" i="22"/>
  <c r="D2450" i="22"/>
  <c r="D1791" i="22"/>
  <c r="D3877" i="22"/>
  <c r="D2226" i="22"/>
  <c r="D90" i="22"/>
  <c r="D2357" i="22"/>
  <c r="D4416" i="22"/>
  <c r="D4462" i="22"/>
  <c r="D4979" i="22"/>
  <c r="D2704" i="22"/>
  <c r="D4945" i="22"/>
  <c r="D2647" i="22"/>
  <c r="D820" i="22"/>
  <c r="D2888" i="22"/>
  <c r="D2739" i="22"/>
  <c r="D2976" i="22"/>
  <c r="D3847" i="22"/>
  <c r="D837" i="22"/>
  <c r="D3461" i="22"/>
  <c r="D4921" i="22"/>
  <c r="D1293" i="22"/>
  <c r="D4342" i="22"/>
  <c r="D81" i="22"/>
  <c r="D4541" i="22"/>
  <c r="D145" i="22"/>
  <c r="D4352" i="22"/>
  <c r="D519" i="22"/>
  <c r="D20" i="22"/>
  <c r="D4835" i="22"/>
  <c r="D14" i="22"/>
  <c r="D4695" i="22"/>
  <c r="D78" i="22"/>
  <c r="D28" i="22"/>
  <c r="D4335" i="22"/>
  <c r="D4817" i="22"/>
  <c r="D5000" i="22"/>
  <c r="D11" i="22"/>
  <c r="D17" i="22"/>
  <c r="D1192" i="22"/>
  <c r="D981" i="22"/>
  <c r="D4996" i="22"/>
  <c r="D92" i="22"/>
  <c r="D4999" i="22"/>
  <c r="D3778" i="22"/>
  <c r="D4708" i="22"/>
  <c r="D4862" i="22"/>
  <c r="D2120" i="22"/>
  <c r="D4856" i="22"/>
  <c r="D3616" i="22"/>
  <c r="D4024" i="22"/>
  <c r="D2538" i="22"/>
  <c r="D3342" i="22"/>
  <c r="D4343" i="22"/>
  <c r="D3439" i="22"/>
  <c r="D4613" i="22"/>
  <c r="D2021" i="22"/>
  <c r="D903" i="22"/>
  <c r="D3245" i="22"/>
  <c r="D4215" i="22"/>
  <c r="D4547" i="22"/>
  <c r="D3360" i="22"/>
  <c r="D2229" i="22"/>
  <c r="D1258" i="22"/>
  <c r="D4176" i="22"/>
  <c r="D2676" i="22"/>
  <c r="D4178" i="22"/>
  <c r="D2007" i="22"/>
  <c r="D116" i="22"/>
  <c r="D4966" i="22"/>
  <c r="D4993" i="22"/>
  <c r="D1859" i="22"/>
  <c r="D3994" i="22"/>
  <c r="D348" i="22"/>
  <c r="D4372" i="22"/>
  <c r="D4281" i="22"/>
  <c r="D2390" i="22"/>
  <c r="D2662" i="22"/>
  <c r="D2826" i="22"/>
  <c r="D4241" i="22"/>
  <c r="D1436" i="22"/>
  <c r="D3060" i="22"/>
  <c r="D3549" i="22"/>
  <c r="D3089" i="22"/>
  <c r="D712" i="22"/>
  <c r="D1785" i="22"/>
  <c r="D1302" i="22"/>
  <c r="D1586" i="22"/>
  <c r="D3287" i="22"/>
  <c r="D2386" i="22"/>
  <c r="D4240" i="22"/>
  <c r="D3398" i="22"/>
  <c r="D1533" i="22"/>
  <c r="D2285" i="22"/>
  <c r="D2873" i="22"/>
  <c r="D1738" i="22"/>
  <c r="D2482" i="22"/>
  <c r="D3704" i="22"/>
  <c r="D2660" i="22"/>
  <c r="D3848" i="22"/>
  <c r="D4148" i="22"/>
  <c r="D3047" i="22"/>
  <c r="D693" i="22"/>
  <c r="D665" i="22"/>
  <c r="D4530" i="22"/>
  <c r="D991" i="22"/>
  <c r="D1963" i="22"/>
  <c r="D1396" i="22"/>
  <c r="D4690" i="22"/>
  <c r="D3663" i="22"/>
  <c r="D4257" i="22"/>
  <c r="D784" i="22"/>
  <c r="D3120" i="22"/>
  <c r="D3115" i="22"/>
  <c r="D3430" i="22"/>
  <c r="D2757" i="22"/>
  <c r="D2730" i="22"/>
  <c r="D3787" i="22"/>
  <c r="D1721" i="22"/>
  <c r="D2486" i="22"/>
  <c r="D1461" i="22"/>
  <c r="D4557" i="22"/>
  <c r="D1728" i="22"/>
  <c r="D3414" i="22"/>
  <c r="D2487" i="22"/>
  <c r="D4124" i="22"/>
  <c r="D2516" i="22"/>
  <c r="D4619" i="22"/>
  <c r="D3170" i="22"/>
  <c r="D4563" i="22"/>
  <c r="D683" i="22"/>
  <c r="D3435" i="22"/>
  <c r="D1426" i="22"/>
  <c r="D2876" i="22"/>
  <c r="D887" i="22"/>
  <c r="D3545" i="22"/>
  <c r="D383" i="22"/>
  <c r="D1109" i="22"/>
  <c r="D1151" i="22"/>
  <c r="D3364" i="22"/>
  <c r="D3682" i="22"/>
  <c r="D1384" i="22"/>
  <c r="D1259" i="22"/>
  <c r="D2159" i="22"/>
  <c r="D1337" i="22"/>
  <c r="D4351" i="22"/>
  <c r="D867" i="22"/>
  <c r="D2449" i="22"/>
  <c r="D2099" i="22"/>
  <c r="D4339" i="22"/>
  <c r="D4511" i="22"/>
  <c r="D4589" i="22"/>
  <c r="D4398" i="22"/>
  <c r="D442" i="22"/>
  <c r="D4302" i="22"/>
  <c r="D299" i="22"/>
  <c r="D1218" i="22"/>
  <c r="D1099" i="22"/>
  <c r="D4858" i="22"/>
  <c r="D1889" i="22"/>
  <c r="D18" i="22"/>
  <c r="D1710" i="22"/>
  <c r="D3965" i="22"/>
  <c r="D1382" i="22"/>
  <c r="D3827" i="22"/>
  <c r="D2870" i="22"/>
  <c r="D3097" i="22"/>
  <c r="D4096" i="22"/>
  <c r="D3584" i="22"/>
  <c r="D1616" i="22"/>
  <c r="D2793" i="22"/>
  <c r="D1947" i="22"/>
  <c r="D1560" i="22"/>
  <c r="D4391" i="22"/>
  <c r="D616" i="22"/>
  <c r="D4525" i="22"/>
  <c r="D2263" i="22"/>
  <c r="D1028" i="22"/>
  <c r="D303" i="22"/>
  <c r="D4378" i="22"/>
  <c r="D3415" i="22"/>
  <c r="D4578" i="22"/>
  <c r="D4560" i="22"/>
  <c r="D3409" i="22"/>
  <c r="D686" i="22"/>
  <c r="D1240" i="22"/>
  <c r="D4838" i="22"/>
  <c r="D4201" i="22"/>
  <c r="D751" i="22"/>
  <c r="D4570" i="22"/>
  <c r="D3084" i="22"/>
  <c r="D4467" i="22"/>
  <c r="D4027" i="22"/>
  <c r="D3891" i="22"/>
  <c r="D1839" i="22"/>
  <c r="D1919" i="22"/>
  <c r="D3889" i="22"/>
  <c r="D1281" i="22"/>
  <c r="D4002" i="22"/>
  <c r="D2433" i="22"/>
  <c r="D409" i="22"/>
  <c r="D4256" i="22"/>
  <c r="D4426" i="22"/>
  <c r="D2491" i="22"/>
  <c r="D2039" i="22"/>
  <c r="D2009" i="22"/>
  <c r="D4280" i="22"/>
  <c r="D2885" i="22"/>
  <c r="D1320" i="22"/>
  <c r="D2521" i="22"/>
  <c r="D4332" i="22"/>
  <c r="D3588" i="22"/>
  <c r="D1626" i="22"/>
  <c r="D2046" i="22"/>
  <c r="D1188" i="22"/>
  <c r="D3165" i="22"/>
  <c r="D1961" i="22"/>
  <c r="D2353" i="22"/>
  <c r="D4226" i="22"/>
  <c r="D3153" i="22"/>
  <c r="D1434" i="22"/>
  <c r="D1539" i="22"/>
  <c r="D3900" i="22"/>
  <c r="D2684" i="22"/>
  <c r="D1498" i="22"/>
  <c r="D2492" i="22"/>
  <c r="D3992" i="22"/>
  <c r="D3813" i="22"/>
  <c r="D2194" i="22"/>
  <c r="D2495" i="22"/>
  <c r="D2297" i="22"/>
  <c r="D816" i="22"/>
  <c r="D2840" i="22"/>
  <c r="D4108" i="22"/>
  <c r="D2173" i="22"/>
  <c r="D2539" i="22"/>
  <c r="D4884" i="22"/>
  <c r="D2256" i="22"/>
  <c r="D2975" i="22"/>
  <c r="D3539" i="22"/>
  <c r="D2333" i="22"/>
  <c r="D1475" i="22"/>
  <c r="D4918" i="22"/>
  <c r="D4562" i="22"/>
  <c r="D3102" i="22"/>
  <c r="D608" i="22"/>
  <c r="D438" i="22"/>
  <c r="D3655" i="22"/>
  <c r="D1318" i="22"/>
  <c r="D668" i="22"/>
  <c r="D4796" i="22"/>
  <c r="D3566" i="22"/>
  <c r="D2956" i="22"/>
  <c r="D3189" i="22"/>
  <c r="D4387" i="22"/>
  <c r="D1333" i="22"/>
  <c r="D2929" i="22"/>
  <c r="D1048" i="22"/>
  <c r="D3951" i="22"/>
  <c r="D2345" i="22"/>
  <c r="D3625" i="22"/>
  <c r="D1232" i="22"/>
  <c r="D1774" i="22"/>
  <c r="D3747" i="22"/>
  <c r="D3816" i="22"/>
  <c r="D1732" i="22"/>
  <c r="D2697" i="22"/>
  <c r="D208" i="22"/>
  <c r="D1702" i="22"/>
  <c r="D3361" i="22"/>
  <c r="D1044" i="22"/>
  <c r="D3464" i="22"/>
  <c r="D2702" i="22"/>
  <c r="D3233" i="22"/>
  <c r="D3428" i="22"/>
  <c r="D2210" i="22"/>
  <c r="D2540" i="22"/>
  <c r="D3821" i="22"/>
  <c r="D414" i="22"/>
  <c r="D2732" i="22"/>
  <c r="D3388" i="22"/>
  <c r="D3955" i="22"/>
  <c r="D2906" i="22"/>
  <c r="D2844" i="22"/>
  <c r="D570" i="22"/>
  <c r="D1221" i="22"/>
  <c r="D4347" i="22"/>
  <c r="D2243" i="22"/>
  <c r="D2336" i="22"/>
  <c r="D1777" i="22"/>
  <c r="D2077" i="22"/>
  <c r="D1618" i="22"/>
  <c r="D810" i="22"/>
  <c r="D1116" i="22"/>
  <c r="D783" i="22"/>
  <c r="D1476" i="22"/>
  <c r="D2042" i="22"/>
  <c r="D2798" i="22"/>
  <c r="D3207" i="22"/>
  <c r="D1372" i="22"/>
  <c r="D2969" i="22"/>
  <c r="D3002" i="22"/>
  <c r="D2587" i="22"/>
  <c r="D1906" i="22"/>
  <c r="D4521" i="22"/>
  <c r="D1465" i="22"/>
  <c r="D1990" i="22"/>
  <c r="D1725" i="22"/>
  <c r="D3517" i="22"/>
  <c r="D1699" i="22"/>
  <c r="D4420" i="22"/>
  <c r="D1297" i="22"/>
  <c r="D975" i="22"/>
  <c r="D3964" i="22"/>
  <c r="D4173" i="22"/>
  <c r="D1467" i="22"/>
  <c r="D1107" i="22"/>
  <c r="D3958" i="22"/>
  <c r="D939" i="22"/>
  <c r="D4349" i="22"/>
  <c r="D2383" i="22"/>
  <c r="D1701" i="22"/>
  <c r="D4941" i="22"/>
  <c r="D2642" i="22"/>
  <c r="D3347" i="22"/>
  <c r="D3741" i="22"/>
  <c r="D2611" i="22"/>
  <c r="D3737" i="22"/>
  <c r="D1497" i="22"/>
  <c r="D3099" i="22"/>
  <c r="D544" i="22"/>
  <c r="D2973" i="22"/>
  <c r="D477" i="22"/>
  <c r="D1312" i="22"/>
  <c r="D2174" i="22"/>
  <c r="D1510" i="22"/>
  <c r="D3481" i="22"/>
  <c r="D3617" i="22"/>
  <c r="D2001" i="22"/>
  <c r="D2878" i="22"/>
  <c r="D1765" i="22"/>
  <c r="D833" i="22"/>
  <c r="D2185" i="22"/>
  <c r="D2965" i="22"/>
  <c r="D4593" i="22"/>
  <c r="D2988" i="22"/>
  <c r="D581" i="22"/>
  <c r="D3454" i="22"/>
  <c r="D830" i="22"/>
  <c r="D2294" i="22"/>
  <c r="D2966" i="22"/>
  <c r="D1829" i="22"/>
  <c r="D777" i="22"/>
  <c r="D4156" i="22"/>
  <c r="D2014" i="22"/>
  <c r="D3730" i="22"/>
  <c r="D4664" i="22"/>
  <c r="D3140" i="22"/>
  <c r="D3904" i="22"/>
  <c r="D3460" i="22"/>
  <c r="D584" i="22"/>
  <c r="D3843" i="22"/>
  <c r="D2983" i="22"/>
  <c r="D623" i="22"/>
  <c r="D3216" i="22"/>
  <c r="D3614" i="22"/>
  <c r="D2898" i="22"/>
  <c r="D265" i="22"/>
  <c r="D1513" i="22"/>
  <c r="D3575" i="22"/>
  <c r="D2797" i="22"/>
  <c r="D1146" i="22"/>
  <c r="D4093" i="22"/>
  <c r="D3909" i="22"/>
  <c r="D1243" i="22"/>
  <c r="D3710" i="22"/>
  <c r="D4134" i="22"/>
  <c r="D499" i="22"/>
  <c r="D3873" i="22"/>
  <c r="D1944" i="22"/>
  <c r="D4357" i="22"/>
  <c r="D1310" i="22"/>
  <c r="D4672" i="22"/>
  <c r="D2674" i="22"/>
  <c r="D1662" i="22"/>
  <c r="D3767" i="22"/>
  <c r="D3050" i="22"/>
  <c r="D1182" i="22"/>
  <c r="D940" i="22"/>
  <c r="D2463" i="22"/>
  <c r="D323" i="22"/>
  <c r="D131" i="22"/>
  <c r="D4477" i="22"/>
  <c r="D1681" i="22"/>
  <c r="D4425" i="22"/>
  <c r="D4073" i="22"/>
  <c r="D4904" i="22"/>
  <c r="D4773" i="22"/>
  <c r="D3501" i="22"/>
  <c r="D2886" i="22"/>
  <c r="D812" i="22"/>
  <c r="D2465" i="22"/>
  <c r="D4747" i="22"/>
  <c r="D1163" i="22"/>
  <c r="D4543" i="22"/>
  <c r="D862" i="22"/>
  <c r="D4068" i="22"/>
  <c r="D1940" i="22"/>
  <c r="D4396" i="22"/>
  <c r="D2376" i="22"/>
  <c r="D194" i="22"/>
  <c r="D4827" i="22"/>
  <c r="D4110" i="22"/>
  <c r="D2743" i="22"/>
  <c r="D2266" i="22"/>
  <c r="D2233" i="22"/>
  <c r="D4031" i="22"/>
  <c r="D4588" i="22"/>
  <c r="D2541" i="22"/>
  <c r="D440" i="22"/>
  <c r="D2010" i="22"/>
  <c r="D3387" i="22"/>
  <c r="D1265" i="22"/>
  <c r="D3321" i="22"/>
  <c r="D2996" i="22"/>
  <c r="D2771" i="22"/>
  <c r="D2794" i="22"/>
  <c r="D520" i="22"/>
  <c r="D2802" i="22"/>
  <c r="D1635" i="22"/>
  <c r="D1995" i="22"/>
  <c r="D1503" i="22"/>
  <c r="D1799" i="22"/>
  <c r="D2636" i="22"/>
  <c r="D2903" i="22"/>
  <c r="D3579" i="22"/>
  <c r="D767" i="22"/>
  <c r="D3681" i="22"/>
  <c r="D964" i="22"/>
  <c r="D4006" i="22"/>
  <c r="D3295" i="22"/>
  <c r="D46" i="22"/>
  <c r="D2013" i="22"/>
  <c r="D2270" i="22"/>
  <c r="D1780" i="22"/>
  <c r="D141" i="22"/>
  <c r="D2168" i="22"/>
  <c r="D654" i="22"/>
  <c r="D3279" i="22"/>
  <c r="D3508" i="22"/>
  <c r="D1899" i="22"/>
  <c r="D4696" i="22"/>
  <c r="D1782" i="22"/>
  <c r="D3255" i="22"/>
  <c r="D1266" i="22"/>
  <c r="D1631" i="22"/>
  <c r="D2462" i="22"/>
  <c r="D223" i="22"/>
  <c r="D3156" i="22"/>
  <c r="D1325" i="22"/>
  <c r="D4059" i="22"/>
  <c r="D467" i="22"/>
  <c r="D3751" i="22"/>
  <c r="D3654" i="22"/>
  <c r="D1411" i="22"/>
  <c r="D3870" i="22"/>
  <c r="D729" i="22"/>
  <c r="D3996" i="22"/>
  <c r="D3761" i="22"/>
  <c r="D1717" i="22"/>
  <c r="D2519" i="22"/>
  <c r="D3934" i="22"/>
  <c r="D2893" i="22"/>
  <c r="D3794" i="22"/>
  <c r="D2005" i="22"/>
  <c r="D1814" i="22"/>
  <c r="D4039" i="22"/>
  <c r="D2177" i="22"/>
  <c r="D1154" i="22"/>
  <c r="D3335" i="22"/>
  <c r="D3141" i="22"/>
  <c r="D3484" i="22"/>
  <c r="D2713" i="22"/>
  <c r="D3669" i="22"/>
  <c r="D3231" i="22"/>
  <c r="D1138" i="22"/>
  <c r="D3836" i="22"/>
  <c r="D1803" i="22"/>
  <c r="D4507" i="22"/>
  <c r="D4122" i="22"/>
  <c r="D2523" i="22"/>
  <c r="D1057" i="22"/>
  <c r="D4687" i="22"/>
  <c r="D883" i="22"/>
  <c r="D3938" i="22"/>
  <c r="D1955" i="22"/>
  <c r="D1023" i="22"/>
  <c r="D3644" i="22"/>
  <c r="D2789" i="22"/>
  <c r="D2300" i="22"/>
  <c r="D622" i="22"/>
  <c r="D4774" i="22"/>
  <c r="D3667" i="22"/>
  <c r="D516" i="22"/>
  <c r="D1534" i="22"/>
  <c r="D1943" i="22"/>
  <c r="D813" i="22"/>
  <c r="D3554" i="22"/>
  <c r="D2264" i="22"/>
  <c r="D2937" i="22"/>
  <c r="D3191" i="22"/>
  <c r="D1541" i="22"/>
  <c r="D261" i="22"/>
  <c r="D1065" i="22"/>
  <c r="D884" i="22"/>
  <c r="D3242" i="22"/>
  <c r="D4084" i="22"/>
  <c r="D3416" i="22"/>
  <c r="D2056" i="22"/>
  <c r="D583" i="22"/>
  <c r="D1868" i="22"/>
  <c r="D1953" i="22"/>
  <c r="D2489" i="22"/>
  <c r="D2404" i="22"/>
  <c r="D1162" i="22"/>
  <c r="D4154" i="22"/>
  <c r="D2097" i="22"/>
  <c r="D1429" i="22"/>
  <c r="D3798" i="22"/>
  <c r="D2999" i="22"/>
  <c r="D2655" i="22"/>
  <c r="D2517" i="22"/>
  <c r="D3330" i="22"/>
  <c r="D4508" i="22"/>
  <c r="D3846" i="22"/>
  <c r="D3331" i="22"/>
  <c r="D2921" i="22"/>
  <c r="D87" i="22"/>
  <c r="D2306" i="22"/>
  <c r="D3173" i="22"/>
  <c r="D949" i="22"/>
  <c r="D4249" i="22"/>
  <c r="D4239" i="22"/>
  <c r="D3158" i="22"/>
  <c r="D3312" i="22"/>
  <c r="D2652" i="22"/>
  <c r="D3839" i="22"/>
  <c r="D1538" i="22"/>
  <c r="D3182" i="22"/>
  <c r="D593" i="22"/>
  <c r="D3043" i="22"/>
  <c r="D3785" i="22"/>
  <c r="D3470" i="22"/>
  <c r="D1675" i="22"/>
  <c r="D4101" i="22"/>
  <c r="D3381" i="22"/>
  <c r="D3913" i="22"/>
  <c r="D3133" i="22"/>
  <c r="D1673" i="22"/>
  <c r="D4584" i="22"/>
  <c r="D889" i="22"/>
  <c r="D2522" i="22"/>
  <c r="D859" i="22"/>
  <c r="D4202" i="22"/>
  <c r="D2820" i="22"/>
  <c r="D4554" i="22"/>
  <c r="D2679" i="22"/>
  <c r="D663" i="22"/>
  <c r="D1160" i="22"/>
  <c r="D3049" i="22"/>
  <c r="D1931" i="22"/>
  <c r="D292" i="22"/>
  <c r="D716" i="22"/>
  <c r="D4637" i="22"/>
  <c r="D2520" i="22"/>
  <c r="D3726" i="22"/>
  <c r="D2318" i="22"/>
  <c r="D3200" i="22"/>
  <c r="D605" i="22"/>
  <c r="D1204" i="22"/>
  <c r="D1797" i="22"/>
  <c r="D2311" i="22"/>
  <c r="D2309" i="22"/>
  <c r="D3438" i="22"/>
  <c r="D3109" i="22"/>
  <c r="D1763" i="22"/>
  <c r="D2745" i="22"/>
  <c r="D3639" i="22"/>
  <c r="D1964" i="22"/>
  <c r="D2518" i="22"/>
  <c r="D2720" i="22"/>
  <c r="D3105" i="22"/>
  <c r="D1965" i="22"/>
  <c r="D3344" i="22"/>
  <c r="D2343" i="22"/>
  <c r="D530" i="22"/>
  <c r="D3882" i="22"/>
  <c r="D4457" i="22"/>
  <c r="D800" i="22"/>
  <c r="D160" i="22"/>
  <c r="D1570" i="22"/>
  <c r="D3792" i="22"/>
  <c r="D3288" i="22"/>
  <c r="D2618" i="22"/>
  <c r="D3059" i="22"/>
  <c r="D3656" i="22"/>
  <c r="D1950" i="22"/>
  <c r="D3768" i="22"/>
  <c r="D3410" i="22"/>
  <c r="D1229" i="22"/>
  <c r="D2542" i="22"/>
  <c r="D1316" i="22"/>
  <c r="D4152" i="22"/>
  <c r="D1864" i="22"/>
  <c r="D1112" i="22"/>
  <c r="D1552" i="22"/>
  <c r="D4119" i="22"/>
  <c r="D3547" i="22"/>
  <c r="D4142" i="22"/>
  <c r="D1640" i="22"/>
  <c r="D4566" i="22"/>
  <c r="D2490" i="22"/>
  <c r="D2314" i="22"/>
  <c r="D2850" i="22"/>
  <c r="D2717" i="22"/>
  <c r="D4326" i="22"/>
  <c r="D785" i="22"/>
  <c r="D2235" i="22"/>
  <c r="D4329" i="22"/>
  <c r="D2028" i="22"/>
  <c r="D3032" i="22"/>
  <c r="D1402" i="22"/>
  <c r="D2590" i="22"/>
  <c r="D3874" i="22"/>
  <c r="D2947" i="22"/>
  <c r="D1093" i="22"/>
  <c r="D2716" i="22"/>
  <c r="D1695" i="22"/>
  <c r="D3148" i="22"/>
  <c r="D1674" i="22"/>
  <c r="D3020" i="22"/>
  <c r="D3542" i="22"/>
  <c r="D1571" i="22"/>
  <c r="D2052" i="22"/>
  <c r="D3692" i="22"/>
  <c r="D430" i="22"/>
  <c r="D1058" i="22"/>
  <c r="D4102" i="22"/>
  <c r="D1077" i="22"/>
  <c r="D4290" i="22"/>
  <c r="D2430" i="22"/>
  <c r="D4665" i="22"/>
  <c r="D3179" i="22"/>
  <c r="D3613" i="22"/>
  <c r="D916" i="22"/>
  <c r="D2086" i="22"/>
  <c r="D3746" i="22"/>
  <c r="D3899" i="22"/>
  <c r="D2261" i="22"/>
  <c r="D4638" i="22"/>
  <c r="D834" i="22"/>
  <c r="D1876" i="22"/>
  <c r="D1548" i="22"/>
  <c r="D4517" i="22"/>
  <c r="D4714" i="22"/>
  <c r="D2708" i="22"/>
  <c r="D2832" i="22"/>
  <c r="D1848" i="22"/>
  <c r="D2413" i="22"/>
  <c r="D1650" i="22"/>
  <c r="D3660" i="22"/>
  <c r="D2027" i="22"/>
  <c r="D3143" i="22"/>
  <c r="D2761" i="22"/>
  <c r="D1870" i="22"/>
  <c r="D2709" i="22"/>
  <c r="D1613" i="22"/>
  <c r="D2128" i="22"/>
  <c r="D253" i="22"/>
  <c r="D2715" i="22"/>
  <c r="D3425" i="22"/>
  <c r="D2411" i="22"/>
  <c r="D3265" i="22"/>
  <c r="D4574" i="22"/>
  <c r="D3037" i="22"/>
  <c r="D2901" i="22"/>
  <c r="D4236" i="22"/>
  <c r="D3725" i="22"/>
  <c r="D1326" i="22"/>
  <c r="D4622" i="22"/>
  <c r="D1190" i="22"/>
  <c r="D4439" i="22"/>
  <c r="D1484" i="22"/>
  <c r="D3491" i="22"/>
  <c r="D819" i="22"/>
  <c r="D2868" i="22"/>
  <c r="D3535" i="22"/>
  <c r="D386" i="22"/>
  <c r="D5001" i="22"/>
  <c r="D4890" i="22"/>
  <c r="D3261" i="22"/>
  <c r="D233" i="22"/>
  <c r="D3254" i="22"/>
  <c r="D3774" i="22"/>
  <c r="D3018" i="22"/>
  <c r="D3718" i="22"/>
  <c r="D627" i="22"/>
  <c r="D4485" i="22"/>
  <c r="D4312" i="22"/>
  <c r="D34" i="22"/>
  <c r="D119" i="22"/>
  <c r="D1173" i="22"/>
  <c r="D4126" i="22"/>
  <c r="D1911" i="22"/>
  <c r="D2724" i="22"/>
  <c r="D1501" i="22"/>
  <c r="D2425" i="22"/>
  <c r="D3580" i="22"/>
  <c r="D945" i="22"/>
  <c r="D746" i="22"/>
  <c r="D1583" i="22"/>
  <c r="D4460" i="22"/>
  <c r="D2139" i="22"/>
  <c r="D3337" i="22"/>
  <c r="D4473" i="22"/>
  <c r="D2869" i="22"/>
  <c r="D1983" i="22"/>
  <c r="D4567" i="22"/>
  <c r="D3371" i="22"/>
  <c r="D766" i="22"/>
  <c r="D1491" i="22"/>
  <c r="D2378" i="22"/>
  <c r="D4213" i="22"/>
  <c r="D468" i="22"/>
  <c r="D231" i="22"/>
  <c r="D2467" i="22"/>
  <c r="D2699" i="22"/>
  <c r="D4020" i="22"/>
  <c r="D30" i="22"/>
  <c r="D239" i="22"/>
  <c r="D4171" i="22"/>
  <c r="D3498" i="22"/>
  <c r="D550" i="22"/>
  <c r="D1150" i="22"/>
  <c r="D3468" i="22"/>
  <c r="D1250" i="22"/>
  <c r="D1339" i="22"/>
  <c r="D3346" i="22"/>
  <c r="D4297" i="22"/>
  <c r="D4248" i="22"/>
  <c r="D877" i="22"/>
  <c r="D3565" i="22"/>
  <c r="D1913" i="22"/>
  <c r="D4769" i="22"/>
  <c r="D4449" i="22"/>
  <c r="D174" i="22"/>
  <c r="D737" i="22"/>
  <c r="D1373" i="22"/>
  <c r="D4489" i="22"/>
  <c r="D2127" i="22"/>
  <c r="D2767" i="22"/>
  <c r="D2586" i="22"/>
  <c r="D2585" i="22"/>
  <c r="D3883" i="22"/>
  <c r="D2644" i="22"/>
  <c r="D217" i="22"/>
  <c r="D2072" i="22"/>
  <c r="D3343" i="22"/>
  <c r="D4442" i="22"/>
  <c r="D3831" i="22"/>
  <c r="D1897" i="22"/>
  <c r="D3766" i="22"/>
  <c r="D2815" i="22"/>
  <c r="D1271" i="22"/>
  <c r="D3145" i="22"/>
  <c r="D2222" i="22"/>
  <c r="D1036" i="22"/>
  <c r="D3691" i="22"/>
  <c r="D4789" i="22"/>
  <c r="D491" i="22"/>
  <c r="D2195" i="22"/>
  <c r="D64" i="22"/>
  <c r="D2410" i="22"/>
  <c r="D1945" i="22"/>
  <c r="D914" i="22"/>
  <c r="D3402" i="22"/>
  <c r="D2107" i="22"/>
  <c r="D2617" i="22"/>
  <c r="D2458" i="22"/>
  <c r="D1257" i="22"/>
  <c r="D4086" i="22"/>
  <c r="D4217" i="22"/>
  <c r="D396" i="22"/>
  <c r="D3811" i="22"/>
  <c r="D3155" i="22"/>
  <c r="D1414" i="22"/>
  <c r="D2377" i="22"/>
  <c r="D3983" i="22"/>
  <c r="D3666" i="22"/>
  <c r="D1726" i="22"/>
  <c r="D4704" i="22"/>
  <c r="D1277" i="22"/>
  <c r="D2432" i="22"/>
  <c r="D3914" i="22"/>
  <c r="D4320" i="22"/>
  <c r="D1194" i="22"/>
  <c r="D3717" i="22"/>
  <c r="D2381" i="22"/>
  <c r="D920" i="22"/>
  <c r="D3232" i="22"/>
  <c r="D689" i="22"/>
  <c r="D72" i="22"/>
  <c r="D1474" i="22"/>
  <c r="D3309" i="22"/>
  <c r="D4828" i="22"/>
  <c r="D474" i="22"/>
  <c r="D2429" i="22"/>
  <c r="D715" i="22"/>
  <c r="D1828" i="22"/>
  <c r="D960" i="22"/>
  <c r="D3210" i="22"/>
  <c r="D1006" i="22"/>
  <c r="D3075" i="22"/>
  <c r="D522" i="22"/>
  <c r="D4046" i="22"/>
  <c r="D3395" i="22"/>
  <c r="D1012" i="22"/>
  <c r="D973" i="22"/>
  <c r="D4373" i="22"/>
  <c r="D1775" i="22"/>
  <c r="D1385" i="22"/>
  <c r="D1239" i="22"/>
  <c r="D3001" i="22"/>
  <c r="D400" i="22"/>
  <c r="D2191" i="22"/>
  <c r="D1679" i="22"/>
  <c r="D102" i="22"/>
  <c r="D2338" i="22"/>
  <c r="D4107" i="22"/>
  <c r="D1736" i="22"/>
  <c r="D4344" i="22"/>
  <c r="D972" i="22"/>
  <c r="D2126" i="22"/>
  <c r="D4260" i="22"/>
  <c r="D4276" i="22"/>
  <c r="D3959" i="22"/>
  <c r="D858" i="22"/>
  <c r="D4367" i="22"/>
  <c r="D1038" i="22"/>
  <c r="D308" i="22"/>
  <c r="D4144" i="22"/>
  <c r="D3916" i="22"/>
  <c r="D651" i="22"/>
  <c r="D4611" i="22"/>
  <c r="D1916" i="22"/>
  <c r="D1648" i="22"/>
  <c r="D4017" i="22"/>
  <c r="D486" i="22"/>
  <c r="D406" i="22"/>
  <c r="D3318" i="22"/>
  <c r="D3506" i="22"/>
  <c r="D1398" i="22"/>
  <c r="D4355" i="22"/>
  <c r="D4337" i="22"/>
  <c r="D2165" i="22"/>
  <c r="D4783" i="22"/>
  <c r="D4646" i="22"/>
  <c r="D4851" i="22"/>
  <c r="D1086" i="22"/>
  <c r="D4810" i="22"/>
  <c r="D3092" i="22"/>
  <c r="D238" i="22"/>
  <c r="D147" i="22"/>
  <c r="D1009" i="22"/>
  <c r="D4000" i="22"/>
  <c r="D3572" i="22"/>
  <c r="D3443" i="22"/>
  <c r="D2543" i="22"/>
  <c r="D631" i="22"/>
  <c r="D2544" i="22"/>
  <c r="D3969" i="22"/>
  <c r="D1818" i="22"/>
  <c r="D2063" i="22"/>
  <c r="D2622" i="22"/>
  <c r="D4743" i="22"/>
  <c r="D456" i="22"/>
  <c r="D2123" i="22"/>
  <c r="D1969" i="22"/>
  <c r="D3275" i="22"/>
  <c r="D1844" i="22"/>
  <c r="D1619" i="22"/>
  <c r="D4040" i="22"/>
  <c r="D3190" i="22"/>
  <c r="D3230" i="22"/>
  <c r="D1973" i="22"/>
  <c r="D4464" i="22"/>
  <c r="D3311" i="22"/>
  <c r="D1894" i="22"/>
  <c r="D3793" i="22"/>
  <c r="D4609" i="22"/>
  <c r="D3574" i="22"/>
  <c r="D1645" i="22"/>
  <c r="D4128" i="22"/>
  <c r="D3611" i="22"/>
  <c r="D3411" i="22"/>
  <c r="D673" i="22"/>
  <c r="D757" i="22"/>
  <c r="D2814" i="22"/>
  <c r="D4675" i="22"/>
  <c r="D4707" i="22"/>
  <c r="D1454" i="22"/>
  <c r="D2431" i="22"/>
  <c r="D2744" i="22"/>
  <c r="D1540" i="22"/>
  <c r="D2016" i="22"/>
  <c r="D1166" i="22"/>
  <c r="D648" i="22"/>
  <c r="D3152" i="22"/>
  <c r="D2332" i="22"/>
  <c r="D990" i="22"/>
  <c r="D3240" i="22"/>
  <c r="D3960" i="22"/>
  <c r="D1018" i="22"/>
  <c r="D3270" i="22"/>
  <c r="D3463" i="22"/>
  <c r="D3374" i="22"/>
  <c r="D1974" i="22"/>
  <c r="D1260" i="22"/>
  <c r="D507" i="22"/>
  <c r="D3246" i="22"/>
  <c r="D3828" i="22"/>
  <c r="D3935" i="22"/>
  <c r="D2265" i="22"/>
  <c r="D2917" i="22"/>
  <c r="D4837" i="22"/>
  <c r="D100" i="22"/>
  <c r="D3608" i="22"/>
  <c r="D3602" i="22"/>
  <c r="D288" i="22"/>
  <c r="D4431" i="22"/>
  <c r="D2545" i="22"/>
  <c r="D1502" i="22"/>
  <c r="D3019" i="22"/>
  <c r="D2327" i="22"/>
  <c r="D1841" i="22"/>
  <c r="D2453" i="22"/>
  <c r="D2514" i="22"/>
  <c r="D2452" i="22"/>
  <c r="D1627" i="22"/>
  <c r="D3338" i="22"/>
  <c r="D3021" i="22"/>
  <c r="D942" i="22"/>
  <c r="D3250" i="22"/>
  <c r="D888" i="22"/>
  <c r="D3379" i="22"/>
  <c r="D4814" i="22"/>
  <c r="D295" i="22"/>
  <c r="D1705" i="22"/>
  <c r="D3445" i="22"/>
  <c r="D316" i="22"/>
  <c r="D926" i="22"/>
  <c r="D4415" i="22"/>
  <c r="D782" i="22"/>
  <c r="D3957" i="22"/>
  <c r="D2359" i="22"/>
  <c r="D3302" i="22"/>
  <c r="D909" i="22"/>
  <c r="D4138" i="22"/>
  <c r="D653" i="22"/>
  <c r="D1263" i="22"/>
  <c r="D2895" i="22"/>
  <c r="D3868" i="22"/>
  <c r="D4684" i="22"/>
  <c r="D2527" i="22"/>
  <c r="D537" i="22"/>
  <c r="D1840" i="22"/>
  <c r="D4030" i="22"/>
  <c r="D3853" i="22"/>
  <c r="D248" i="22"/>
  <c r="D4308" i="22"/>
  <c r="D2889" i="22"/>
  <c r="D3773" i="22"/>
  <c r="D641" i="22"/>
  <c r="D427" i="22"/>
  <c r="D2045" i="22"/>
  <c r="D54" i="22"/>
  <c r="D698" i="22"/>
  <c r="D4678" i="22"/>
  <c r="D1603" i="22"/>
  <c r="D2062" i="22"/>
  <c r="D210" i="22"/>
  <c r="D2017" i="22"/>
  <c r="D2448" i="22"/>
  <c r="D4409" i="22"/>
  <c r="D3164" i="22"/>
  <c r="D448" i="22"/>
  <c r="D2531" i="22"/>
  <c r="D762" i="22"/>
  <c r="D3975" i="22"/>
  <c r="D4345" i="22"/>
  <c r="D4045" i="22"/>
  <c r="D1639" i="22"/>
  <c r="D4848" i="22"/>
  <c r="D594" i="22"/>
  <c r="D538" i="22"/>
  <c r="D4279" i="22"/>
  <c r="D4112" i="22"/>
  <c r="D4384" i="22"/>
  <c r="D2506" i="22"/>
  <c r="D1016" i="22"/>
  <c r="D296" i="22"/>
  <c r="D4275" i="22"/>
  <c r="D592" i="22"/>
  <c r="D1740" i="22"/>
  <c r="D4546" i="22"/>
  <c r="D2824" i="22"/>
  <c r="D4131" i="22"/>
  <c r="D4348" i="22"/>
  <c r="D403" i="22"/>
  <c r="D2143" i="22"/>
  <c r="D429" i="22"/>
  <c r="D3641" i="22"/>
  <c r="D3383" i="22"/>
  <c r="D2049" i="22"/>
  <c r="D4711" i="22"/>
  <c r="D515" i="22"/>
  <c r="D2050" i="22"/>
  <c r="D1821" i="22"/>
  <c r="D662" i="22"/>
  <c r="D4742" i="22"/>
  <c r="D1090" i="22"/>
  <c r="D734" i="22"/>
  <c r="D4069" i="22"/>
  <c r="D2737" i="22"/>
  <c r="D760" i="22"/>
  <c r="D3841" i="22"/>
  <c r="D3213" i="22"/>
  <c r="D4469" i="22"/>
  <c r="D5" i="22"/>
  <c r="D754" i="22"/>
  <c r="D718" i="22"/>
  <c r="D3284" i="22"/>
  <c r="D4603" i="22"/>
  <c r="D4568" i="22"/>
  <c r="D4317" i="22"/>
  <c r="D3013" i="22"/>
  <c r="D604" i="22"/>
  <c r="D838" i="22"/>
  <c r="D4759" i="22"/>
  <c r="D1055" i="22"/>
  <c r="D1798" i="22"/>
  <c r="D4865" i="22"/>
  <c r="D3986" i="22"/>
  <c r="D3806" i="22"/>
  <c r="D4752" i="22"/>
  <c r="D1604" i="22"/>
  <c r="D2633" i="22"/>
  <c r="D3577" i="22"/>
  <c r="D2812" i="22"/>
  <c r="D879" i="22"/>
  <c r="D1789" i="22"/>
  <c r="D644" i="22"/>
  <c r="D1105" i="22"/>
  <c r="D2232" i="22"/>
  <c r="D1492" i="22"/>
  <c r="D3712" i="22"/>
  <c r="D4363" i="22"/>
  <c r="D3204" i="22"/>
  <c r="D1845" i="22"/>
  <c r="D3954" i="22"/>
  <c r="D1857" i="22"/>
  <c r="D2255" i="22"/>
  <c r="D2993" i="22"/>
  <c r="D1496" i="22"/>
  <c r="D963" i="22"/>
  <c r="D4447" i="22"/>
  <c r="D4820" i="22"/>
  <c r="D2693" i="22"/>
  <c r="D3605" i="22"/>
  <c r="D2714" i="22"/>
  <c r="D1986" i="22"/>
  <c r="D1788" i="22"/>
  <c r="D3193" i="22"/>
  <c r="D1483" i="22"/>
  <c r="D1580" i="22"/>
  <c r="D1980" i="22"/>
  <c r="D4524" i="22"/>
  <c r="D240" i="22"/>
  <c r="D3962" i="22"/>
  <c r="D1977" i="22"/>
  <c r="D4029" i="22"/>
  <c r="D1356" i="22"/>
  <c r="D2987" i="22"/>
  <c r="D2689" i="22"/>
  <c r="D1045" i="22"/>
  <c r="D1408" i="22"/>
  <c r="D1984" i="22"/>
  <c r="D4992" i="22"/>
  <c r="D4618" i="22"/>
  <c r="D4433" i="22"/>
  <c r="D1328" i="22"/>
  <c r="D1158" i="22"/>
  <c r="D3336" i="22"/>
  <c r="D1882" i="22"/>
  <c r="D518" i="22"/>
  <c r="D3160" i="22"/>
  <c r="D4596" i="22"/>
  <c r="D4617" i="22"/>
  <c r="D1052" i="22"/>
  <c r="D3103" i="22"/>
  <c r="D200" i="22"/>
  <c r="D341" i="22"/>
  <c r="D4170" i="22"/>
  <c r="D3618" i="22"/>
  <c r="D4484" i="22"/>
  <c r="D771" i="22"/>
  <c r="D2298" i="22"/>
  <c r="D1908" i="22"/>
  <c r="D2172" i="22"/>
  <c r="D3563" i="22"/>
  <c r="D1500" i="22"/>
  <c r="D4943" i="22"/>
  <c r="D4267" i="22"/>
  <c r="D2894" i="22"/>
  <c r="D2787" i="22"/>
  <c r="D3328" i="22"/>
  <c r="D284" i="22"/>
  <c r="D2608" i="22"/>
  <c r="D3538" i="22"/>
  <c r="D1644" i="22"/>
  <c r="D2827" i="22"/>
  <c r="D802" i="22"/>
  <c r="D2533" i="22"/>
  <c r="D1262" i="22"/>
  <c r="D3670" i="22"/>
  <c r="D989" i="22"/>
  <c r="D4676" i="22"/>
  <c r="D984" i="22"/>
  <c r="D101" i="22"/>
  <c r="D2203" i="22"/>
  <c r="D2576" i="22"/>
  <c r="D332" i="22"/>
  <c r="D2024" i="22"/>
  <c r="D3929" i="22"/>
  <c r="D524" i="22"/>
  <c r="D1007" i="22"/>
  <c r="D3532" i="22"/>
  <c r="D4055" i="22"/>
  <c r="D4132" i="22"/>
  <c r="D825" i="22"/>
  <c r="D1064" i="22"/>
  <c r="D2605" i="22"/>
  <c r="D2361" i="22"/>
  <c r="D3054" i="22"/>
  <c r="D1849" i="22"/>
  <c r="D2829" i="22"/>
  <c r="D4032" i="22"/>
  <c r="D3814" i="22"/>
  <c r="D2604" i="22"/>
  <c r="D841" i="22"/>
  <c r="D4818" i="22"/>
  <c r="D3405" i="22"/>
  <c r="D1959" i="22"/>
  <c r="D353" i="22"/>
  <c r="D3570" i="22"/>
  <c r="D2718" i="22"/>
  <c r="D4846" i="22"/>
  <c r="D1923" i="22"/>
  <c r="D112" i="22"/>
  <c r="D1622" i="22"/>
  <c r="D3510" i="22"/>
  <c r="D3149" i="22"/>
  <c r="D1714" i="22"/>
  <c r="D2763" i="22"/>
  <c r="D3943" i="22"/>
  <c r="D2960" i="22"/>
  <c r="D3974" i="22"/>
  <c r="D3377" i="22"/>
  <c r="D4393" i="22"/>
  <c r="D1703" i="22"/>
  <c r="D3296" i="22"/>
  <c r="D692" i="22"/>
  <c r="D203" i="22"/>
  <c r="D110" i="22"/>
  <c r="D4671" i="22"/>
  <c r="D2799" i="22"/>
  <c r="D3829" i="22"/>
  <c r="D2834" i="22"/>
  <c r="D2254" i="22"/>
  <c r="D2033" i="22"/>
  <c r="D4639" i="22"/>
  <c r="D3386" i="22"/>
  <c r="D928" i="22"/>
  <c r="D1014" i="22"/>
  <c r="D1746" i="22"/>
  <c r="D3610" i="22"/>
  <c r="D811" i="22"/>
  <c r="D2892" i="22"/>
  <c r="D3627" i="22"/>
  <c r="D4206" i="22"/>
  <c r="D3057" i="22"/>
  <c r="D1359" i="22"/>
  <c r="D2267" i="22"/>
  <c r="D1869" i="22"/>
  <c r="D3291" i="22"/>
  <c r="D709" i="22"/>
  <c r="D1629" i="22"/>
  <c r="D4224" i="22"/>
  <c r="D3195" i="22"/>
  <c r="D2990" i="22"/>
  <c r="D944" i="22"/>
  <c r="D652" i="22"/>
  <c r="D1209" i="22"/>
  <c r="D2156" i="22"/>
  <c r="D1547" i="22"/>
  <c r="D2313" i="22"/>
  <c r="D2084" i="22"/>
  <c r="D2287" i="22"/>
  <c r="D4183" i="22"/>
  <c r="D2280" i="22"/>
  <c r="D4098" i="22"/>
  <c r="D2529" i="22"/>
  <c r="D1346" i="22"/>
  <c r="D3822" i="22"/>
  <c r="D4947" i="22"/>
  <c r="D4930" i="22"/>
  <c r="D814" i="22"/>
  <c r="D659" i="22"/>
  <c r="D1072" i="22"/>
  <c r="D1079" i="22"/>
  <c r="D3782" i="22"/>
  <c r="D4909" i="22"/>
  <c r="D1764" i="22"/>
  <c r="D4196" i="22"/>
  <c r="D2841" i="22"/>
  <c r="D2778" i="22"/>
  <c r="D534" i="22"/>
  <c r="D1786" i="22"/>
  <c r="D3869" i="22"/>
  <c r="D1131" i="22"/>
  <c r="D3544" i="22"/>
  <c r="D3264" i="22"/>
  <c r="D704" i="22"/>
  <c r="D954" i="22"/>
  <c r="D4689" i="22"/>
  <c r="D4074" i="22"/>
  <c r="D378" i="22"/>
  <c r="D4463" i="22"/>
  <c r="D4784" i="22"/>
  <c r="D4604" i="22"/>
  <c r="D3801" i="22"/>
  <c r="D685" i="22"/>
  <c r="D3129" i="22"/>
  <c r="D1927" i="22"/>
  <c r="D2525" i="22"/>
  <c r="D4795" i="22"/>
  <c r="D1817" i="22"/>
  <c r="D4193" i="22"/>
  <c r="D1253" i="22"/>
  <c r="D900" i="22"/>
  <c r="D2805" i="22"/>
  <c r="D2162" i="22"/>
  <c r="D717" i="22"/>
  <c r="D2750" i="22"/>
  <c r="D343" i="22"/>
  <c r="D529" i="22"/>
  <c r="D3334" i="22"/>
  <c r="D206" i="22"/>
  <c r="D4304" i="22"/>
  <c r="D4168" i="22"/>
  <c r="D2454" i="22"/>
  <c r="D2944" i="22"/>
  <c r="D2589" i="22"/>
  <c r="D4461" i="22"/>
  <c r="D3885" i="22"/>
  <c r="D3894" i="22"/>
  <c r="D923" i="22"/>
  <c r="D4051" i="22"/>
  <c r="D4594" i="22"/>
  <c r="D366" i="22"/>
  <c r="D2733" i="22"/>
  <c r="D2455" i="22"/>
  <c r="D4658" i="22"/>
  <c r="D1696" i="22"/>
  <c r="D1466" i="22"/>
  <c r="D3297" i="22"/>
  <c r="D4961" i="22"/>
  <c r="D4995" i="22"/>
  <c r="D3289" i="22"/>
  <c r="D3918" i="22"/>
  <c r="D1226" i="22"/>
  <c r="D908" i="22"/>
  <c r="D4265" i="22"/>
  <c r="D670" i="22"/>
  <c r="D3920" i="22"/>
  <c r="D1296" i="22"/>
  <c r="D227" i="22"/>
  <c r="D514" i="22"/>
  <c r="D2860" i="22"/>
  <c r="D2057" i="22"/>
  <c r="D1747" i="22"/>
  <c r="D4286" i="22"/>
  <c r="D1024" i="22"/>
  <c r="D2032" i="22"/>
  <c r="D1932" i="22"/>
  <c r="D824" i="22"/>
  <c r="D4610" i="22"/>
  <c r="D3224" i="22"/>
  <c r="D470" i="22"/>
  <c r="D1676" i="22"/>
  <c r="D226" i="22"/>
  <c r="D3079" i="22"/>
  <c r="D3412" i="22"/>
  <c r="D4958" i="22"/>
  <c r="D169" i="22"/>
  <c r="D3108" i="22"/>
  <c r="D1659" i="22"/>
  <c r="D259" i="22"/>
  <c r="D4871" i="22"/>
  <c r="D1647" i="22"/>
  <c r="D2155" i="22"/>
  <c r="D4300" i="22"/>
  <c r="D362" i="22"/>
  <c r="D4497" i="22"/>
  <c r="D4732" i="22"/>
  <c r="D1976" i="22"/>
  <c r="D2090" i="22"/>
  <c r="D3197" i="22"/>
  <c r="D2384" i="22"/>
  <c r="D3192" i="22"/>
  <c r="D1795" i="22"/>
  <c r="D3842" i="22"/>
  <c r="D3772" i="22"/>
  <c r="D2316" i="22"/>
  <c r="D861" i="22"/>
  <c r="D4359" i="22"/>
  <c r="D1431" i="22"/>
  <c r="D4667" i="22"/>
  <c r="D4825" i="22"/>
  <c r="D3683" i="22"/>
  <c r="D2897" i="22"/>
  <c r="D1957" i="22"/>
  <c r="D2292" i="22"/>
  <c r="D3762" i="22"/>
  <c r="D736" i="22"/>
  <c r="D485" i="22"/>
  <c r="D41" i="22"/>
  <c r="D3561" i="22"/>
  <c r="D2069" i="22"/>
  <c r="D1966" i="22"/>
  <c r="D1556" i="22"/>
  <c r="D3651" i="22"/>
  <c r="D441" i="22"/>
  <c r="D4968" i="22"/>
  <c r="D3033" i="22"/>
  <c r="D732" i="22"/>
  <c r="D1677" i="22"/>
  <c r="D3512" i="22"/>
  <c r="D2535" i="22"/>
  <c r="D2145" i="22"/>
  <c r="D2199" i="22"/>
  <c r="D3027" i="22"/>
  <c r="D831" i="22"/>
  <c r="D4576" i="22"/>
  <c r="D71" i="22"/>
  <c r="D3879" i="22"/>
  <c r="D1191" i="22"/>
  <c r="D2434" i="22"/>
  <c r="D2420" i="22"/>
  <c r="D2354" i="22"/>
  <c r="D1034" i="22"/>
  <c r="D2284" i="22"/>
  <c r="D2923" i="22"/>
  <c r="D1960" i="22"/>
  <c r="D3537" i="22"/>
  <c r="D2845" i="22"/>
  <c r="D3376" i="22"/>
  <c r="D1926" i="22"/>
  <c r="D779" i="22"/>
  <c r="D3917" i="22"/>
  <c r="D3595" i="22"/>
  <c r="D4866" i="22"/>
  <c r="D2645" i="22"/>
  <c r="D1440" i="22"/>
  <c r="D3119" i="22"/>
  <c r="D4382" i="22"/>
  <c r="D1127" i="22"/>
  <c r="D4291" i="22"/>
  <c r="D4155" i="22"/>
  <c r="D2806" i="22"/>
  <c r="D677" i="22"/>
  <c r="D2536" i="22"/>
  <c r="D207" i="22"/>
  <c r="D2250" i="22"/>
  <c r="D1130" i="22"/>
  <c r="D1885" i="22"/>
  <c r="D1946" i="22"/>
  <c r="D4005" i="22"/>
  <c r="D1004" i="22"/>
  <c r="D2480" i="22"/>
  <c r="D4558" i="22"/>
  <c r="D1054" i="22"/>
  <c r="D1348" i="22"/>
  <c r="D2372" i="22"/>
  <c r="D1922" i="22"/>
  <c r="D4368" i="22"/>
  <c r="D1070" i="22"/>
  <c r="D4177" i="22"/>
  <c r="D1406" i="22"/>
  <c r="D2606" i="22"/>
  <c r="D1338" i="22"/>
  <c r="D735" i="22"/>
  <c r="D3596" i="22"/>
  <c r="D2041" i="22"/>
  <c r="D3947" i="22"/>
  <c r="D3423" i="22"/>
  <c r="D4441" i="22"/>
  <c r="D2758" i="22"/>
  <c r="D245" i="22"/>
  <c r="D2849" i="22"/>
  <c r="D2925" i="22"/>
  <c r="D1611" i="22"/>
  <c r="D2459" i="22"/>
  <c r="D4787" i="22"/>
  <c r="D1928" i="22"/>
  <c r="D890" i="22"/>
  <c r="D4479" i="22"/>
  <c r="D3795" i="22"/>
  <c r="D1704" i="22"/>
  <c r="D2599" i="22"/>
  <c r="D2182" i="22"/>
  <c r="D1463" i="22"/>
  <c r="D2234" i="22"/>
  <c r="D1376" i="22"/>
  <c r="D711" i="22"/>
  <c r="D2626" i="22"/>
  <c r="D2534" i="22"/>
  <c r="D1750" i="22"/>
  <c r="D3638" i="22"/>
  <c r="D2972" i="22"/>
  <c r="D1142" i="22"/>
  <c r="D2257" i="22"/>
  <c r="D696" i="22"/>
  <c r="D2116" i="22"/>
  <c r="D1929" i="22"/>
  <c r="D1654" i="22"/>
  <c r="D1666" i="22"/>
  <c r="D995" i="22"/>
  <c r="D2475" i="22"/>
  <c r="D722" i="22"/>
  <c r="D1135" i="22"/>
  <c r="D2447" i="22"/>
  <c r="D4207" i="22"/>
  <c r="D655" i="22"/>
  <c r="D4984" i="22"/>
  <c r="D2822" i="22"/>
  <c r="D1241" i="22"/>
  <c r="D3832" i="22"/>
  <c r="D2629" i="22"/>
  <c r="D1155" i="22"/>
  <c r="D3222" i="22"/>
  <c r="D2178" i="22"/>
  <c r="D4082" i="22"/>
  <c r="D2836" i="22"/>
  <c r="D2004" i="22"/>
  <c r="D1362" i="22"/>
  <c r="D1401" i="22"/>
  <c r="D3609" i="22"/>
  <c r="D3871" i="22"/>
  <c r="D4284" i="22"/>
  <c r="D2881" i="22"/>
  <c r="D2729" i="22"/>
  <c r="D2974" i="22"/>
  <c r="D2932" i="22"/>
  <c r="D1884" i="22"/>
  <c r="D3664" i="22"/>
  <c r="D1043" i="22"/>
  <c r="D2190" i="22"/>
  <c r="D1438" i="22"/>
  <c r="D4971" i="22"/>
  <c r="D4826" i="22"/>
  <c r="D1582" i="22"/>
  <c r="D947" i="22"/>
  <c r="D1854" i="22"/>
  <c r="D108" i="22"/>
  <c r="D1242" i="22"/>
  <c r="D4140" i="22"/>
  <c r="D3127" i="22"/>
  <c r="D1286" i="22"/>
  <c r="D966" i="22"/>
  <c r="D2801" i="22"/>
  <c r="D2340" i="22"/>
  <c r="D3300" i="22"/>
  <c r="D3198" i="22"/>
  <c r="D4777" i="22"/>
  <c r="D1564" i="22"/>
  <c r="D3626" i="22"/>
  <c r="D2481" i="22"/>
  <c r="D510" i="22"/>
  <c r="D823" i="22"/>
  <c r="D3621" i="22"/>
  <c r="D2728" i="22"/>
  <c r="D4054" i="22"/>
  <c r="D1542" i="22"/>
  <c r="D2238" i="22"/>
  <c r="D3065" i="22"/>
  <c r="D1890" i="22"/>
  <c r="D4620" i="22"/>
  <c r="D2933" i="22"/>
  <c r="D4331" i="22"/>
  <c r="D3169" i="22"/>
  <c r="D2180" i="22"/>
  <c r="D3937" i="22"/>
  <c r="D1685" i="22"/>
  <c r="D1110" i="22"/>
  <c r="D3025" i="22"/>
  <c r="D1767" i="22"/>
  <c r="D3979" i="22"/>
  <c r="D1167" i="22"/>
  <c r="D361" i="22"/>
  <c r="D1134" i="22"/>
  <c r="D1562" i="22"/>
  <c r="D504" i="22"/>
  <c r="D3272" i="22"/>
  <c r="D3632" i="22"/>
  <c r="D1161" i="22"/>
  <c r="D1996" i="22"/>
  <c r="D1823" i="22"/>
  <c r="D1520" i="22"/>
  <c r="D1856" i="22"/>
  <c r="D3063" i="22"/>
  <c r="D496" i="22"/>
  <c r="D1686" i="22"/>
  <c r="D1482" i="22"/>
  <c r="D619" i="22"/>
  <c r="D4301" i="22"/>
  <c r="D2690" i="22"/>
  <c r="D3907" i="22"/>
  <c r="D2408" i="22"/>
  <c r="D1323" i="22"/>
  <c r="D4023" i="22"/>
  <c r="D4219" i="22"/>
  <c r="D2499" i="22"/>
  <c r="D1846" i="22"/>
  <c r="D3073" i="22"/>
  <c r="D660" i="22"/>
  <c r="D4482" i="22"/>
  <c r="D860" i="22"/>
  <c r="D4277" i="22"/>
  <c r="D2310" i="22"/>
  <c r="D2754" i="22"/>
  <c r="D3306" i="22"/>
  <c r="D1509" i="22"/>
  <c r="D2577" i="22"/>
  <c r="D4246" i="22"/>
  <c r="D1837" i="22"/>
  <c r="D3329" i="22"/>
  <c r="D3085" i="22"/>
  <c r="D730" i="22"/>
  <c r="D2856" i="22"/>
  <c r="D3925" i="22"/>
  <c r="D935" i="22"/>
  <c r="D3024" i="22"/>
  <c r="D1366" i="22"/>
  <c r="D458" i="22"/>
  <c r="D3154" i="22"/>
  <c r="D2471" i="22"/>
  <c r="D2060" i="22"/>
  <c r="D2134" i="22"/>
  <c r="D2659" i="22"/>
  <c r="D4668" i="22"/>
  <c r="D2274" i="22"/>
  <c r="D2828" i="22"/>
  <c r="D2578" i="22"/>
  <c r="D1577" i="22"/>
  <c r="D1998" i="22"/>
  <c r="D2634" i="22"/>
  <c r="D1000" i="22"/>
  <c r="D1831" i="22"/>
  <c r="D3450" i="22"/>
  <c r="D2424" i="22"/>
  <c r="D1451" i="22"/>
  <c r="D3678" i="22"/>
  <c r="D3259" i="22"/>
  <c r="D4117" i="22"/>
  <c r="D1304" i="22"/>
  <c r="D797" i="22"/>
  <c r="D1630" i="22"/>
  <c r="D1518" i="22"/>
  <c r="D4151" i="22"/>
  <c r="D4552" i="22"/>
  <c r="D3585" i="22"/>
  <c r="D2044" i="22"/>
  <c r="D464" i="22"/>
  <c r="D2865" i="22"/>
  <c r="D1144" i="22"/>
  <c r="D4429" i="22"/>
  <c r="D381" i="22"/>
  <c r="D4185" i="22"/>
  <c r="D4692" i="22"/>
  <c r="D3745" i="22"/>
  <c r="D3680" i="22"/>
  <c r="D142" i="22"/>
  <c r="D2407" i="22"/>
  <c r="D4472" i="22"/>
  <c r="D1210" i="22"/>
  <c r="D3810" i="22"/>
  <c r="D2977" i="22"/>
  <c r="D1737" i="22"/>
  <c r="D2719" i="22"/>
  <c r="D4885" i="22"/>
  <c r="D1477" i="22"/>
  <c r="D4587" i="22"/>
  <c r="D1709" i="22"/>
  <c r="D768" i="22"/>
  <c r="D2588" i="22"/>
  <c r="D4889" i="22"/>
  <c r="D3672" i="22"/>
  <c r="D2059" i="22"/>
  <c r="D2524" i="22"/>
  <c r="D3818" i="22"/>
  <c r="D4781" i="22"/>
  <c r="D333" i="22"/>
  <c r="D752" i="22"/>
  <c r="D2446" i="22"/>
  <c r="D3567" i="22"/>
  <c r="D4244" i="22"/>
  <c r="D3161" i="22"/>
  <c r="D2169" i="22"/>
  <c r="D451" i="22"/>
  <c r="D2457" i="22"/>
  <c r="D2078" i="22"/>
  <c r="D4099" i="22"/>
  <c r="D1499" i="22"/>
  <c r="D4616" i="22"/>
  <c r="D3166" i="22"/>
  <c r="D955" i="22"/>
  <c r="D4083" i="22"/>
  <c r="D2946" i="22"/>
  <c r="D4311" i="22"/>
  <c r="D2624" i="22"/>
  <c r="D165" i="22"/>
  <c r="D866" i="22"/>
  <c r="D878" i="22"/>
  <c r="D1471" i="22"/>
  <c r="D4307" i="22"/>
  <c r="D546" i="22"/>
  <c r="D4465" i="22"/>
  <c r="D26" i="22"/>
  <c r="D930" i="22"/>
  <c r="D96" i="22"/>
  <c r="D2984" i="22"/>
  <c r="D4983" i="22"/>
  <c r="D128" i="22"/>
  <c r="D1205" i="22"/>
  <c r="D371" i="22"/>
  <c r="D2396" i="22"/>
  <c r="D4842" i="22"/>
  <c r="D3044" i="22"/>
  <c r="D2268" i="22"/>
  <c r="D411" i="22"/>
  <c r="D4951" i="22"/>
  <c r="D1896" i="22"/>
  <c r="D4571" i="22"/>
  <c r="D4942" i="22"/>
  <c r="D2253" i="22"/>
  <c r="D3205" i="22"/>
  <c r="D204" i="22"/>
  <c r="D1230" i="22"/>
  <c r="D4702" i="22"/>
  <c r="D4316" i="22"/>
  <c r="D1525" i="22"/>
  <c r="D4509" i="22"/>
  <c r="D3540" i="22"/>
  <c r="D4716" i="22"/>
  <c r="D4583" i="22"/>
  <c r="D4778" i="22"/>
  <c r="D342" i="22"/>
  <c r="D4949" i="22"/>
  <c r="D2537" i="22"/>
  <c r="D589" i="22"/>
  <c r="D2665" i="22"/>
  <c r="D2385" i="22"/>
  <c r="D2422" i="22"/>
  <c r="D425" i="22"/>
  <c r="D495" i="22"/>
  <c r="D1707" i="22"/>
  <c r="D3677" i="22"/>
  <c r="D435" i="22"/>
  <c r="D3368" i="22"/>
  <c r="D2223" i="22"/>
  <c r="D1060" i="22"/>
  <c r="D1133" i="22"/>
  <c r="D122" i="22"/>
  <c r="D1866" i="22"/>
  <c r="D3071" i="22"/>
  <c r="D1825" i="22"/>
  <c r="D1424" i="22"/>
  <c r="D3138" i="22"/>
  <c r="D1222" i="22"/>
  <c r="D701" i="22"/>
  <c r="D4701" i="22"/>
  <c r="D2742" i="22"/>
  <c r="D4629" i="22"/>
  <c r="D2691" i="22"/>
  <c r="D3315" i="22"/>
  <c r="D2505" i="22"/>
  <c r="D854" i="22"/>
  <c r="D4085" i="22"/>
  <c r="D3911" i="22"/>
  <c r="D3673" i="22"/>
  <c r="D1288" i="22"/>
  <c r="D3028" i="22"/>
  <c r="D2153" i="22"/>
  <c r="D3888" i="22"/>
  <c r="D2002" i="22"/>
  <c r="D4016" i="22"/>
  <c r="D4934" i="22"/>
  <c r="D176" i="22"/>
  <c r="D1478" i="22"/>
  <c r="D626" i="22"/>
  <c r="D1047" i="22"/>
  <c r="D3661" i="22"/>
  <c r="D3812" i="22"/>
  <c r="D922" i="22"/>
  <c r="D3985" i="22"/>
  <c r="D2683" i="22"/>
  <c r="D3485" i="22"/>
  <c r="D4346" i="22"/>
  <c r="D554" i="22"/>
  <c r="D2532" i="22"/>
  <c r="D4965" i="22"/>
  <c r="D2129" i="22"/>
  <c r="D360" i="22"/>
  <c r="D1820" i="22"/>
  <c r="D450" i="22"/>
  <c r="D289" i="22"/>
  <c r="D4186" i="22"/>
  <c r="D3748" i="22"/>
  <c r="D869" i="22"/>
  <c r="D978" i="22"/>
  <c r="D637" i="22"/>
  <c r="D3014" i="22"/>
  <c r="D1551" i="22"/>
  <c r="D2260" i="22"/>
  <c r="D1754" i="22"/>
  <c r="D1561" i="22"/>
  <c r="D713" i="22"/>
  <c r="D314" i="22"/>
  <c r="D395" i="22"/>
  <c r="D315" i="22"/>
  <c r="D2301" i="22"/>
  <c r="D3708" i="22"/>
  <c r="D4526" i="22"/>
  <c r="D1769" i="22"/>
  <c r="D4775" i="22"/>
  <c r="D4739" i="22"/>
  <c r="D2321" i="22"/>
  <c r="D2579" i="22"/>
  <c r="D3601" i="22"/>
  <c r="D1227" i="22"/>
  <c r="D967" i="22"/>
  <c r="D3945" i="22"/>
  <c r="D2249" i="22"/>
  <c r="D3590" i="22"/>
  <c r="D2117" i="22"/>
  <c r="D1595" i="22"/>
  <c r="D1481" i="22"/>
  <c r="D2546" i="22"/>
  <c r="D2419" i="22"/>
  <c r="D1294" i="22"/>
  <c r="D1907" i="22"/>
  <c r="D2640" i="22"/>
  <c r="D629" i="22"/>
  <c r="D611" i="22"/>
  <c r="D4506" i="22"/>
  <c r="D2494" i="22"/>
  <c r="D1924" i="22"/>
  <c r="D4081" i="22"/>
  <c r="D2547" i="22"/>
  <c r="D931" i="22"/>
  <c r="D3466" i="22"/>
  <c r="D2206" i="22"/>
  <c r="D4322" i="22"/>
  <c r="D4019" i="22"/>
  <c r="D3366" i="22"/>
  <c r="D1895" i="22"/>
  <c r="D2721" i="22"/>
  <c r="D2638" i="22"/>
  <c r="D2348" i="22"/>
  <c r="D2398" i="22"/>
  <c r="D2108" i="22"/>
  <c r="D3764" i="22"/>
  <c r="D3634" i="22"/>
  <c r="D2952" i="22"/>
  <c r="D1464" i="22"/>
  <c r="D4330" i="22"/>
  <c r="D3562" i="22"/>
  <c r="D1712" i="22"/>
  <c r="D1113" i="22"/>
  <c r="D3029" i="22"/>
  <c r="D844" i="22"/>
  <c r="D2068" i="22"/>
  <c r="D1488" i="22"/>
  <c r="D758" i="22"/>
  <c r="D1025" i="22"/>
  <c r="D3711" i="22"/>
  <c r="D881" i="22"/>
  <c r="D1506" i="22"/>
  <c r="D1877" i="22"/>
  <c r="D2615" i="22"/>
  <c r="D454" i="22"/>
  <c r="D728" i="22"/>
  <c r="D4763" i="22"/>
  <c r="D1766" i="22"/>
  <c r="D4624" i="22"/>
  <c r="D402" i="22"/>
  <c r="D4067" i="22"/>
  <c r="D3175" i="22"/>
  <c r="D3519" i="22"/>
  <c r="D3504" i="22"/>
  <c r="D2312" i="22"/>
  <c r="D3803" i="22"/>
  <c r="D2043" i="22"/>
  <c r="D3594" i="22"/>
  <c r="D1053" i="22"/>
  <c r="D2548" i="22"/>
  <c r="D2580" i="22"/>
  <c r="D3936" i="22"/>
  <c r="D3930" i="22"/>
  <c r="D2528" i="22"/>
  <c r="D3886" i="22"/>
  <c r="D2187" i="22"/>
  <c r="D4883" i="22"/>
  <c r="D1371" i="22"/>
  <c r="D1898" i="22"/>
  <c r="D2315" i="22"/>
  <c r="D2466" i="22"/>
  <c r="D1094" i="22"/>
  <c r="D1303" i="22"/>
  <c r="D3066" i="22"/>
  <c r="D3674" i="22"/>
  <c r="D2288" i="22"/>
  <c r="D993" i="22"/>
  <c r="D368" i="22"/>
  <c r="D2272" i="22"/>
  <c r="D3716" i="22"/>
  <c r="D1224" i="22"/>
  <c r="D551" i="22"/>
  <c r="D3177" i="22"/>
  <c r="D347" i="22"/>
  <c r="D3515" i="22"/>
  <c r="D4740" i="22"/>
  <c r="D2500" i="22"/>
  <c r="D4294" i="22"/>
  <c r="D3007" i="22"/>
  <c r="D3048" i="22"/>
  <c r="D2142" i="22"/>
  <c r="D2277" i="22"/>
  <c r="D576" i="22"/>
  <c r="D902" i="22"/>
  <c r="D4033" i="22"/>
  <c r="D3367" i="22"/>
  <c r="D4247" i="22"/>
  <c r="D1407" i="22"/>
  <c r="D4607" i="22"/>
  <c r="D1555" i="22"/>
  <c r="D4187" i="22"/>
  <c r="D4049" i="22"/>
  <c r="D532" i="22"/>
  <c r="D1092" i="22"/>
  <c r="D1643" i="22"/>
  <c r="D2736" i="22"/>
  <c r="D1106" i="22"/>
  <c r="D2549" i="22"/>
  <c r="D1355" i="22"/>
  <c r="D2051" i="22"/>
  <c r="D1423" i="22"/>
  <c r="D1493" i="22"/>
  <c r="D2358" i="22"/>
  <c r="D602" i="22"/>
  <c r="D3993" i="22"/>
  <c r="D2096" i="22"/>
  <c r="D527" i="22"/>
  <c r="D1062" i="22"/>
  <c r="D1100" i="22"/>
  <c r="D572" i="22"/>
  <c r="D4635" i="22"/>
  <c r="D539" i="22"/>
  <c r="D1357" i="22"/>
  <c r="D2146" i="22"/>
  <c r="D4974" i="22"/>
  <c r="D3333" i="22"/>
  <c r="D2337" i="22"/>
  <c r="D1516" i="22"/>
  <c r="D1233" i="22"/>
  <c r="D1826" i="22"/>
  <c r="D2197" i="22"/>
  <c r="D1368" i="22"/>
  <c r="D4768" i="22"/>
  <c r="D1860" i="22"/>
  <c r="D3184" i="22"/>
  <c r="D2582" i="22"/>
  <c r="D3989" i="22"/>
  <c r="D1865" i="22"/>
  <c r="D1891" i="22"/>
  <c r="D1178" i="22"/>
  <c r="D2427" i="22"/>
  <c r="D2058" i="22"/>
  <c r="D1238" i="22"/>
  <c r="D2047" i="22"/>
  <c r="D3320" i="22"/>
  <c r="D853" i="22"/>
  <c r="D4887" i="22"/>
  <c r="D2054" i="22"/>
  <c r="D3039" i="22"/>
  <c r="D1437" i="22"/>
  <c r="D798" i="22"/>
  <c r="D2399" i="22"/>
  <c r="D1126" i="22"/>
  <c r="D3113" i="22"/>
  <c r="D3689" i="22"/>
  <c r="D1309" i="22"/>
  <c r="D2034" i="22"/>
  <c r="D2593" i="22"/>
  <c r="D992" i="22"/>
  <c r="D461" i="22"/>
  <c r="D4590" i="22"/>
  <c r="D649" i="22"/>
  <c r="D2109" i="22"/>
  <c r="D4146" i="22"/>
  <c r="D3290" i="22"/>
  <c r="D3055" i="22"/>
  <c r="D2887" i="22"/>
  <c r="D925" i="22"/>
  <c r="D3434" i="22"/>
  <c r="D1537" i="22"/>
  <c r="D3492" i="22"/>
  <c r="D4542" i="22"/>
  <c r="D307" i="22"/>
  <c r="D3208" i="22"/>
  <c r="D1389" i="22"/>
  <c r="D636" i="22"/>
  <c r="D2788" i="22"/>
  <c r="D4233" i="22"/>
  <c r="D4873" i="22"/>
  <c r="D230" i="22"/>
  <c r="D893" i="22"/>
  <c r="D2103" i="22"/>
  <c r="D4078" i="22"/>
  <c r="D2838" i="22"/>
  <c r="D3106" i="22"/>
  <c r="D473" i="22"/>
  <c r="D4180" i="22"/>
  <c r="D350" i="22"/>
  <c r="D4528" i="22"/>
  <c r="D941" i="22"/>
  <c r="D2149" i="22"/>
  <c r="D1948" i="22"/>
  <c r="D919" i="22"/>
  <c r="D2200" i="22"/>
  <c r="D1050" i="22"/>
  <c r="D1495" i="22"/>
  <c r="D121" i="22"/>
  <c r="D4481" i="22"/>
  <c r="D4353" i="22"/>
  <c r="D556" i="22"/>
  <c r="D3995" i="22"/>
  <c r="D1915" i="22"/>
  <c r="D4456" i="22"/>
  <c r="D918" i="22"/>
  <c r="D3503" i="22"/>
  <c r="D1553" i="22"/>
  <c r="D3223" i="22"/>
  <c r="D3804" i="22"/>
  <c r="D4535" i="22"/>
  <c r="D523" i="22"/>
  <c r="D191" i="22"/>
  <c r="D4313" i="22"/>
  <c r="D4327" i="22"/>
  <c r="D2395" i="22"/>
  <c r="D4592" i="22"/>
  <c r="D2963" i="22"/>
  <c r="D37" i="22"/>
  <c r="D4928" i="22"/>
  <c r="D3630" i="22"/>
  <c r="D4271" i="22"/>
  <c r="D4062" i="22"/>
  <c r="D3118" i="22"/>
  <c r="D3394" i="22"/>
  <c r="D1892" i="22"/>
  <c r="D4147" i="22"/>
  <c r="D1010" i="22"/>
  <c r="D2020" i="22"/>
  <c r="D2364" i="22"/>
  <c r="D2846" i="22"/>
  <c r="D1852" i="22"/>
  <c r="D1283" i="22"/>
  <c r="D4474" i="22"/>
  <c r="D489" i="22"/>
  <c r="D528" i="22"/>
  <c r="D1636" i="22"/>
  <c r="D471" i="22"/>
  <c r="D2279" i="22"/>
  <c r="D410" i="22"/>
  <c r="D4270" i="22"/>
  <c r="D2341" i="22"/>
  <c r="D2445" i="22"/>
  <c r="D2507" i="22"/>
  <c r="D1187" i="22"/>
  <c r="D3897" i="22"/>
  <c r="D2064" i="22"/>
  <c r="D821" i="22"/>
  <c r="D2373" i="22"/>
  <c r="D1022" i="22"/>
  <c r="D4495" i="22"/>
  <c r="D2382" i="22"/>
  <c r="D894" i="22"/>
  <c r="D535" i="22"/>
  <c r="D164" i="22"/>
  <c r="D4407" i="22"/>
  <c r="D725" i="22"/>
  <c r="D1153" i="22"/>
  <c r="D3558" i="22"/>
  <c r="D3697" i="22"/>
  <c r="D2880" i="22"/>
  <c r="D731" i="22"/>
  <c r="D1261" i="22"/>
  <c r="D2748" i="22"/>
  <c r="D3652" i="22"/>
  <c r="D3134" i="22"/>
  <c r="D4253" i="22"/>
  <c r="D3642" i="22"/>
  <c r="D912" i="22"/>
  <c r="D1987" i="22"/>
  <c r="D2512" i="22"/>
  <c r="D1735" i="22"/>
  <c r="D1279" i="22"/>
  <c r="D1536" i="22"/>
  <c r="D1975" i="22"/>
  <c r="D2114" i="22"/>
  <c r="D2769" i="22"/>
  <c r="D3286" i="22"/>
  <c r="D2643" i="22"/>
  <c r="D2955" i="22"/>
  <c r="D3352" i="22"/>
  <c r="D787" i="22"/>
  <c r="D1375" i="22"/>
  <c r="D1447" i="22"/>
  <c r="D4116" i="22"/>
  <c r="D4034" i="22"/>
  <c r="D796" i="22"/>
  <c r="D3256" i="22"/>
  <c r="D4585" i="22"/>
  <c r="D2478" i="22"/>
  <c r="D1607" i="22"/>
  <c r="D739" i="22"/>
  <c r="D4913" i="22"/>
  <c r="D2995" i="22"/>
  <c r="D1596" i="22"/>
  <c r="D3058" i="22"/>
  <c r="D1252" i="22"/>
  <c r="D1200" i="22"/>
  <c r="D1443" i="22"/>
  <c r="D3807" i="22"/>
  <c r="D786" i="22"/>
  <c r="D2278" i="22"/>
  <c r="D2882" i="22"/>
  <c r="D1103" i="22"/>
  <c r="D2351" i="22"/>
  <c r="D3162" i="22"/>
  <c r="D1394" i="22"/>
  <c r="D4150" i="22"/>
  <c r="D2121" i="22"/>
  <c r="D3530" i="22"/>
  <c r="D4266" i="22"/>
  <c r="D2464" i="22"/>
  <c r="D1862" i="22"/>
  <c r="D2369" i="22"/>
  <c r="D1515" i="22"/>
  <c r="D872" i="22"/>
  <c r="D1274" i="22"/>
  <c r="D1386" i="22"/>
  <c r="D4510" i="22"/>
  <c r="D2755" i="22"/>
  <c r="D1002" i="22"/>
  <c r="D1581" i="22"/>
  <c r="D3418" i="22"/>
  <c r="D3845" i="22"/>
  <c r="D4808" i="22"/>
  <c r="D1978" i="22"/>
  <c r="D4026" i="22"/>
  <c r="D901" i="22"/>
  <c r="D843" i="22"/>
  <c r="D886" i="22"/>
  <c r="D1528" i="22"/>
  <c r="D466" i="22"/>
  <c r="D2609" i="22"/>
  <c r="D3325" i="22"/>
  <c r="D4274" i="22"/>
  <c r="D4369" i="22"/>
  <c r="D4036" i="22"/>
  <c r="D4802" i="22"/>
  <c r="D4655" i="22"/>
  <c r="D1311" i="22"/>
  <c r="D3176" i="22"/>
  <c r="D3357" i="22"/>
  <c r="D2102" i="22"/>
  <c r="D1706" i="22"/>
  <c r="D2220" i="22"/>
  <c r="D2436" i="22"/>
  <c r="D1958" i="22"/>
  <c r="D1811" i="22"/>
  <c r="D4656" i="22"/>
  <c r="D3987" i="22"/>
  <c r="D788" i="22"/>
  <c r="D1749" i="22"/>
  <c r="D548" i="22"/>
  <c r="D857" i="22"/>
  <c r="D3324" i="22"/>
  <c r="D3896" i="22"/>
  <c r="D907" i="22"/>
  <c r="D3598" i="22"/>
  <c r="D2157" i="22"/>
  <c r="D741" i="22"/>
  <c r="D3933" i="22"/>
  <c r="D455" i="22"/>
  <c r="D2981" i="22"/>
  <c r="D1850" i="22"/>
  <c r="D337" i="22"/>
  <c r="D996" i="22"/>
  <c r="D4208" i="22"/>
  <c r="D4490" i="22"/>
  <c r="D4597" i="22"/>
  <c r="D335" i="22"/>
  <c r="D587" i="22"/>
  <c r="D331" i="22"/>
  <c r="D4376" i="22"/>
  <c r="D2006" i="22"/>
  <c r="D4864" i="22"/>
  <c r="D3234" i="22"/>
  <c r="D753" i="22"/>
  <c r="D4149" i="22"/>
  <c r="D3600" i="22"/>
  <c r="D2607" i="22"/>
  <c r="D1042" i="22"/>
  <c r="D1905" i="22"/>
  <c r="D3607" i="22"/>
  <c r="D3640" i="22"/>
  <c r="D3218" i="22"/>
  <c r="D4188" i="22"/>
  <c r="D2504" i="22"/>
  <c r="D2934" i="22"/>
  <c r="D745" i="22"/>
  <c r="D3872" i="22"/>
  <c r="D339" i="22"/>
  <c r="D4766" i="22"/>
  <c r="D2244" i="22"/>
  <c r="D3473" i="22"/>
  <c r="D1691" i="22"/>
  <c r="D895" i="22"/>
  <c r="D4657" i="22"/>
  <c r="D2857" i="22"/>
  <c r="D599" i="22"/>
  <c r="D1015" i="22"/>
  <c r="D3123" i="22"/>
  <c r="D1415" i="22"/>
  <c r="D4167" i="22"/>
  <c r="D379" i="22"/>
  <c r="D3576" i="22"/>
  <c r="D4468" i="22"/>
  <c r="D4861" i="22"/>
  <c r="D1211" i="22"/>
  <c r="D4551" i="22"/>
  <c r="D2164" i="22"/>
  <c r="D1212" i="22"/>
  <c r="D318" i="22"/>
  <c r="D2550" i="22"/>
  <c r="D4631" i="22"/>
  <c r="D3876" i="22"/>
  <c r="D2323" i="22"/>
  <c r="D1614" i="22"/>
  <c r="D1444" i="22"/>
  <c r="D1046" i="22"/>
  <c r="D2628" i="22"/>
  <c r="D3475" i="22"/>
  <c r="D3285" i="22"/>
  <c r="D1095" i="22"/>
  <c r="D3244" i="22"/>
  <c r="D1220" i="22"/>
  <c r="D4221" i="22"/>
  <c r="D175" i="22"/>
  <c r="D1772" i="22"/>
  <c r="D4325" i="22"/>
  <c r="D4211" i="22"/>
  <c r="D3556" i="22"/>
  <c r="D687" i="22"/>
  <c r="D251" i="22"/>
  <c r="D2363" i="22"/>
  <c r="D3646" i="22"/>
  <c r="D580" i="22"/>
  <c r="D178" i="22"/>
  <c r="D2258" i="22"/>
  <c r="D3753" i="22"/>
  <c r="D4776" i="22"/>
  <c r="D4035" i="22"/>
  <c r="D2692" i="22"/>
  <c r="D2304" i="22"/>
  <c r="D803" i="22"/>
  <c r="D3150" i="22"/>
  <c r="D4424" i="22"/>
  <c r="D2503" i="22"/>
  <c r="D1549" i="22"/>
  <c r="D1979" i="22"/>
  <c r="D3064" i="22"/>
  <c r="D3861" i="22"/>
  <c r="D1508" i="22"/>
  <c r="D2167" i="22"/>
  <c r="D224" i="22"/>
  <c r="D3593" i="22"/>
  <c r="D1181" i="22"/>
  <c r="D4011" i="22"/>
  <c r="D1098" i="22"/>
  <c r="D4413" i="22"/>
  <c r="D558" i="22"/>
  <c r="D4163" i="22"/>
  <c r="D2470" i="22"/>
  <c r="D1693" i="22"/>
  <c r="D1292" i="22"/>
  <c r="D4310" i="22"/>
  <c r="D279" i="22"/>
  <c r="D4192" i="22"/>
  <c r="D1952" i="22"/>
  <c r="D1652" i="22"/>
  <c r="D1873" i="22"/>
  <c r="D1672" i="22"/>
  <c r="D4663" i="22"/>
  <c r="D2596" i="22"/>
  <c r="D4647" i="22"/>
  <c r="D3487" i="22"/>
  <c r="D2166" i="22"/>
  <c r="D3835" i="22"/>
  <c r="D1193" i="22"/>
  <c r="D1527" i="22"/>
  <c r="D2461" i="22"/>
  <c r="D2916" i="22"/>
  <c r="D719" i="22"/>
  <c r="D4237" i="22"/>
  <c r="D3551" i="22"/>
  <c r="D1526" i="22"/>
  <c r="D294" i="22"/>
  <c r="D1590" i="22"/>
  <c r="D1612" i="22"/>
  <c r="D2890" i="22"/>
  <c r="D3548" i="22"/>
  <c r="D3091" i="22"/>
  <c r="D982" i="22"/>
  <c r="D2204" i="22"/>
  <c r="D352" i="22"/>
  <c r="D3824" i="22"/>
  <c r="D2105" i="22"/>
  <c r="D1558" i="22"/>
  <c r="D344" i="22"/>
  <c r="D1669" i="22"/>
  <c r="D1128" i="22"/>
  <c r="D985" i="22"/>
  <c r="D2602" i="22"/>
  <c r="D2661" i="22"/>
  <c r="D4487" i="22"/>
  <c r="D1628" i="22"/>
  <c r="D4523" i="22"/>
  <c r="D1037" i="22"/>
  <c r="D2496" i="22"/>
  <c r="D2953" i="22"/>
  <c r="D2759" i="22"/>
  <c r="D3168" i="22"/>
  <c r="D2317" i="22"/>
  <c r="D3536" i="22"/>
  <c r="D2601" i="22"/>
  <c r="D301" i="22"/>
  <c r="D13" i="22"/>
  <c r="D134" i="22"/>
  <c r="D4847" i="22"/>
  <c r="D3571" i="22"/>
  <c r="D3858" i="22"/>
  <c r="D780" i="22"/>
  <c r="D4412" i="22"/>
  <c r="D1247" i="22"/>
  <c r="D2766" i="22"/>
  <c r="D2945" i="22"/>
  <c r="D789" i="22"/>
  <c r="D3546" i="22"/>
  <c r="D846" i="22"/>
  <c r="D4229" i="22"/>
  <c r="D3497" i="22"/>
  <c r="D310" i="22"/>
  <c r="D4931" i="22"/>
  <c r="D2132" i="22"/>
  <c r="D3130" i="22"/>
  <c r="D4491" i="22"/>
  <c r="D4859" i="22"/>
  <c r="D2216" i="22"/>
  <c r="D2768" i="22"/>
  <c r="D3522" i="22"/>
  <c r="D2362" i="22"/>
  <c r="D4358" i="22"/>
  <c r="D4623" i="22"/>
  <c r="D3151" i="22"/>
  <c r="D377" i="22"/>
  <c r="D1427" i="22"/>
  <c r="D4287" i="22"/>
  <c r="D3086" i="22"/>
  <c r="D484" i="22"/>
  <c r="D3006" i="22"/>
  <c r="D3998" i="22"/>
  <c r="D4891" i="22"/>
  <c r="D3307" i="22"/>
  <c r="D971" i="22"/>
  <c r="D799" i="22"/>
  <c r="D2428" i="22"/>
  <c r="D2451" i="22"/>
  <c r="D2247" i="22"/>
  <c r="D664" i="22"/>
  <c r="D1392" i="22"/>
  <c r="D2710" i="22"/>
  <c r="D640" i="22"/>
  <c r="D3015" i="22"/>
  <c r="D2308" i="22"/>
  <c r="D2370" i="22"/>
  <c r="D3523" i="22"/>
  <c r="D1642" i="22"/>
  <c r="D3723" i="22"/>
  <c r="D1512" i="22"/>
  <c r="D4494" i="22"/>
  <c r="D642" i="22"/>
  <c r="D2076" i="22"/>
  <c r="D3758" i="22"/>
  <c r="D3301" i="22"/>
  <c r="D4153" i="22"/>
  <c r="D2198" i="22"/>
  <c r="D3003" i="22"/>
  <c r="D3000" i="22"/>
  <c r="D557" i="22"/>
  <c r="D1718" i="22"/>
  <c r="D4087" i="22"/>
  <c r="D4666" i="22"/>
  <c r="D1567" i="22"/>
  <c r="D4522" i="22"/>
  <c r="D262" i="22"/>
  <c r="D3429" i="22"/>
  <c r="D1074" i="22"/>
  <c r="D4816" i="22"/>
  <c r="D1507" i="22"/>
  <c r="D3756" i="22"/>
  <c r="D3838" i="22"/>
  <c r="D3227" i="22"/>
  <c r="D1040" i="22"/>
  <c r="D3736" i="22"/>
  <c r="D2418" i="22"/>
  <c r="D1425" i="22"/>
  <c r="D1029" i="22"/>
  <c r="D1332" i="22"/>
  <c r="D1992" i="22"/>
  <c r="D370" i="22"/>
  <c r="D3271" i="22"/>
  <c r="D4652" i="22"/>
  <c r="D806" i="22"/>
  <c r="D4075" i="22"/>
  <c r="D4475" i="22"/>
  <c r="D130" i="22"/>
  <c r="D4264" i="22"/>
  <c r="D3471" i="22"/>
  <c r="D2914" i="22"/>
  <c r="D4458" i="22"/>
  <c r="D2600" i="22"/>
  <c r="D385" i="22"/>
  <c r="D4037" i="22"/>
  <c r="D2124" i="22"/>
  <c r="D2079" i="22"/>
  <c r="D3422" i="22"/>
  <c r="D3319" i="22"/>
  <c r="D3713" i="22"/>
  <c r="D4513" i="22"/>
  <c r="D2252" i="22"/>
  <c r="D302" i="22"/>
  <c r="D4756" i="22"/>
  <c r="D2551" i="22"/>
  <c r="D3258" i="22"/>
  <c r="D790" i="22"/>
  <c r="D1203" i="22"/>
  <c r="D1066" i="22"/>
  <c r="D4651" i="22"/>
  <c r="D56" i="22"/>
  <c r="D1713" i="22"/>
  <c r="D2796" i="22"/>
  <c r="D836" i="22"/>
  <c r="D1033" i="22"/>
  <c r="D1790" i="22"/>
  <c r="D4063" i="22"/>
  <c r="D4028" i="22"/>
  <c r="D2183" i="22"/>
  <c r="D1137" i="22"/>
  <c r="D3790" i="22"/>
  <c r="D891" i="22"/>
  <c r="D2552" i="22"/>
  <c r="D390" i="22"/>
  <c r="D4053" i="22"/>
  <c r="D4380" i="22"/>
  <c r="D492" i="22"/>
  <c r="D1954" i="22"/>
  <c r="D2213" i="22"/>
  <c r="D4536" i="22"/>
  <c r="D4340" i="22"/>
  <c r="D681" i="22"/>
  <c r="D609" i="22"/>
  <c r="D1430" i="22"/>
  <c r="D997" i="22"/>
  <c r="D479" i="22"/>
  <c r="D4139" i="22"/>
  <c r="D4258" i="22"/>
  <c r="D3966" i="22"/>
  <c r="D2339" i="22"/>
  <c r="D586" i="22"/>
  <c r="D2083" i="22"/>
  <c r="D1692" i="22"/>
  <c r="D4127" i="22"/>
  <c r="D958" i="22"/>
  <c r="D3211" i="22"/>
  <c r="D1351" i="22"/>
  <c r="D1215" i="22"/>
  <c r="D1808" i="22"/>
  <c r="D2036" i="22"/>
  <c r="D948" i="22"/>
  <c r="D630" i="22"/>
  <c r="D2094" i="22"/>
  <c r="D2502" i="22"/>
  <c r="D4677" i="22"/>
  <c r="D3419" i="22"/>
  <c r="D1762" i="22"/>
  <c r="D2859" i="22"/>
  <c r="D2985" i="22"/>
  <c r="D2776" i="22"/>
  <c r="D3834" i="22"/>
  <c r="D1989" i="22"/>
  <c r="D2998" i="22"/>
  <c r="D2179" i="22"/>
  <c r="D2774" i="22"/>
  <c r="D2808" i="22"/>
  <c r="D3685" i="22"/>
  <c r="D221" i="22"/>
  <c r="D3209" i="22"/>
  <c r="D4114" i="22"/>
  <c r="D4230" i="22"/>
  <c r="D1278" i="22"/>
  <c r="D2037" i="22"/>
  <c r="D1344" i="22"/>
  <c r="D868" i="22"/>
  <c r="D2055" i="22"/>
  <c r="D1206" i="22"/>
  <c r="D2961" i="22"/>
  <c r="D561" i="22"/>
  <c r="D749" i="22"/>
  <c r="D1757" i="22"/>
  <c r="D1369" i="22"/>
  <c r="D4937" i="22"/>
  <c r="D1572" i="22"/>
  <c r="D3976" i="22"/>
  <c r="D601" i="22"/>
  <c r="D822" i="22"/>
  <c r="D3456" i="22"/>
  <c r="D2663" i="22"/>
  <c r="D2553" i="22"/>
  <c r="D326" i="22"/>
  <c r="D355" i="22"/>
  <c r="D187" i="22"/>
  <c r="D4793" i="22"/>
  <c r="D4079" i="22"/>
  <c r="D177" i="22"/>
  <c r="D1030" i="22"/>
  <c r="D4886" i="22"/>
  <c r="D1291" i="22"/>
  <c r="D3631" i="22"/>
  <c r="D1651" i="22"/>
  <c r="D1744" i="22"/>
  <c r="D494" i="22"/>
  <c r="D3744" i="22"/>
  <c r="D1208" i="22"/>
  <c r="D2497" i="22"/>
  <c r="D4065" i="22"/>
  <c r="D2654" i="22"/>
  <c r="D3912" i="22"/>
  <c r="D3051" i="22"/>
  <c r="D3282" i="22"/>
  <c r="D3940" i="22"/>
  <c r="D2324" i="22"/>
  <c r="D1450" i="22"/>
  <c r="D2282" i="22"/>
  <c r="D1202" i="22"/>
  <c r="D1593" i="22"/>
  <c r="D2994" i="22"/>
  <c r="D3469" i="22"/>
  <c r="D4341" i="22"/>
  <c r="D392" i="22"/>
  <c r="D4626" i="22"/>
  <c r="D3927" i="22"/>
  <c r="D1458" i="22"/>
  <c r="D1723" i="22"/>
  <c r="D3500" i="22"/>
  <c r="D1056" i="22"/>
  <c r="D1743" i="22"/>
  <c r="D2098" i="22"/>
  <c r="D2026" i="22"/>
  <c r="D4615" i="22"/>
  <c r="D2760" i="22"/>
  <c r="D632" i="22"/>
  <c r="D2783" i="22"/>
  <c r="D850" i="22"/>
  <c r="D2924" i="22"/>
  <c r="D2392" i="22"/>
  <c r="D2511" i="22"/>
  <c r="D3458" i="22"/>
  <c r="D1082" i="22"/>
  <c r="D2271" i="22"/>
  <c r="D2035" i="22"/>
  <c r="D1143" i="22"/>
  <c r="D1745" i="22"/>
  <c r="D998" i="22"/>
  <c r="D2682" i="22"/>
  <c r="D324" i="22"/>
  <c r="D3341" i="22"/>
  <c r="D1267" i="22"/>
  <c r="D1544" i="22"/>
  <c r="D89" i="22"/>
  <c r="D4985" i="22"/>
  <c r="D2598" i="22"/>
  <c r="D3507" i="22"/>
  <c r="D1599" i="22"/>
  <c r="D3112" i="22"/>
  <c r="D2402" i="22"/>
  <c r="D4209" i="22"/>
  <c r="D1634" i="22"/>
  <c r="D2075" i="22"/>
  <c r="D1354" i="22"/>
  <c r="D951" i="22"/>
  <c r="D2554" i="22"/>
  <c r="D3436" i="22"/>
  <c r="D3978" i="22"/>
  <c r="D2756" i="22"/>
  <c r="D4545" i="22"/>
  <c r="D2112" i="22"/>
  <c r="D180" i="22"/>
  <c r="D3752" i="22"/>
  <c r="D4263" i="22"/>
  <c r="D4360" i="22"/>
  <c r="D3514" i="22"/>
  <c r="D2085" i="22"/>
  <c r="D393" i="22"/>
  <c r="D596" i="22"/>
  <c r="D3949" i="22"/>
  <c r="D4013" i="22"/>
  <c r="D2935" i="22"/>
  <c r="D3775" i="22"/>
  <c r="D613" i="22"/>
  <c r="D3031" i="22"/>
  <c r="D3220" i="22"/>
  <c r="D4719" i="22"/>
  <c r="D2473" i="22"/>
  <c r="D2225" i="22"/>
  <c r="D3034" i="22"/>
  <c r="D2184" i="22"/>
  <c r="D1249" i="22"/>
  <c r="D1108" i="22"/>
  <c r="D2493" i="22"/>
  <c r="D4612" i="22"/>
  <c r="D2350" i="22"/>
  <c r="D1352" i="22"/>
  <c r="D242" i="22"/>
  <c r="D1689" i="22"/>
  <c r="D3799" i="22"/>
  <c r="D3802" i="22"/>
  <c r="D2657" i="22"/>
  <c r="D3702" i="22"/>
  <c r="D2111" i="22"/>
  <c r="D3696" i="22"/>
  <c r="D3406" i="22"/>
  <c r="D3823" i="22"/>
  <c r="D3676" i="22"/>
  <c r="D828" i="22"/>
  <c r="D3615" i="22"/>
  <c r="D1838" i="22"/>
  <c r="D3447" i="22"/>
  <c r="D3180" i="22"/>
  <c r="D1997" i="22"/>
  <c r="D2101" i="22"/>
  <c r="D4515" i="22"/>
  <c r="D4794" i="22"/>
  <c r="D573" i="22"/>
  <c r="D4498" i="22"/>
  <c r="D170" i="22"/>
  <c r="D1001" i="22"/>
  <c r="D3703" i="22"/>
  <c r="D755" i="22"/>
  <c r="D3128" i="22"/>
  <c r="D1904" i="22"/>
  <c r="D1667" i="22"/>
  <c r="D4296" i="22"/>
  <c r="D2908" i="22"/>
  <c r="D3476" i="22"/>
  <c r="D98" i="22"/>
  <c r="D4145" i="22"/>
  <c r="D3866" i="22"/>
  <c r="D384" i="22"/>
  <c r="D4694" i="22"/>
  <c r="D4435" i="22"/>
  <c r="D2439" i="22"/>
  <c r="D3404" i="22"/>
  <c r="D4321" i="22"/>
  <c r="D679" i="22"/>
  <c r="D55" i="22"/>
  <c r="D688" i="22"/>
  <c r="D4757" i="22"/>
  <c r="D2595" i="22"/>
  <c r="D3628" i="22"/>
  <c r="D4323" i="22"/>
  <c r="D3791" i="22"/>
  <c r="D2352" i="22"/>
  <c r="D161" i="22"/>
  <c r="D3219" i="22"/>
  <c r="D408" i="22"/>
  <c r="D3948" i="22"/>
  <c r="D129" i="22"/>
  <c r="D346" i="22"/>
  <c r="D2866" i="22"/>
  <c r="D3326" i="22"/>
  <c r="D3038" i="22"/>
  <c r="D1179" i="22"/>
  <c r="D1358" i="22"/>
  <c r="D4090" i="22"/>
  <c r="D275" i="22"/>
  <c r="D3720" i="22"/>
  <c r="D3887" i="22"/>
  <c r="D1378" i="22"/>
  <c r="D426" i="22"/>
  <c r="D4228" i="22"/>
  <c r="D3749" i="22"/>
  <c r="D1335" i="22"/>
  <c r="D3582" i="22"/>
  <c r="D3942" i="22"/>
  <c r="D3859" i="22"/>
  <c r="D274" i="22"/>
  <c r="D3365" i="22"/>
  <c r="D3825" i="22"/>
  <c r="D3074" i="22"/>
  <c r="D4683" i="22"/>
  <c r="D4195" i="22"/>
  <c r="D1993" i="22"/>
  <c r="D3486" i="22"/>
  <c r="D2202" i="22"/>
  <c r="D62" i="22"/>
  <c r="D703" i="22"/>
  <c r="D1201" i="22"/>
  <c r="D3707" i="22"/>
  <c r="D1272" i="22"/>
  <c r="D4970" i="22"/>
  <c r="D4486" i="22"/>
  <c r="D51" i="22"/>
  <c r="D1273" i="22"/>
  <c r="D1688" i="22"/>
  <c r="D4659" i="22"/>
  <c r="D4516" i="22"/>
  <c r="D4923" i="22"/>
  <c r="D4008" i="22"/>
  <c r="D3533" i="22"/>
  <c r="D3185" i="22"/>
  <c r="D313" i="22"/>
  <c r="D501" i="22"/>
  <c r="D4200" i="22"/>
  <c r="D1329" i="22"/>
  <c r="D268" i="22"/>
  <c r="D1169" i="22"/>
  <c r="D44" i="22"/>
  <c r="D3636" i="22"/>
  <c r="D4731" i="22"/>
  <c r="D4385" i="22"/>
  <c r="D42" i="22"/>
  <c r="D2460" i="22"/>
  <c r="D436" i="22"/>
  <c r="D1517" i="22"/>
  <c r="D2374" i="22"/>
  <c r="D4157" i="22"/>
  <c r="D588" i="22"/>
  <c r="D3714" i="22"/>
  <c r="D22" i="22"/>
  <c r="D212" i="22"/>
  <c r="D2555" i="22"/>
  <c r="D2240" i="22"/>
  <c r="D2131" i="22"/>
  <c r="D4305" i="22"/>
  <c r="D4299" i="22"/>
  <c r="D628" i="22"/>
  <c r="D4791" i="22"/>
  <c r="D1576" i="22"/>
  <c r="D4801" i="22"/>
  <c r="D965" i="22"/>
  <c r="D136" i="22"/>
  <c r="D2904" i="22"/>
  <c r="D4700" i="22"/>
  <c r="D1682" i="22"/>
  <c r="D1918" i="22"/>
  <c r="D3263" i="22"/>
  <c r="D1081" i="22"/>
  <c r="D413" i="22"/>
  <c r="D111" i="22"/>
  <c r="D4933" i="22"/>
  <c r="D4975" i="22"/>
  <c r="D2891" i="22"/>
  <c r="D38" i="22"/>
  <c r="D2738" i="22"/>
  <c r="D65" i="22"/>
  <c r="D2777" i="22"/>
  <c r="D2746" i="22"/>
  <c r="D2498" i="22"/>
  <c r="D4824" i="22"/>
  <c r="D179" i="22"/>
  <c r="D1460" i="22"/>
  <c r="D4662" i="22"/>
  <c r="D4601" i="22"/>
  <c r="D4994" i="22"/>
  <c r="D4" i="22"/>
  <c r="D3172" i="22"/>
  <c r="D3525" i="22"/>
  <c r="D4436" i="22"/>
  <c r="D633" i="22"/>
  <c r="D2920" i="22"/>
  <c r="D3968" i="22"/>
  <c r="D3991" i="22"/>
  <c r="D4746" i="22"/>
  <c r="D4916" i="22"/>
  <c r="D9" i="22"/>
  <c r="D1543" i="22"/>
  <c r="D4832" i="22"/>
  <c r="D792" i="22"/>
  <c r="D2130" i="22"/>
  <c r="D2962" i="22"/>
  <c r="D1244" i="22"/>
  <c r="D487" i="22"/>
  <c r="D4559" i="22"/>
  <c r="D4401" i="22"/>
  <c r="D157" i="22"/>
  <c r="D3910" i="22"/>
  <c r="D2695" i="22"/>
  <c r="D4231" i="22"/>
  <c r="D40" i="22"/>
  <c r="D4815" i="22"/>
  <c r="D1810" i="22"/>
  <c r="D2950" i="22"/>
  <c r="D181" i="22"/>
  <c r="D4927" i="22"/>
  <c r="D1637" i="22"/>
  <c r="D91" i="22"/>
  <c r="D759" i="22"/>
  <c r="D2093" i="22"/>
  <c r="D222" i="22"/>
  <c r="D3036" i="22"/>
  <c r="D2412" i="22"/>
  <c r="D4633" i="22"/>
  <c r="D560" i="22"/>
  <c r="D267" i="22"/>
  <c r="D478" i="22"/>
  <c r="D460" i="22"/>
  <c r="D4911" i="22"/>
  <c r="D4288" i="22"/>
  <c r="D4917" i="22"/>
  <c r="D1270" i="22"/>
  <c r="D4919" i="22"/>
  <c r="D4645" i="22"/>
  <c r="D3362" i="22"/>
  <c r="D1078" i="22"/>
  <c r="D1532" i="22"/>
  <c r="D2211" i="22"/>
  <c r="D3252" i="22"/>
  <c r="D1734" i="22"/>
  <c r="D2992" i="22"/>
  <c r="D3061" i="22"/>
  <c r="D1185" i="22"/>
  <c r="D1731" i="22"/>
  <c r="D3952" i="22"/>
  <c r="D2700" i="22"/>
  <c r="D4309" i="22"/>
  <c r="D2070" i="22"/>
  <c r="D1589" i="22"/>
  <c r="D2192" i="22"/>
  <c r="D2556" i="22"/>
  <c r="D818" i="22"/>
  <c r="D3953" i="22"/>
  <c r="D325" i="22"/>
  <c r="D2734" i="22"/>
  <c r="D282" i="22"/>
  <c r="D2176" i="22"/>
  <c r="D2762" i="22"/>
  <c r="D3137" i="22"/>
  <c r="D2031" i="22"/>
  <c r="D2557" i="22"/>
  <c r="D3493" i="22"/>
  <c r="D571" i="22"/>
  <c r="D4136" i="22"/>
  <c r="D1076" i="22"/>
  <c r="D475" i="22"/>
  <c r="D4754" i="22"/>
  <c r="D1301" i="22"/>
  <c r="D4899" i="22"/>
  <c r="D1412" i="22"/>
  <c r="D3783" i="22"/>
  <c r="D726" i="22"/>
  <c r="D2583" i="22"/>
  <c r="D2811" i="22"/>
  <c r="D1901" i="22"/>
  <c r="D2088" i="22"/>
  <c r="D3890" i="22"/>
  <c r="D4831" i="22"/>
  <c r="D4070" i="22"/>
  <c r="D1812" i="22"/>
  <c r="D3382" i="22"/>
  <c r="D75" i="22"/>
  <c r="D4680" i="22"/>
  <c r="D657" i="22"/>
  <c r="D1646" i="22"/>
  <c r="D1521" i="22"/>
  <c r="D1872" i="22"/>
  <c r="D2154" i="22"/>
  <c r="D2082" i="22"/>
  <c r="D4755" i="22"/>
  <c r="D205" i="22"/>
  <c r="D3349" i="22"/>
  <c r="D329" i="22"/>
  <c r="D4955" i="22"/>
  <c r="D1588" i="22"/>
  <c r="D449" i="22"/>
  <c r="D4573" i="22"/>
  <c r="D937" i="22"/>
  <c r="D209" i="22"/>
  <c r="D2971" i="22"/>
  <c r="D297" i="22"/>
  <c r="D4767" i="22"/>
  <c r="D4729" i="22"/>
  <c r="D2957" i="22"/>
  <c r="D4278" i="22"/>
  <c r="D2303" i="22"/>
  <c r="D4182" i="22"/>
  <c r="D158" i="22"/>
  <c r="D3502" i="22"/>
  <c r="D3401" i="22"/>
  <c r="D21" i="22"/>
  <c r="D237" i="22"/>
  <c r="D943" i="22"/>
  <c r="D4234" i="22"/>
  <c r="D84" i="22"/>
  <c r="D4986" i="22"/>
  <c r="D4980" i="22"/>
  <c r="D4135" i="22"/>
  <c r="D1197" i="22"/>
  <c r="D412" i="22"/>
  <c r="D105" i="22"/>
  <c r="D4438" i="22"/>
  <c r="D1615" i="22"/>
  <c r="D4957" i="22"/>
  <c r="D3524" i="22"/>
  <c r="D97" i="22"/>
  <c r="D4272" i="22"/>
  <c r="D4960" i="22"/>
  <c r="D4830" i="22"/>
  <c r="D4973" i="22"/>
  <c r="D3926" i="22"/>
  <c r="D420" i="22"/>
  <c r="D4437" i="22"/>
  <c r="D3327" i="22"/>
  <c r="D431" i="22"/>
  <c r="D4734" i="22"/>
  <c r="D3124" i="22"/>
  <c r="D3518" i="22"/>
  <c r="D512" i="22"/>
  <c r="D258" i="22"/>
  <c r="D1834" i="22"/>
  <c r="D4959" i="22"/>
  <c r="D445" i="22"/>
  <c r="D3509" i="22"/>
  <c r="D2790" i="22"/>
  <c r="D4434" i="22"/>
  <c r="D2214" i="22"/>
  <c r="D3875" i="22"/>
  <c r="D162" i="22"/>
  <c r="D1968" i="22"/>
  <c r="D4758" i="22"/>
  <c r="D999" i="22"/>
  <c r="D680" i="22"/>
  <c r="D281" i="22"/>
  <c r="D2930" i="22"/>
  <c r="D3310" i="22"/>
  <c r="D1807" i="22"/>
  <c r="D1276" i="22"/>
  <c r="D2581" i="22"/>
  <c r="D3186" i="22"/>
  <c r="D2982" i="22"/>
  <c r="D4602" i="22"/>
  <c r="D4520" i="22"/>
  <c r="D4531" i="22"/>
  <c r="D3135" i="22"/>
  <c r="D1254" i="22"/>
  <c r="D559" i="22"/>
  <c r="D3880" i="22"/>
  <c r="D1157" i="22"/>
  <c r="D2770" i="22"/>
  <c r="D1021" i="22"/>
  <c r="D2008" i="22"/>
  <c r="D2296" i="22"/>
  <c r="D3687" i="22"/>
  <c r="D3550" i="22"/>
  <c r="D3385" i="22"/>
  <c r="D1455" i="22"/>
  <c r="D3583" i="22"/>
  <c r="D3403" i="22"/>
  <c r="D1313" i="22"/>
  <c r="D31" i="22"/>
  <c r="D710" i="22"/>
  <c r="D45" i="22"/>
  <c r="D234" i="22"/>
  <c r="D1068" i="22"/>
  <c r="D4956" i="22"/>
  <c r="D4869" i="22"/>
  <c r="D4726" i="22"/>
  <c r="D4727" i="22"/>
  <c r="D19" i="22"/>
  <c r="D4867" i="22"/>
  <c r="D117" i="22"/>
  <c r="D1124" i="22"/>
  <c r="D4981" i="22"/>
  <c r="D4408" i="22"/>
  <c r="D4720" i="22"/>
  <c r="D452" i="22"/>
  <c r="D4938" i="22"/>
  <c r="D273" i="22"/>
  <c r="D4744" i="22"/>
  <c r="D4556" i="22"/>
  <c r="D4303" i="22"/>
  <c r="D4893" i="22"/>
  <c r="D2687" i="22"/>
  <c r="D946" i="22"/>
  <c r="D1379" i="22"/>
  <c r="D700" i="22"/>
  <c r="D3809" i="22"/>
  <c r="D2201" i="22"/>
  <c r="D3923" i="22"/>
  <c r="D4788" i="22"/>
  <c r="D4798" i="22"/>
  <c r="D4935" i="22"/>
  <c r="D218" i="22"/>
  <c r="D4500" i="22"/>
  <c r="D2603" i="22"/>
  <c r="D1225" i="22"/>
  <c r="D1409" i="22"/>
  <c r="D4762" i="22"/>
  <c r="D27" i="22"/>
  <c r="D667" i="22"/>
  <c r="D4914" i="22"/>
  <c r="D4944" i="22"/>
  <c r="D4600" i="22"/>
  <c r="D1156" i="22"/>
  <c r="D3444" i="22"/>
  <c r="D1962" i="22"/>
  <c r="D2621" i="22"/>
  <c r="D1938" i="22"/>
  <c r="D1563" i="22"/>
  <c r="D397" i="22"/>
  <c r="D738" i="22"/>
  <c r="D4964" i="22"/>
  <c r="D1445" i="22"/>
  <c r="D606" i="22"/>
  <c r="D2722" i="22"/>
  <c r="D1847" i="22"/>
  <c r="D152" i="22"/>
  <c r="D2073" i="22"/>
  <c r="D3462" i="22"/>
  <c r="D896" i="22"/>
  <c r="D3833" i="22"/>
  <c r="D3520" i="22"/>
  <c r="D375" i="22"/>
  <c r="D4318" i="22"/>
  <c r="D1575" i="22"/>
  <c r="D1219" i="22"/>
  <c r="D595" i="22"/>
  <c r="D4109" i="22"/>
  <c r="D3111" i="22"/>
  <c r="D3375" i="22"/>
  <c r="D3757" i="22"/>
  <c r="D61" i="22"/>
  <c r="D4892" i="22"/>
  <c r="D2530" i="22"/>
  <c r="D4097" i="22"/>
  <c r="D502" i="22"/>
  <c r="D2747" i="22"/>
  <c r="D198" i="22"/>
  <c r="D374" i="22"/>
  <c r="D553" i="22"/>
  <c r="D2239" i="22"/>
  <c r="D521" i="22"/>
  <c r="D422" i="22"/>
  <c r="D4251" i="22"/>
  <c r="D4836" i="22"/>
  <c r="D189" i="22"/>
  <c r="D4735" i="22"/>
  <c r="D3815" i="22"/>
  <c r="D1608" i="22"/>
  <c r="D2356" i="22"/>
  <c r="D4533" i="22"/>
  <c r="D49" i="22"/>
  <c r="D4925" i="22"/>
  <c r="D4962" i="22"/>
  <c r="D2171" i="22"/>
  <c r="D2627" i="22"/>
  <c r="D1910" i="22"/>
  <c r="D2853" i="22"/>
  <c r="D1399" i="22"/>
  <c r="D3421" i="22"/>
  <c r="D3017" i="22"/>
  <c r="D4403" i="22"/>
  <c r="D4591" i="22"/>
  <c r="D172" i="22"/>
  <c r="D638" i="22"/>
  <c r="D805" i="22"/>
  <c r="D36" i="22"/>
  <c r="D2423" i="22"/>
  <c r="D4989" i="22"/>
  <c r="D225" i="22"/>
  <c r="D4922" i="22"/>
  <c r="D4806" i="22"/>
  <c r="D1729" i="22"/>
  <c r="D2817" i="22"/>
  <c r="D57" i="22"/>
  <c r="D4512" i="22"/>
  <c r="D3819" i="22"/>
  <c r="D357" i="22"/>
  <c r="D4003" i="22"/>
  <c r="D33" i="22"/>
  <c r="D4912" i="22"/>
  <c r="D24" i="22"/>
  <c r="D4997" i="22"/>
  <c r="D4963" i="22"/>
  <c r="D4674" i="22"/>
  <c r="D85" i="22"/>
  <c r="D4874" i="22"/>
  <c r="D4901" i="22"/>
  <c r="D614" i="22"/>
  <c r="D2125" i="22"/>
  <c r="D4898" i="22"/>
  <c r="D4123" i="22"/>
  <c r="D2775" i="22"/>
  <c r="D43" i="22"/>
  <c r="D434" i="22"/>
  <c r="D4821" i="22"/>
  <c r="D756" i="22"/>
  <c r="D115" i="22"/>
  <c r="D899" i="22"/>
  <c r="D832" i="22"/>
  <c r="D620" i="22"/>
  <c r="D1322" i="22"/>
  <c r="D1472" i="22"/>
  <c r="D4354" i="22"/>
  <c r="D1140" i="22"/>
  <c r="D508" i="22"/>
  <c r="D4894" i="22"/>
  <c r="D459" i="22"/>
  <c r="D154" i="22"/>
  <c r="D1119" i="22"/>
  <c r="D1933" i="22"/>
  <c r="D3649" i="22"/>
  <c r="D4728" i="22"/>
  <c r="D2242" i="22"/>
  <c r="D2186" i="22"/>
  <c r="D2092" i="22"/>
  <c r="D656" i="22"/>
  <c r="D906" i="22"/>
  <c r="D3597" i="22"/>
  <c r="D1657" i="22"/>
  <c r="D3844" i="22"/>
  <c r="D727" i="22"/>
  <c r="D2927" i="22"/>
  <c r="D2819" i="22"/>
  <c r="D4978" i="22"/>
  <c r="D3970" i="22"/>
  <c r="D4833" i="22"/>
  <c r="D12" i="22"/>
  <c r="D144" i="22"/>
  <c r="D317" i="22"/>
  <c r="D3262" i="22"/>
  <c r="D32" i="22"/>
  <c r="D3724" i="22"/>
  <c r="D2989" i="22"/>
  <c r="D4450" i="22"/>
  <c r="D835" i="22"/>
  <c r="D4641" i="22"/>
  <c r="D543" i="22"/>
  <c r="D4929" i="22"/>
  <c r="D3122" i="22"/>
  <c r="D4390" i="22"/>
  <c r="D968" i="22"/>
  <c r="D4254" i="22"/>
  <c r="D3629" i="22"/>
  <c r="D3355" i="22"/>
  <c r="D73" i="22"/>
  <c r="D1579" i="22"/>
  <c r="D4920" i="22"/>
  <c r="D3552" i="22"/>
  <c r="D3779" i="22"/>
  <c r="D3369" i="22"/>
  <c r="D1289" i="22"/>
  <c r="D4628" i="22"/>
  <c r="D247" i="22"/>
  <c r="D3199" i="22"/>
  <c r="D127" i="22"/>
  <c r="D3070" i="22"/>
  <c r="D4897" i="22"/>
  <c r="D3944" i="22"/>
  <c r="D1439" i="22"/>
  <c r="D4579" i="22"/>
  <c r="D416" i="22"/>
  <c r="D1832" i="22"/>
  <c r="D4222" i="22"/>
  <c r="D2942" i="22"/>
  <c r="D4414" i="22"/>
  <c r="D4381" i="22"/>
  <c r="D151" i="22"/>
  <c r="D109" i="22"/>
  <c r="D3062" i="22"/>
  <c r="D2637" i="22"/>
  <c r="D1145" i="22"/>
  <c r="D3305" i="22"/>
  <c r="D4614" i="22"/>
  <c r="D3239" i="22"/>
  <c r="D118" i="22"/>
  <c r="D740" i="22"/>
  <c r="D707" i="22"/>
  <c r="D3167" i="22"/>
  <c r="D3455" i="22"/>
  <c r="D666" i="22"/>
  <c r="D3237" i="22"/>
  <c r="D635" i="22"/>
  <c r="D1625" i="22"/>
  <c r="D876" i="22"/>
  <c r="D483" i="22"/>
  <c r="D1486" i="22"/>
  <c r="D934" i="22"/>
  <c r="D103" i="22"/>
  <c r="D4741" i="22"/>
  <c r="D645" i="22"/>
  <c r="D4730" i="22"/>
  <c r="D4948" i="22"/>
  <c r="D2380" i="22"/>
  <c r="D1380" i="22"/>
  <c r="D3090" i="22"/>
  <c r="D4582" i="22"/>
  <c r="D2150" i="22"/>
  <c r="D4854" i="22"/>
  <c r="D724" i="22"/>
  <c r="D1087" i="22"/>
  <c r="D1888" i="22"/>
  <c r="D4669" i="22"/>
  <c r="D500" i="22"/>
  <c r="D4803" i="22"/>
  <c r="D285" i="22"/>
  <c r="D1149" i="22"/>
  <c r="D7" i="22"/>
  <c r="D3830" i="22"/>
  <c r="D3313" i="22"/>
  <c r="D2119" i="22"/>
  <c r="D2726" i="22"/>
  <c r="D3931" i="22"/>
  <c r="D1295" i="22"/>
  <c r="D3592" i="22"/>
  <c r="D748" i="22"/>
  <c r="D2212" i="22"/>
  <c r="D3620" i="22"/>
  <c r="D4100" i="22"/>
  <c r="D2403" i="22"/>
  <c r="D2725" i="22"/>
  <c r="D4269" i="22"/>
  <c r="D1214" i="22"/>
  <c r="D808" i="22"/>
  <c r="D3226" i="22"/>
  <c r="D2936" i="22"/>
  <c r="D1275" i="22"/>
  <c r="D3096" i="22"/>
  <c r="D2558" i="22"/>
  <c r="D2400" i="22"/>
  <c r="D2938" i="22"/>
  <c r="D3201" i="22"/>
  <c r="D957" i="22"/>
  <c r="D2515" i="22"/>
  <c r="D1971" i="22"/>
  <c r="D1760" i="22"/>
  <c r="D3016" i="22"/>
  <c r="D4050" i="22"/>
  <c r="D2592" i="22"/>
  <c r="D469" i="22"/>
  <c r="D4785" i="22"/>
  <c r="D4496" i="22"/>
  <c r="D4706" i="22"/>
  <c r="D4493" i="22"/>
  <c r="D398" i="22"/>
  <c r="D4406" i="22"/>
  <c r="D1305" i="22"/>
  <c r="D4365" i="22"/>
  <c r="D3743" i="22"/>
  <c r="D2910" i="22"/>
  <c r="D1936" i="22"/>
  <c r="D2712" i="22"/>
  <c r="D4736" i="22"/>
  <c r="D2707" i="22"/>
  <c r="D444" i="22"/>
  <c r="D1051" i="22"/>
  <c r="D1175" i="22"/>
  <c r="D1388" i="22"/>
  <c r="D2616" i="22"/>
  <c r="D2649" i="22"/>
  <c r="D3854" i="22"/>
  <c r="D607" i="22"/>
  <c r="D1912" i="22"/>
  <c r="D3478" i="22"/>
  <c r="D2591" i="22"/>
  <c r="D3251" i="22"/>
  <c r="D1147" i="22"/>
  <c r="D3125" i="22"/>
  <c r="D3390" i="22"/>
  <c r="D2807" i="22"/>
  <c r="D173" i="22"/>
  <c r="D2406" i="22"/>
  <c r="D4724" i="22"/>
  <c r="D1432" i="22"/>
  <c r="D898" i="22"/>
  <c r="D1752" i="22"/>
  <c r="D4319" i="22"/>
  <c r="D190" i="22"/>
  <c r="D4466" i="22"/>
  <c r="D4745" i="22"/>
  <c r="D1970" i="22"/>
  <c r="D252" i="22"/>
  <c r="D63" i="22"/>
  <c r="D2696" i="22"/>
  <c r="D3671" i="22"/>
  <c r="D612" i="22"/>
  <c r="D4805" i="22"/>
  <c r="D270" i="22"/>
  <c r="D363" i="22"/>
  <c r="D1470" i="22"/>
  <c r="D4159" i="22"/>
  <c r="D4882" i="22"/>
  <c r="D188" i="22"/>
  <c r="D320" i="22"/>
  <c r="D3695" i="22"/>
  <c r="D4599" i="22"/>
  <c r="D4315" i="22"/>
  <c r="D220" i="22"/>
  <c r="D4932" i="22"/>
  <c r="D2205" i="22"/>
  <c r="D4896" i="22"/>
  <c r="D4900" i="22"/>
  <c r="D1136" i="22"/>
  <c r="D4682" i="22"/>
  <c r="D2650" i="22"/>
  <c r="D4770" i="22"/>
  <c r="D4863" i="22"/>
  <c r="D1855" i="22"/>
  <c r="D113" i="22"/>
  <c r="D4819" i="22"/>
  <c r="D563" i="22"/>
  <c r="D4939" i="22"/>
  <c r="D2559" i="22"/>
  <c r="D3675" i="22"/>
  <c r="D1417" i="22"/>
  <c r="D2414" i="22"/>
  <c r="D2273" i="22"/>
  <c r="D1909" i="22"/>
  <c r="D4092" i="22"/>
  <c r="D3446" i="22"/>
  <c r="D2612" i="22"/>
  <c r="D1920" i="22"/>
  <c r="D2022" i="22"/>
  <c r="D4242" i="22"/>
  <c r="D2170" i="22"/>
  <c r="D962" i="22"/>
  <c r="D2331" i="22"/>
  <c r="D690" i="22"/>
  <c r="D4879" i="22"/>
  <c r="D2915" i="22"/>
  <c r="D1700" i="22"/>
  <c r="D3867" i="22"/>
  <c r="D579" i="22"/>
  <c r="D549" i="22"/>
  <c r="D772" i="22"/>
  <c r="D4106" i="22"/>
  <c r="D2852" i="22"/>
  <c r="D1804" i="22"/>
  <c r="D1123" i="22"/>
  <c r="D139" i="22"/>
  <c r="D1600" i="22"/>
  <c r="D3144" i="22"/>
  <c r="D4334" i="22"/>
  <c r="D4621" i="22"/>
  <c r="D4905" i="22"/>
  <c r="D3769" i="22"/>
  <c r="D1801" i="22"/>
  <c r="D3922" i="22"/>
  <c r="D1779" i="22"/>
  <c r="D915" i="22"/>
  <c r="D256" i="22"/>
  <c r="D3541" i="22"/>
  <c r="D2224" i="22"/>
  <c r="D1071" i="22"/>
  <c r="D4853" i="22"/>
  <c r="D3081" i="22"/>
  <c r="D4094" i="22"/>
  <c r="D567" i="22"/>
  <c r="D2526" i="22"/>
  <c r="D4902" i="22"/>
  <c r="D4786" i="22"/>
  <c r="D3808" i="22"/>
  <c r="D3688" i="22"/>
  <c r="D3971" i="22"/>
  <c r="D1784" i="22"/>
  <c r="D1393" i="22"/>
  <c r="D865" i="22"/>
  <c r="D1830" i="22"/>
  <c r="D345" i="22"/>
  <c r="D3591" i="22"/>
  <c r="D1546" i="22"/>
  <c r="D2209" i="22"/>
  <c r="D4056" i="22"/>
  <c r="D4189" i="22"/>
  <c r="D213" i="22"/>
  <c r="D4519" i="22"/>
  <c r="D4550" i="22"/>
  <c r="D2818" i="22"/>
  <c r="D1365" i="22"/>
  <c r="D3622" i="22"/>
  <c r="D2948" i="22"/>
  <c r="D3399" i="22"/>
  <c r="D1387" i="22"/>
  <c r="D4483" i="22"/>
  <c r="D4095" i="22"/>
  <c r="D505" i="22"/>
  <c r="D3457" i="22"/>
  <c r="D4091" i="22"/>
  <c r="D1921" i="22"/>
  <c r="D936" i="22"/>
  <c r="D2772" i="22"/>
  <c r="D564" i="22"/>
  <c r="D3235" i="22"/>
  <c r="D4532" i="22"/>
  <c r="D1032" i="22"/>
  <c r="D4650" i="22"/>
  <c r="D4572" i="22"/>
  <c r="D1887" i="22"/>
  <c r="D3249" i="22"/>
  <c r="D216" i="22"/>
  <c r="D847" i="22"/>
  <c r="D2122" i="22"/>
  <c r="D2227" i="22"/>
  <c r="D2251" i="22"/>
  <c r="D2375" i="22"/>
  <c r="D4235" i="22"/>
  <c r="D1096" i="22"/>
  <c r="D4283" i="22"/>
  <c r="D2426" i="22"/>
  <c r="D610" i="22"/>
  <c r="D3604" i="22"/>
  <c r="D1198" i="22"/>
  <c r="D3126" i="22"/>
  <c r="D4505" i="22"/>
  <c r="D4212" i="22"/>
  <c r="D646" i="22"/>
  <c r="D675" i="22"/>
  <c r="D4395" i="22"/>
  <c r="D328" i="22"/>
  <c r="D3083" i="22"/>
  <c r="D2344" i="22"/>
  <c r="D1606" i="22"/>
  <c r="D2931" i="22"/>
  <c r="D4841" i="22"/>
  <c r="D1164" i="22"/>
  <c r="D4386" i="22"/>
  <c r="D1524" i="22"/>
  <c r="D4129" i="22"/>
  <c r="D2087" i="22"/>
  <c r="D3928" i="22"/>
  <c r="D457" i="22"/>
  <c r="D851" i="22"/>
  <c r="D354" i="22"/>
  <c r="D2610" i="22"/>
  <c r="D2441" i="22"/>
  <c r="D1573" i="22"/>
  <c r="D4417" i="22"/>
  <c r="D1623" i="22"/>
  <c r="D1733" i="22"/>
  <c r="D3624" i="22"/>
  <c r="D2371" i="22"/>
  <c r="D970" i="22"/>
  <c r="D585" i="22"/>
  <c r="D3448" i="22"/>
  <c r="D4218" i="22"/>
  <c r="D126" i="22"/>
  <c r="D433" i="22"/>
  <c r="D2360" i="22"/>
  <c r="D4634" i="22"/>
  <c r="D3727" i="22"/>
  <c r="D373" i="22"/>
  <c r="D1141" i="22"/>
  <c r="D671" i="22"/>
  <c r="D4252" i="22"/>
  <c r="D3488" i="22"/>
  <c r="D407" i="22"/>
  <c r="D2803" i="22"/>
  <c r="D4459" i="22"/>
  <c r="D4946" i="22"/>
  <c r="D70" i="22"/>
  <c r="D4125" i="22"/>
  <c r="D4238" i="22"/>
  <c r="D4712" i="22"/>
  <c r="D4718" i="22"/>
  <c r="D2823" i="22"/>
  <c r="D219" i="22"/>
  <c r="D1794" i="22"/>
  <c r="D2560" i="22"/>
  <c r="D4888" i="22"/>
  <c r="D4399" i="22"/>
  <c r="D196" i="22"/>
  <c r="D4857" i="22"/>
  <c r="D880" i="22"/>
  <c r="D133" i="22"/>
  <c r="D3587" i="22"/>
  <c r="D1641" i="22"/>
  <c r="D35" i="22"/>
  <c r="D4845" i="22"/>
  <c r="D1741" i="22"/>
  <c r="D2584" i="22"/>
  <c r="D1031" i="22"/>
  <c r="D77" i="22"/>
  <c r="D4453" i="22"/>
  <c r="D1435" i="22"/>
  <c r="D59" i="22"/>
  <c r="D39" i="22"/>
  <c r="D1519" i="22"/>
  <c r="D4969" i="22"/>
  <c r="D4915" i="22"/>
  <c r="D10" i="22"/>
  <c r="D4772" i="22"/>
  <c r="D3292" i="22"/>
  <c r="D4953" i="22"/>
  <c r="D4748" i="22"/>
  <c r="D319" i="22"/>
  <c r="D4844" i="22"/>
  <c r="D4987" i="22"/>
  <c r="D3699" i="22"/>
  <c r="D4800" i="22"/>
  <c r="D1237" i="22"/>
  <c r="D86" i="22"/>
  <c r="D4630" i="22"/>
  <c r="D135" i="22"/>
  <c r="D4952" i="22"/>
  <c r="D4982" i="22"/>
  <c r="D4990" i="22"/>
  <c r="D60" i="22"/>
  <c r="D541" i="22"/>
  <c r="D4967" i="22"/>
  <c r="D4004" i="22"/>
  <c r="D3495" i="22"/>
  <c r="D3489" i="22"/>
  <c r="D3560" i="22"/>
  <c r="D3035" i="22"/>
  <c r="D3221" i="22"/>
  <c r="D2196" i="22"/>
  <c r="D1585" i="22"/>
  <c r="D624" i="22"/>
  <c r="D875" i="22"/>
  <c r="D3851" i="22"/>
  <c r="D1661" i="22"/>
  <c r="D481" i="22"/>
  <c r="D4829" i="22"/>
  <c r="D794" i="22"/>
  <c r="D2711" i="22"/>
  <c r="D1121" i="22"/>
  <c r="D2144" i="22"/>
  <c r="D358" i="22"/>
  <c r="D476" i="22"/>
  <c r="D4444" i="22"/>
  <c r="D4881" i="22"/>
  <c r="D2967" i="22"/>
  <c r="D4834" i="22"/>
  <c r="D1285" i="22"/>
  <c r="D394" i="22"/>
  <c r="D503" i="22"/>
  <c r="D4764" i="22"/>
  <c r="D123" i="22"/>
  <c r="D2409" i="22"/>
  <c r="D2501" i="22"/>
  <c r="D104" i="22"/>
  <c r="D138" i="22"/>
  <c r="D1120" i="22"/>
  <c r="D3840" i="22"/>
  <c r="D1494" i="22"/>
  <c r="D1287" i="22"/>
  <c r="D1118" i="22"/>
  <c r="D4160" i="22"/>
  <c r="D1863" i="22"/>
  <c r="D4364" i="22"/>
  <c r="D290" i="22"/>
  <c r="D3163" i="22"/>
  <c r="D4642" i="22"/>
  <c r="D3040" i="22"/>
  <c r="D401" i="22"/>
  <c r="D4204" i="22"/>
  <c r="D744" i="22"/>
  <c r="D1428" i="22"/>
  <c r="D125" i="22"/>
  <c r="D769" i="22"/>
  <c r="D4295" i="22"/>
  <c r="D839" i="22"/>
  <c r="D3174" i="22"/>
  <c r="D1377" i="22"/>
  <c r="D1620" i="22"/>
  <c r="D4760" i="22"/>
  <c r="D4750" i="22"/>
  <c r="D74" i="22"/>
  <c r="D2066" i="22"/>
  <c r="D2648" i="22"/>
  <c r="D376" i="22"/>
  <c r="D3950" i="22"/>
  <c r="D311" i="22"/>
  <c r="D286" i="22"/>
  <c r="D4595" i="22"/>
  <c r="D1951" i="22"/>
  <c r="D2269" i="22"/>
  <c r="D3005" i="22"/>
  <c r="D2782" i="22"/>
  <c r="D4255" i="22"/>
  <c r="D552" i="22"/>
  <c r="D615" i="22"/>
  <c r="D185" i="22"/>
  <c r="D293" i="22"/>
  <c r="D1027" i="22"/>
  <c r="D3668" i="22"/>
  <c r="D4089" i="22"/>
  <c r="D3800" i="22"/>
  <c r="D1649" i="22"/>
  <c r="D1035" i="22"/>
  <c r="D4427" i="22"/>
  <c r="D2658" i="22"/>
  <c r="D2513" i="22"/>
  <c r="D3946" i="22"/>
  <c r="D305" i="22"/>
  <c r="D490" i="22"/>
  <c r="D4220" i="22"/>
  <c r="D575" i="22"/>
  <c r="D1569" i="22"/>
  <c r="D4529" i="22"/>
  <c r="D321" i="22"/>
  <c r="D4141" i="22"/>
  <c r="D4514" i="22"/>
  <c r="D2113" i="22"/>
  <c r="D4115" i="22"/>
  <c r="D3852" i="22"/>
  <c r="D327" i="22"/>
  <c r="D1759" i="22"/>
  <c r="D4738" i="22"/>
  <c r="D691" i="22"/>
  <c r="D415" i="22"/>
  <c r="D1088" i="22"/>
  <c r="D1111" i="22"/>
  <c r="D2835" i="22"/>
  <c r="D829" i="22"/>
  <c r="D3260" i="22"/>
  <c r="D4686" i="22"/>
  <c r="D1005" i="22"/>
  <c r="D1269" i="22"/>
  <c r="D4455" i="22"/>
  <c r="D4404" i="22"/>
  <c r="D446" i="22"/>
  <c r="D3098" i="22"/>
  <c r="D974" i="22"/>
  <c r="D80" i="22"/>
  <c r="D171" i="22"/>
  <c r="D4130" i="22"/>
  <c r="D4840" i="22"/>
  <c r="D1867" i="22"/>
  <c r="D2939" i="22"/>
  <c r="D672" i="22"/>
  <c r="D4210" i="22"/>
  <c r="D555" i="22"/>
  <c r="D3797" i="22"/>
  <c r="D714" i="22"/>
  <c r="D1988" i="22"/>
  <c r="D1487" i="22"/>
  <c r="D202" i="22"/>
  <c r="D1280" i="22"/>
  <c r="D95" i="22"/>
  <c r="D2871" i="22"/>
  <c r="D3511" i="22"/>
  <c r="D4245" i="22"/>
  <c r="D1395" i="22"/>
  <c r="D4875" i="22"/>
  <c r="D93" i="22"/>
  <c r="D4839" i="22"/>
  <c r="D4880" i="22"/>
  <c r="D1942" i="22"/>
  <c r="D3820" i="22"/>
  <c r="D4703" i="22"/>
  <c r="D1715" i="22"/>
  <c r="D3796" i="22"/>
  <c r="D590" i="22"/>
  <c r="D3919" i="22"/>
  <c r="D4807" i="22"/>
  <c r="D4926" i="22"/>
  <c r="D2477" i="22"/>
  <c r="D2379" i="22"/>
  <c r="D4076" i="22"/>
  <c r="D4366" i="22"/>
  <c r="D3647" i="22"/>
  <c r="D3860" i="22"/>
  <c r="D99" i="22"/>
  <c r="D1633" i="22"/>
  <c r="D4713" i="22"/>
  <c r="D8" i="22"/>
  <c r="D3353" i="22"/>
  <c r="D186" i="22"/>
  <c r="D2752" i="22"/>
  <c r="D1003" i="22"/>
  <c r="D4580" i="22"/>
  <c r="D917" i="22"/>
  <c r="D463" i="22"/>
  <c r="D1742" i="22"/>
  <c r="D3196" i="22"/>
  <c r="D569" i="22"/>
  <c r="D163" i="22"/>
  <c r="D2508" i="22"/>
  <c r="D2561" i="22"/>
  <c r="D950" i="22"/>
  <c r="D1967" i="22"/>
  <c r="D3705" i="22"/>
  <c r="D1851" i="22"/>
  <c r="D1602" i="22"/>
  <c r="D2221" i="22"/>
  <c r="D2259" i="22"/>
  <c r="D2040" i="22"/>
  <c r="D3467" i="22"/>
  <c r="D3805" i="22"/>
  <c r="D1730" i="22"/>
  <c r="D1843" i="22"/>
  <c r="D4539" i="22"/>
  <c r="D3449" i="22"/>
  <c r="D480" i="22"/>
  <c r="D4190" i="22"/>
  <c r="D3849" i="22"/>
  <c r="D2189" i="22"/>
  <c r="D1234" i="22"/>
  <c r="D277" i="22"/>
  <c r="D1835" i="22"/>
  <c r="D4058" i="22"/>
  <c r="D3393" i="22"/>
  <c r="D2694" i="22"/>
  <c r="D706" i="22"/>
  <c r="D956" i="22"/>
  <c r="D1783" i="22"/>
  <c r="D4653" i="22"/>
  <c r="D4282" i="22"/>
  <c r="D4660" i="22"/>
  <c r="D4370" i="22"/>
  <c r="D2307" i="22"/>
  <c r="D513" i="22"/>
  <c r="D3750" i="22"/>
  <c r="D439" i="22"/>
  <c r="D1883" i="22"/>
  <c r="D1213" i="22"/>
  <c r="D2151" i="22"/>
  <c r="D2295" i="22"/>
  <c r="D3440" i="22"/>
  <c r="D1505" i="22"/>
  <c r="D1793" i="22"/>
  <c r="D250" i="22"/>
  <c r="D910" i="22"/>
  <c r="D4765" i="22"/>
  <c r="D493" i="22"/>
  <c r="D603" i="22"/>
  <c r="D2705" i="22"/>
  <c r="D462" i="22"/>
  <c r="D2029" i="22"/>
  <c r="D3569" i="22"/>
  <c r="D2861" i="22"/>
  <c r="D3864" i="22"/>
  <c r="D3171" i="22"/>
  <c r="D2706" i="22"/>
  <c r="D1668" i="22"/>
  <c r="D3722" i="22"/>
  <c r="D3077" i="22"/>
  <c r="D545" i="22"/>
  <c r="D4544" i="22"/>
  <c r="D2562" i="22"/>
  <c r="D2653" i="22"/>
  <c r="D911" i="22"/>
  <c r="D4527" i="22"/>
  <c r="D3277" i="22"/>
  <c r="D312" i="22"/>
  <c r="D3731" i="22"/>
  <c r="D351" i="22"/>
  <c r="D1183" i="22"/>
  <c r="D1336" i="22"/>
  <c r="D1568" i="22"/>
  <c r="D3147" i="22"/>
  <c r="D2656" i="22"/>
  <c r="D1367" i="22"/>
  <c r="D1875" i="22"/>
  <c r="D3413" i="22"/>
  <c r="D1836" i="22"/>
  <c r="D1347" i="22"/>
  <c r="D3465" i="22"/>
  <c r="D2141" i="22"/>
  <c r="D3606" i="22"/>
  <c r="D255" i="22"/>
  <c r="D682" i="22"/>
  <c r="D3564" i="22"/>
  <c r="D1345" i="22"/>
  <c r="D2081" i="22"/>
  <c r="D4548" i="22"/>
  <c r="D3777" i="22"/>
  <c r="D166" i="22"/>
  <c r="D817" i="22"/>
  <c r="D2951" i="22"/>
  <c r="D3516" i="22"/>
  <c r="D3139" i="22"/>
  <c r="D568" i="22"/>
  <c r="D2854" i="22"/>
  <c r="D3011" i="22"/>
  <c r="D2293" i="22"/>
  <c r="D4797" i="22"/>
  <c r="D1299" i="22"/>
  <c r="D1930" i="22"/>
  <c r="D2773" i="22"/>
  <c r="D634" i="22"/>
  <c r="D2071" i="22"/>
  <c r="D840" i="22"/>
  <c r="D2397" i="22"/>
  <c r="D2907" i="22"/>
  <c r="D1479" i="22"/>
  <c r="D66" i="22"/>
  <c r="D1771" i="22"/>
  <c r="D4811" i="22"/>
  <c r="D3474" i="22"/>
  <c r="D244" i="22"/>
  <c r="D1716" i="22"/>
  <c r="D4314" i="22"/>
  <c r="D4001" i="22"/>
  <c r="D4432" i="22"/>
  <c r="D2731" i="22"/>
  <c r="D3022" i="22"/>
  <c r="D1999" i="22"/>
  <c r="D3735" i="22"/>
  <c r="D4721" i="22"/>
  <c r="D1687" i="22"/>
  <c r="D2666" i="22"/>
  <c r="D1724" i="22"/>
  <c r="D3293" i="22"/>
  <c r="D565" i="22"/>
  <c r="D1903" i="22"/>
  <c r="D2283" i="22"/>
  <c r="D168" i="22"/>
  <c r="D1827" i="22"/>
  <c r="D3339" i="22"/>
  <c r="D1522" i="22"/>
  <c r="D2389" i="22"/>
  <c r="D776" i="22"/>
  <c r="D4120" i="22"/>
  <c r="D4243" i="22"/>
  <c r="D3332" i="22"/>
  <c r="D3380" i="22"/>
  <c r="D3276" i="22"/>
  <c r="D4012" i="22"/>
  <c r="D2181" i="22"/>
  <c r="D2148" i="22"/>
  <c r="D1800" i="22"/>
  <c r="D3788" i="22"/>
  <c r="D3581" i="22"/>
  <c r="D1315" i="22"/>
  <c r="D2100" i="22"/>
  <c r="D4476" i="22"/>
  <c r="D3760" i="22"/>
  <c r="D4753" i="22"/>
  <c r="D1159" i="22"/>
  <c r="D625" i="22"/>
  <c r="D1290" i="22"/>
  <c r="D4673" i="22"/>
  <c r="D3" i="22"/>
  <c r="D3643" i="22"/>
  <c r="D1697" i="22"/>
  <c r="D3719" i="22"/>
  <c r="D1574" i="22"/>
  <c r="D4598" i="22"/>
  <c r="D2613" i="22"/>
  <c r="D2879" i="22"/>
  <c r="D4549" i="22"/>
  <c r="D617" i="22"/>
  <c r="D4336" i="22"/>
  <c r="D4179" i="22"/>
  <c r="D2393" i="22"/>
  <c r="D2276" i="22"/>
  <c r="D976" i="22"/>
  <c r="D4606" i="22"/>
  <c r="D2237" i="22"/>
  <c r="D1504" i="22"/>
  <c r="D1413" i="22"/>
  <c r="D2735" i="22"/>
  <c r="D3228" i="22"/>
  <c r="D3225" i="22"/>
  <c r="D153" i="22"/>
  <c r="D1341" i="22"/>
  <c r="D4306" i="22"/>
  <c r="D3142" i="22"/>
  <c r="D2387" i="22"/>
  <c r="D1306" i="22"/>
  <c r="D2614" i="22"/>
  <c r="D3701" i="22"/>
  <c r="D1350" i="22"/>
  <c r="D3619" i="22"/>
  <c r="D1469" i="22"/>
  <c r="D4042" i="22"/>
  <c r="D3095" i="22"/>
  <c r="D3093" i="22"/>
  <c r="D2438" i="22"/>
  <c r="D2830" i="22"/>
  <c r="D938" i="22"/>
  <c r="D793" i="22"/>
  <c r="D48" i="22"/>
  <c r="D143" i="22"/>
  <c r="D1684" i="22"/>
  <c r="D1091" i="22"/>
  <c r="D3589" i="22"/>
  <c r="D3961" i="22"/>
  <c r="D2302" i="22"/>
  <c r="D2619" i="22"/>
  <c r="D1853" i="22"/>
  <c r="D986" i="22"/>
  <c r="D2136" i="22"/>
  <c r="D2922" i="22"/>
  <c r="D1578" i="22"/>
  <c r="D4214" i="22"/>
  <c r="D1268" i="22"/>
  <c r="D149" i="22"/>
  <c r="D2825" i="22"/>
  <c r="D2289" i="22"/>
  <c r="D2484" i="22"/>
  <c r="D3004" i="22"/>
  <c r="D1457" i="22"/>
  <c r="D3194" i="22"/>
  <c r="D3358" i="22"/>
  <c r="D3665" i="22"/>
  <c r="D3121" i="22"/>
  <c r="D4175" i="22"/>
  <c r="D2563" i="22"/>
  <c r="D1170" i="22"/>
  <c r="D3114" i="22"/>
  <c r="D3513" i="22"/>
  <c r="D2485" i="22"/>
  <c r="D3045" i="22"/>
  <c r="D3280" i="22"/>
  <c r="D4440" i="22"/>
  <c r="D2488" i="22"/>
  <c r="D809" i="22"/>
  <c r="D3637" i="22"/>
  <c r="D2620" i="22"/>
  <c r="D1403" i="22"/>
  <c r="D3863" i="22"/>
  <c r="D4025" i="22"/>
  <c r="D3568" i="22"/>
  <c r="D3308" i="22"/>
  <c r="D3906" i="22"/>
  <c r="D3298" i="22"/>
  <c r="D1489" i="22"/>
  <c r="D271" i="22"/>
  <c r="D67" i="22"/>
  <c r="D1937" i="22"/>
  <c r="D4298" i="22"/>
  <c r="D2928" i="22"/>
  <c r="D382" i="22"/>
  <c r="D155" i="22"/>
  <c r="D2479" i="22"/>
  <c r="D1617" i="22"/>
  <c r="D3023" i="22"/>
  <c r="D2564" i="22"/>
  <c r="D3759" i="22"/>
  <c r="D2415" i="22"/>
  <c r="D1720" i="22"/>
  <c r="D743" i="22"/>
  <c r="D4499" i="22"/>
  <c r="D1314" i="22"/>
  <c r="D1902" i="22"/>
  <c r="D980" i="22"/>
  <c r="D3734" i="22"/>
  <c r="D3780" i="22"/>
  <c r="D287" i="22"/>
  <c r="D4104" i="22"/>
  <c r="D4470" i="22"/>
  <c r="D650" i="22"/>
  <c r="D4608" i="22"/>
  <c r="D3268" i="22"/>
  <c r="D1665" i="22"/>
  <c r="D3612" i="22"/>
  <c r="D2349" i="22"/>
  <c r="D2625" i="22"/>
  <c r="D1319" i="22"/>
  <c r="D391" i="22"/>
  <c r="D4564" i="22"/>
  <c r="D3146" i="22"/>
  <c r="D3763" i="22"/>
  <c r="D1148" i="22"/>
  <c r="D4293" i="22"/>
  <c r="D2703" i="22"/>
  <c r="D50" i="22"/>
  <c r="D694" i="22"/>
  <c r="D3765" i="22"/>
  <c r="D2896" i="22"/>
  <c r="D4577" i="22"/>
  <c r="D3679" i="22"/>
  <c r="D229" i="22"/>
  <c r="D4143" i="22"/>
  <c r="D4895" i="22"/>
  <c r="D3754" i="22"/>
  <c r="D2219" i="22"/>
  <c r="D16" i="22"/>
  <c r="D897" i="22"/>
  <c r="D249" i="22"/>
  <c r="D405" i="22"/>
  <c r="D1514" i="22"/>
  <c r="D365" i="22"/>
  <c r="D2565" i="22"/>
  <c r="D1114" i="22"/>
  <c r="D1594" i="22"/>
  <c r="D1861" i="22"/>
  <c r="D1530" i="22"/>
  <c r="D761" i="22"/>
  <c r="D4338" i="22"/>
  <c r="D2161" i="22"/>
  <c r="D3898" i="22"/>
  <c r="D4771" i="22"/>
  <c r="D1550" i="22"/>
  <c r="D2241" i="22"/>
  <c r="D1597" i="22"/>
  <c r="D4197" i="22"/>
  <c r="D3694" i="22"/>
  <c r="D1879" i="22"/>
  <c r="D2809" i="22"/>
  <c r="D1806" i="22"/>
  <c r="D795" i="22"/>
  <c r="D2810" i="22"/>
  <c r="D4737" i="22"/>
  <c r="D2858" i="22"/>
  <c r="D278" i="22"/>
  <c r="D3026" i="22"/>
  <c r="D4910" i="22"/>
  <c r="D272" i="22"/>
  <c r="D4906" i="22"/>
  <c r="D1751" i="22"/>
  <c r="D388" i="22"/>
  <c r="D1165" i="22"/>
  <c r="D4113" i="22"/>
  <c r="D3623" i="22"/>
  <c r="D6" i="22"/>
  <c r="D4998" i="22"/>
  <c r="D4908" i="22"/>
  <c r="D509" i="22"/>
  <c r="D2800" i="22"/>
  <c r="D4991" i="22"/>
  <c r="D4812" i="22"/>
  <c r="D4374" i="22"/>
  <c r="D3856" i="22"/>
  <c r="D3317" i="22"/>
  <c r="D3878" i="22"/>
  <c r="D3067" i="22"/>
  <c r="D1256" i="22"/>
  <c r="D1490" i="22"/>
  <c r="D2417" i="22"/>
  <c r="D4625" i="22"/>
  <c r="D2483" i="22"/>
  <c r="D2421" i="22"/>
  <c r="D2118" i="22"/>
  <c r="D3908" i="22"/>
  <c r="D1177" i="22"/>
  <c r="D3941" i="22"/>
  <c r="D2698" i="22"/>
  <c r="D2290" i="22"/>
  <c r="D1264" i="22"/>
  <c r="D4166" i="22"/>
  <c r="D2867" i="22"/>
  <c r="D1511" i="22"/>
  <c r="D3359" i="22"/>
  <c r="D2065" i="22"/>
  <c r="D2061" i="22"/>
  <c r="D124" i="22"/>
  <c r="D3555" i="22"/>
  <c r="D4333" i="22"/>
  <c r="D3131" i="22"/>
  <c r="D2228" i="22"/>
  <c r="D2281" i="22"/>
  <c r="D3984" i="22"/>
  <c r="D1690" i="22"/>
  <c r="D2230" i="22"/>
  <c r="D4259" i="22"/>
  <c r="D3299" i="22"/>
  <c r="D870" i="22"/>
  <c r="D4649" i="22"/>
  <c r="D4813" i="22"/>
  <c r="D4057" i="22"/>
  <c r="D4561" i="22"/>
  <c r="D2193" i="22"/>
  <c r="D3472" i="22"/>
  <c r="D1433" i="22"/>
  <c r="D2305" i="22"/>
  <c r="D3740" i="22"/>
  <c r="D232" i="22"/>
  <c r="D150" i="22"/>
  <c r="D1418" i="22"/>
  <c r="D871" i="22"/>
  <c r="D4855" i="22"/>
  <c r="D511" i="22"/>
  <c r="D2765" i="22"/>
  <c r="D1115" i="22"/>
  <c r="D2701" i="22"/>
  <c r="D2623" i="22"/>
  <c r="D1361" i="22"/>
  <c r="D1132" i="22"/>
  <c r="D58" i="22"/>
  <c r="D2566" i="22"/>
  <c r="D1824" i="22"/>
  <c r="D1330" i="22"/>
  <c r="D1739" i="22"/>
  <c r="D775" i="22"/>
  <c r="D4749" i="22"/>
  <c r="D3855" i="22"/>
  <c r="D4194" i="22"/>
  <c r="D3094" i="22"/>
  <c r="D1168" i="22"/>
  <c r="D4868" i="22"/>
  <c r="D404" i="22"/>
  <c r="D4954" i="22"/>
  <c r="D4679" i="22"/>
  <c r="D4172" i="22"/>
  <c r="D4389" i="22"/>
  <c r="D723" i="22"/>
  <c r="D4121" i="22"/>
  <c r="D2299" i="22"/>
  <c r="D235" i="22"/>
  <c r="D4052" i="22"/>
  <c r="D330" i="22"/>
  <c r="D1405" i="22"/>
  <c r="D52" i="22"/>
  <c r="D3781" i="22"/>
  <c r="D4725" i="22"/>
  <c r="D132" i="22"/>
  <c r="D283" i="22"/>
  <c r="D1101" i="22"/>
  <c r="D2631" i="22"/>
  <c r="D4022" i="22"/>
  <c r="D525" i="22"/>
  <c r="D2848" i="22"/>
  <c r="D2329" i="22"/>
  <c r="D3997" i="22"/>
  <c r="D2842" i="22"/>
  <c r="D2476" i="22"/>
  <c r="D4699" i="22"/>
  <c r="D4488" i="22"/>
  <c r="D137" i="22"/>
  <c r="D269" i="22"/>
  <c r="D3521" i="22"/>
  <c r="D3314" i="22"/>
  <c r="D228" i="22"/>
  <c r="D107" i="22"/>
  <c r="D2175" i="22"/>
  <c r="D1049" i="22"/>
  <c r="D276" i="22"/>
  <c r="D2863" i="22"/>
  <c r="D1708" i="22"/>
  <c r="D702" i="22"/>
  <c r="D2158" i="22"/>
  <c r="D2567" i="22"/>
  <c r="D3340" i="22"/>
  <c r="D4324" i="22"/>
  <c r="D885" i="22"/>
  <c r="D3893" i="22"/>
  <c r="D1591" i="22"/>
  <c r="D1781" i="22"/>
  <c r="D1776" i="22"/>
  <c r="D2388" i="22"/>
  <c r="D2003" i="22"/>
  <c r="D4394" i="22"/>
  <c r="D2012" i="22"/>
  <c r="D2872" i="22"/>
  <c r="D4285" i="22"/>
  <c r="D4162" i="22"/>
  <c r="D4111" i="22"/>
  <c r="D807" i="22"/>
  <c r="D428" i="22"/>
  <c r="D1529" i="22"/>
  <c r="D3030" i="22"/>
  <c r="D3482" i="22"/>
  <c r="D2015" i="22"/>
  <c r="D1400" i="22"/>
  <c r="D1080" i="22"/>
  <c r="D4849" i="22"/>
  <c r="D1939" i="22"/>
  <c r="D3187" i="22"/>
  <c r="D3967" i="22"/>
  <c r="D4038" i="22"/>
  <c r="D864" i="22"/>
  <c r="D1545" i="22"/>
  <c r="D4822" i="22"/>
  <c r="D708" i="22"/>
  <c r="D1069" i="22"/>
  <c r="D82" i="22"/>
  <c r="D1755" i="22"/>
  <c r="D2646" i="22"/>
  <c r="D148" i="22"/>
  <c r="D2740" i="22"/>
  <c r="D1067" i="22"/>
  <c r="D4328" i="22"/>
  <c r="D3786" i="22"/>
  <c r="D1084" i="22"/>
  <c r="D3999" i="22"/>
  <c r="D120" i="22"/>
  <c r="D994" i="22"/>
  <c r="D4503" i="22"/>
  <c r="D306" i="22"/>
  <c r="D4088" i="22"/>
  <c r="D4379" i="22"/>
  <c r="D1878" i="22"/>
  <c r="D4227" i="22"/>
  <c r="D4502" i="22"/>
  <c r="D4705" i="22"/>
  <c r="D697" i="22"/>
  <c r="D4804" i="22"/>
  <c r="D647" i="22"/>
  <c r="D193" i="22"/>
  <c r="D4779" i="22"/>
  <c r="D4540" i="22"/>
  <c r="D3553" i="22"/>
  <c r="D280" i="22"/>
  <c r="D591" i="22"/>
  <c r="D1349" i="22"/>
  <c r="D517" i="22"/>
  <c r="D359" i="22"/>
  <c r="D4940" i="22"/>
  <c r="D236" i="22"/>
  <c r="D300" i="22"/>
  <c r="D3433" i="22"/>
  <c r="D3008" i="22"/>
  <c r="D1228" i="22"/>
  <c r="D3905" i="22"/>
  <c r="D2831" i="22"/>
  <c r="D1858" i="22"/>
  <c r="D1353" i="22"/>
  <c r="D214" i="22"/>
  <c r="D1307" i="22"/>
  <c r="D2568" i="22"/>
  <c r="D2095" i="22"/>
  <c r="D1017" i="22"/>
  <c r="D1994" i="22"/>
  <c r="D4060" i="22"/>
  <c r="D4423" i="22"/>
  <c r="D2843" i="22"/>
  <c r="D1660" i="22"/>
  <c r="D3881" i="22"/>
  <c r="D424" i="22"/>
  <c r="D1816" i="22"/>
  <c r="D3391" i="22"/>
  <c r="D4691" i="22"/>
  <c r="D3977" i="22"/>
  <c r="D2919" i="22"/>
  <c r="D399" i="22"/>
  <c r="D4697" i="22"/>
  <c r="D2918" i="22"/>
  <c r="D3715" i="22"/>
  <c r="D3902" i="22"/>
  <c r="D3253" i="22"/>
  <c r="D1073" i="22"/>
  <c r="D3427" i="22"/>
  <c r="D643" i="22"/>
  <c r="D3100" i="22"/>
  <c r="D1404" i="22"/>
  <c r="D4480" i="22"/>
  <c r="D1416" i="22"/>
  <c r="D3789" i="22"/>
  <c r="D182" i="22"/>
  <c r="D882" i="22"/>
  <c r="D4504" i="22"/>
  <c r="D2018" i="22"/>
  <c r="D933" i="22"/>
  <c r="D1587" i="22"/>
  <c r="D531" i="22"/>
  <c r="D1152" i="22"/>
  <c r="D3408" i="22"/>
  <c r="D3132" i="22"/>
  <c r="D598" i="22"/>
  <c r="D3648" i="22"/>
  <c r="D3972" i="22"/>
  <c r="D1207" i="22"/>
  <c r="D432" i="22"/>
  <c r="D765" i="22"/>
  <c r="D3442" i="22"/>
  <c r="D4761" i="22"/>
  <c r="D1026" i="22"/>
  <c r="D1390" i="22"/>
  <c r="D3243" i="22"/>
  <c r="D3424" i="22"/>
  <c r="D1176" i="22"/>
  <c r="D1008" i="22"/>
  <c r="D4569" i="22"/>
  <c r="D4471" i="22"/>
  <c r="D1480" i="22"/>
  <c r="D3041" i="22"/>
  <c r="D1886" i="22"/>
  <c r="D94" i="22"/>
  <c r="D1664" i="22"/>
  <c r="D3069" i="22"/>
  <c r="D3771" i="22"/>
  <c r="D578" i="22"/>
  <c r="D2147" i="22"/>
  <c r="D4586" i="22"/>
  <c r="D3603" i="22"/>
  <c r="D2246" i="22"/>
  <c r="D2780" i="22"/>
  <c r="D3056" i="22"/>
  <c r="D2667" i="22"/>
  <c r="D1770" i="22"/>
  <c r="D472" i="22"/>
  <c r="D2048" i="22"/>
  <c r="D2968" i="22"/>
  <c r="D2672" i="22"/>
  <c r="D4273" i="22"/>
  <c r="D4072" i="22"/>
  <c r="D3157" i="22"/>
  <c r="D669" i="22"/>
  <c r="D2669" i="22"/>
  <c r="D2245" i="22"/>
  <c r="D437" i="22"/>
  <c r="D3274" i="22"/>
  <c r="D1653" i="22"/>
  <c r="D199" i="22"/>
  <c r="D1468" i="22"/>
  <c r="D1223" i="22"/>
  <c r="D2569" i="22"/>
  <c r="D3107" i="22"/>
  <c r="D3203" i="22"/>
  <c r="D1624" i="22"/>
  <c r="D2570" i="22"/>
  <c r="D542" i="22"/>
  <c r="D1792" i="22"/>
  <c r="D4262" i="22"/>
  <c r="D1442" i="22"/>
  <c r="D4388" i="22"/>
  <c r="D2883" i="22"/>
  <c r="D1809" i="22"/>
  <c r="D4418" i="22"/>
  <c r="D3826" i="22"/>
  <c r="D2986" i="22"/>
  <c r="D2135" i="22"/>
  <c r="D2678" i="22"/>
  <c r="D1236" i="22"/>
  <c r="D3659" i="22"/>
  <c r="D3396" i="22"/>
  <c r="D3732" i="22"/>
  <c r="D2978" i="22"/>
  <c r="D791" i="22"/>
  <c r="D2133" i="22"/>
  <c r="D979" i="22"/>
  <c r="D3202" i="22"/>
  <c r="D3895" i="22"/>
  <c r="D1711" i="22"/>
  <c r="D3892" i="22"/>
  <c r="D1925" i="22"/>
  <c r="D1632" i="22"/>
  <c r="D1231" i="22"/>
  <c r="D2681" i="22"/>
  <c r="D3101" i="22"/>
  <c r="D2218" i="22"/>
  <c r="D3963" i="22"/>
  <c r="D3573" i="22"/>
  <c r="D2030" i="22"/>
  <c r="D4165" i="22"/>
  <c r="D3283" i="22"/>
  <c r="D547" i="22"/>
  <c r="D721" i="22"/>
  <c r="D3303" i="22"/>
  <c r="D4644" i="22"/>
  <c r="D1722" i="22"/>
  <c r="D4350" i="22"/>
  <c r="D2786" i="22"/>
  <c r="D2785" i="22"/>
  <c r="D3635" i="22"/>
  <c r="D4790" i="22"/>
  <c r="D2444" i="22"/>
  <c r="D3248" i="22"/>
  <c r="D2571" i="22"/>
  <c r="D705" i="22"/>
  <c r="D4428" i="22"/>
  <c r="D2668" i="22"/>
  <c r="D1448" i="22"/>
  <c r="D3529" i="22"/>
  <c r="D1768" i="22"/>
  <c r="D1370" i="22"/>
  <c r="D3451" i="22"/>
  <c r="D419" i="22"/>
  <c r="D2236" i="22"/>
  <c r="D2970" i="22"/>
  <c r="D2862" i="22"/>
  <c r="D3269" i="22"/>
  <c r="D1658" i="22"/>
  <c r="D2673" i="22"/>
  <c r="D3698" i="22"/>
  <c r="D2964" i="22"/>
  <c r="D2670" i="22"/>
  <c r="D4080" i="22"/>
  <c r="D263" i="22"/>
  <c r="D4751" i="22"/>
  <c r="D1758" i="22"/>
  <c r="D349" i="22"/>
  <c r="D1184" i="22"/>
  <c r="D4375" i="22"/>
  <c r="D763" i="22"/>
  <c r="D4044" i="22"/>
  <c r="D1020" i="22"/>
  <c r="D2038" i="22"/>
  <c r="D3087" i="22"/>
  <c r="D2675" i="22"/>
  <c r="D387" i="22"/>
  <c r="D4014" i="22"/>
  <c r="D260" i="22"/>
  <c r="D4419" i="22"/>
  <c r="D4225" i="22"/>
  <c r="D778" i="22"/>
  <c r="D1383" i="22"/>
  <c r="D1621" i="22"/>
  <c r="D2884" i="22"/>
  <c r="D959" i="22"/>
  <c r="D1195" i="22"/>
  <c r="D2319" i="22"/>
  <c r="D3214" i="22"/>
  <c r="D3426" i="22"/>
  <c r="D2011" i="22"/>
  <c r="D3988" i="22"/>
  <c r="D3915" i="22"/>
  <c r="D1453" i="22"/>
  <c r="D2019" i="22"/>
  <c r="D1199" i="22"/>
  <c r="D2208" i="22"/>
  <c r="D4043" i="22"/>
  <c r="D4383" i="22"/>
  <c r="D4232" i="22"/>
  <c r="D1819" i="22"/>
  <c r="D4446" i="22"/>
  <c r="D2137" i="22"/>
  <c r="D1557" i="22"/>
  <c r="D4066" i="22"/>
  <c r="D2979" i="22"/>
  <c r="D2328" i="22"/>
  <c r="D1934" i="22"/>
  <c r="D1248" i="22"/>
  <c r="D2877" i="22"/>
  <c r="D4009" i="22"/>
  <c r="D1251" i="22"/>
  <c r="D2572" i="22"/>
  <c r="D987" i="22"/>
  <c r="D4534" i="22"/>
  <c r="D3088" i="22"/>
  <c r="D2573" i="22"/>
  <c r="D3557" i="22"/>
  <c r="D2330" i="22"/>
  <c r="D3188" i="22"/>
  <c r="D2574" i="22"/>
  <c r="D3078" i="22"/>
  <c r="D2334" i="22"/>
  <c r="D2440" i="22"/>
  <c r="D3982" i="22"/>
  <c r="D3363" i="22"/>
  <c r="D2671" i="22"/>
  <c r="D4681" i="22"/>
  <c r="D2248" i="22"/>
  <c r="D211" i="22"/>
  <c r="D1421" i="22"/>
  <c r="D3709" i="22"/>
  <c r="D4852" i="22"/>
  <c r="D1300" i="22"/>
  <c r="D2781" i="22"/>
  <c r="D4064" i="22"/>
  <c r="D4445" i="22"/>
  <c r="D3136" i="22"/>
  <c r="D215" i="22"/>
  <c r="D1446" i="22"/>
  <c r="D2442" i="22"/>
  <c r="D4161" i="22"/>
  <c r="D1535" i="22"/>
  <c r="D3345" i="22"/>
  <c r="D4103" i="22"/>
  <c r="D2346" i="22"/>
  <c r="D4041" i="22"/>
  <c r="D961" i="22"/>
  <c r="D600" i="22"/>
  <c r="D695" i="22"/>
  <c r="D3857" i="22"/>
  <c r="D369" i="22"/>
  <c r="D4850" i="22"/>
  <c r="D2443" i="22"/>
  <c r="D4538" i="22"/>
  <c r="D243" i="22"/>
  <c r="D53" i="22"/>
  <c r="D815" i="22"/>
  <c r="D3586" i="22"/>
  <c r="D2680" i="22"/>
  <c r="D2792" i="22"/>
  <c r="D418" i="22"/>
  <c r="D2686" i="22"/>
  <c r="D4950" i="22"/>
  <c r="D3384" i="22"/>
  <c r="D4823" i="22"/>
  <c r="D4661" i="22"/>
  <c r="D3939" i="22"/>
  <c r="D3229" i="22"/>
  <c r="D2575" i="22"/>
  <c r="D1694" i="22"/>
  <c r="D3417" i="22"/>
  <c r="D1473" i="22"/>
  <c r="D4430" i="22"/>
  <c r="D1334" i="22"/>
  <c r="D4698" i="22"/>
  <c r="D340" i="22"/>
  <c r="D68" i="22"/>
  <c r="D4709" i="22"/>
  <c r="D304" i="22"/>
  <c r="D79" i="22"/>
  <c r="D2437" i="22"/>
  <c r="D639" i="22"/>
  <c r="D2215" i="22"/>
  <c r="D3837" i="22"/>
  <c r="D526" i="22"/>
  <c r="D1459" i="22"/>
  <c r="K16" i="19"/>
  <c r="J16" i="19"/>
  <c r="I16" i="19"/>
  <c r="F16" i="19"/>
  <c r="D16" i="19"/>
  <c r="C16" i="19"/>
  <c r="K15" i="19"/>
  <c r="J15" i="19"/>
  <c r="I15" i="19"/>
  <c r="F15" i="19"/>
  <c r="D15" i="19"/>
  <c r="C15" i="19"/>
  <c r="K14" i="19"/>
  <c r="J14" i="19"/>
  <c r="I14" i="19"/>
  <c r="F14" i="19"/>
  <c r="D14" i="19"/>
  <c r="C14" i="19"/>
  <c r="K13" i="19"/>
  <c r="J13" i="19"/>
  <c r="I13" i="19"/>
  <c r="F13" i="19"/>
  <c r="D13" i="19"/>
  <c r="C13" i="19"/>
  <c r="K12" i="19"/>
  <c r="J12" i="19"/>
  <c r="I12" i="19"/>
  <c r="F12" i="19"/>
  <c r="D12" i="19"/>
  <c r="C12" i="19"/>
  <c r="K11" i="19"/>
  <c r="J11" i="19"/>
  <c r="I11" i="19"/>
  <c r="F11" i="19"/>
  <c r="D11" i="19"/>
  <c r="C11" i="19"/>
  <c r="K10" i="19"/>
  <c r="J10" i="19"/>
  <c r="I10" i="19"/>
  <c r="F10" i="19"/>
  <c r="D10" i="19"/>
  <c r="C10" i="19"/>
  <c r="K9" i="19"/>
  <c r="J9" i="19"/>
  <c r="I9" i="19"/>
  <c r="F9" i="19"/>
  <c r="D9" i="19"/>
  <c r="C9" i="19"/>
  <c r="K8" i="19"/>
  <c r="J8" i="19"/>
  <c r="I8" i="19"/>
  <c r="F8" i="19"/>
  <c r="D8" i="19"/>
  <c r="C8" i="19"/>
  <c r="K7" i="19"/>
  <c r="J7" i="19"/>
  <c r="I7" i="19"/>
  <c r="F7" i="19"/>
  <c r="D7" i="19"/>
  <c r="C7" i="19"/>
  <c r="F21" i="17"/>
  <c r="D36" i="17"/>
  <c r="D33" i="17"/>
  <c r="D32" i="17"/>
  <c r="D22" i="17"/>
  <c r="G9" i="17"/>
  <c r="D16" i="17"/>
  <c r="E4" i="17"/>
  <c r="F2" i="17"/>
  <c r="J60" i="16"/>
  <c r="K60" i="16"/>
  <c r="L60" i="16"/>
  <c r="I58" i="16"/>
  <c r="J58" i="16"/>
  <c r="K58" i="16"/>
  <c r="L58" i="16"/>
  <c r="J57" i="16"/>
  <c r="K57" i="16"/>
  <c r="L57" i="16"/>
  <c r="H57" i="16"/>
  <c r="J48" i="16"/>
  <c r="K48" i="16"/>
  <c r="L48" i="16"/>
  <c r="H48" i="16"/>
  <c r="H46" i="16"/>
  <c r="I46" i="16"/>
  <c r="J46" i="16"/>
  <c r="K46" i="16"/>
  <c r="L46" i="16"/>
  <c r="H44" i="16"/>
  <c r="I44" i="16"/>
  <c r="J44" i="16"/>
  <c r="K44" i="16"/>
  <c r="L44" i="16"/>
  <c r="G44" i="16"/>
  <c r="I42" i="16"/>
  <c r="J42" i="16"/>
  <c r="K42" i="16"/>
  <c r="L42" i="16"/>
  <c r="H42" i="16"/>
  <c r="H41" i="16"/>
  <c r="I41" i="16"/>
  <c r="J41" i="16"/>
  <c r="K41" i="16"/>
  <c r="L41" i="16"/>
  <c r="G41" i="16"/>
  <c r="H35" i="16"/>
  <c r="I35" i="16"/>
  <c r="J35" i="16"/>
  <c r="K35" i="16"/>
  <c r="L35" i="16"/>
  <c r="H31" i="16"/>
  <c r="I31" i="16"/>
  <c r="J31" i="16"/>
  <c r="K31" i="16"/>
  <c r="L31" i="16"/>
  <c r="G31" i="16"/>
  <c r="K22" i="16"/>
  <c r="G22" i="16"/>
  <c r="H22" i="16"/>
  <c r="I22" i="16"/>
  <c r="J22" i="16"/>
  <c r="L22" i="16"/>
  <c r="G23" i="16"/>
  <c r="H23" i="16"/>
  <c r="I23" i="16"/>
  <c r="J23" i="16"/>
  <c r="K23" i="16"/>
  <c r="L23" i="16"/>
  <c r="G24" i="16"/>
  <c r="H24" i="16"/>
  <c r="I24" i="16"/>
  <c r="J24" i="16"/>
  <c r="K24" i="16"/>
  <c r="L24" i="16"/>
  <c r="G25" i="16"/>
  <c r="H25" i="16"/>
  <c r="I25" i="16"/>
  <c r="J25" i="16"/>
  <c r="K25" i="16"/>
  <c r="L25" i="16"/>
  <c r="G26" i="16"/>
  <c r="H26" i="16"/>
  <c r="I26" i="16"/>
  <c r="J26" i="16"/>
  <c r="K26" i="16"/>
  <c r="L26" i="16"/>
  <c r="G27" i="16"/>
  <c r="H27" i="16"/>
  <c r="I27" i="16"/>
  <c r="J27" i="16"/>
  <c r="K27" i="16"/>
  <c r="L27" i="16"/>
  <c r="G28" i="16"/>
  <c r="H28" i="16"/>
  <c r="I28" i="16"/>
  <c r="J28" i="16"/>
  <c r="K28" i="16"/>
  <c r="L28" i="16"/>
  <c r="G29" i="16"/>
  <c r="H29" i="16"/>
  <c r="I29" i="16"/>
  <c r="J29" i="16"/>
  <c r="K29" i="16"/>
  <c r="L29" i="16"/>
  <c r="H21" i="16"/>
  <c r="I21" i="16"/>
  <c r="J21" i="16"/>
  <c r="K21" i="16"/>
  <c r="L21" i="16"/>
  <c r="G21" i="16"/>
  <c r="H13" i="16"/>
  <c r="I13" i="16"/>
  <c r="J13" i="16"/>
  <c r="K13" i="16"/>
  <c r="L13" i="16"/>
  <c r="H14" i="16"/>
  <c r="I14" i="16"/>
  <c r="J14" i="16"/>
  <c r="K14" i="16"/>
  <c r="L14" i="16"/>
  <c r="H15" i="16"/>
  <c r="I15" i="16"/>
  <c r="J15" i="16"/>
  <c r="K15" i="16"/>
  <c r="L15" i="16"/>
  <c r="G14" i="16"/>
  <c r="G15" i="16"/>
  <c r="G13" i="16"/>
  <c r="H8" i="16"/>
  <c r="I8" i="16"/>
  <c r="J8" i="16"/>
  <c r="K8" i="16"/>
  <c r="L8" i="16"/>
  <c r="H9" i="16"/>
  <c r="I9" i="16"/>
  <c r="J9" i="16"/>
  <c r="K9" i="16"/>
  <c r="L9" i="16"/>
  <c r="G9" i="16"/>
  <c r="G8" i="16"/>
  <c r="H6" i="16"/>
  <c r="I6" i="16"/>
  <c r="J6" i="16"/>
  <c r="K6" i="16"/>
  <c r="L6" i="16"/>
  <c r="H7" i="16"/>
  <c r="I7" i="16"/>
  <c r="J7" i="16"/>
  <c r="K7" i="16"/>
  <c r="L7" i="16"/>
  <c r="G7" i="16"/>
  <c r="G6" i="16"/>
  <c r="M32" i="18"/>
  <c r="L32" i="18"/>
  <c r="K32" i="18"/>
  <c r="J32" i="18"/>
  <c r="I32" i="18"/>
  <c r="H32" i="18"/>
  <c r="G32" i="18"/>
  <c r="F32" i="18"/>
  <c r="E32" i="18"/>
  <c r="D32" i="18"/>
  <c r="C32" i="18"/>
  <c r="J41" i="7"/>
  <c r="J38" i="7"/>
  <c r="D22" i="7"/>
  <c r="D21" i="7"/>
  <c r="D20" i="7"/>
  <c r="J39" i="7"/>
  <c r="J36" i="7"/>
  <c r="J23" i="7"/>
  <c r="J21" i="7"/>
  <c r="F7" i="14"/>
  <c r="F5" i="14"/>
  <c r="J22" i="7"/>
  <c r="J31" i="7"/>
  <c r="J30" i="7"/>
  <c r="J29" i="7"/>
  <c r="E33" i="7"/>
  <c r="J28" i="7"/>
  <c r="J14" i="7"/>
  <c r="J15" i="7"/>
  <c r="J12" i="7"/>
  <c r="J11" i="7"/>
  <c r="J10" i="7"/>
  <c r="J9" i="7"/>
  <c r="J8" i="7"/>
  <c r="I15" i="7"/>
  <c r="I14" i="7"/>
  <c r="E30" i="7"/>
  <c r="E29" i="7"/>
  <c r="C30" i="7"/>
  <c r="C29" i="7"/>
  <c r="F15" i="7"/>
  <c r="F14" i="7"/>
  <c r="H9" i="7"/>
  <c r="H10" i="7"/>
  <c r="H11" i="7"/>
  <c r="H12" i="7"/>
  <c r="H8" i="7"/>
  <c r="G9" i="7"/>
  <c r="G10" i="7"/>
  <c r="G11" i="7"/>
  <c r="G12" i="7"/>
  <c r="G8" i="7"/>
  <c r="C9" i="3"/>
  <c r="L104" i="3"/>
  <c r="K104" i="3"/>
  <c r="J104" i="3"/>
  <c r="I104" i="3"/>
  <c r="H104" i="3"/>
  <c r="G104" i="3"/>
  <c r="F104" i="3"/>
  <c r="E104" i="3"/>
  <c r="D104" i="3"/>
  <c r="C104" i="3"/>
  <c r="L103" i="3"/>
  <c r="K103" i="3"/>
  <c r="J103" i="3"/>
  <c r="I103" i="3"/>
  <c r="H103" i="3"/>
  <c r="G103" i="3"/>
  <c r="F103" i="3"/>
  <c r="E103" i="3"/>
  <c r="D103" i="3"/>
  <c r="C103" i="3"/>
  <c r="L102" i="3"/>
  <c r="K102" i="3"/>
  <c r="J102" i="3"/>
  <c r="I102" i="3"/>
  <c r="H102" i="3"/>
  <c r="G102" i="3"/>
  <c r="F102" i="3"/>
  <c r="E102" i="3"/>
  <c r="D102" i="3"/>
  <c r="C102" i="3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C97" i="3"/>
  <c r="L96" i="3"/>
  <c r="K96" i="3"/>
  <c r="J96" i="3"/>
  <c r="I96" i="3"/>
  <c r="H96" i="3"/>
  <c r="G96" i="3"/>
  <c r="F96" i="3"/>
  <c r="E96" i="3"/>
  <c r="D96" i="3"/>
  <c r="C96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K70" i="3"/>
  <c r="J70" i="3"/>
  <c r="I70" i="3"/>
  <c r="H70" i="3"/>
  <c r="G70" i="3"/>
  <c r="F70" i="3"/>
  <c r="E70" i="3"/>
  <c r="D70" i="3"/>
  <c r="C70" i="3"/>
  <c r="L56" i="3"/>
  <c r="K56" i="3"/>
  <c r="J56" i="3"/>
  <c r="I56" i="3"/>
  <c r="H56" i="3"/>
  <c r="G56" i="3"/>
  <c r="F56" i="3"/>
  <c r="E56" i="3"/>
  <c r="D56" i="3"/>
  <c r="C56" i="3"/>
  <c r="L61" i="3"/>
  <c r="K61" i="3"/>
  <c r="J61" i="3"/>
  <c r="I61" i="3"/>
  <c r="H61" i="3"/>
  <c r="G61" i="3"/>
  <c r="F61" i="3"/>
  <c r="E61" i="3"/>
  <c r="D61" i="3"/>
  <c r="L60" i="3"/>
  <c r="K60" i="3"/>
  <c r="J60" i="3"/>
  <c r="I60" i="3"/>
  <c r="H60" i="3"/>
  <c r="G60" i="3"/>
  <c r="F60" i="3"/>
  <c r="E60" i="3"/>
  <c r="D60" i="3"/>
  <c r="L59" i="3"/>
  <c r="K59" i="3"/>
  <c r="J59" i="3"/>
  <c r="I59" i="3"/>
  <c r="H59" i="3"/>
  <c r="G59" i="3"/>
  <c r="F59" i="3"/>
  <c r="E59" i="3"/>
  <c r="D59" i="3"/>
  <c r="C61" i="3"/>
  <c r="C60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M36" i="3" s="1"/>
  <c r="M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K9" i="3"/>
  <c r="J9" i="3"/>
  <c r="I9" i="3"/>
  <c r="H9" i="3"/>
  <c r="G9" i="3"/>
  <c r="F9" i="3"/>
  <c r="E9" i="3"/>
  <c r="D9" i="3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M8" i="8" l="1"/>
  <c r="M7" i="8"/>
  <c r="G46" i="16"/>
  <c r="H3137" i="22"/>
  <c r="L31" i="22" s="1"/>
  <c r="H4" i="22"/>
  <c r="H5" i="22"/>
  <c r="L30" i="22" s="1"/>
  <c r="M30" i="22" s="1"/>
  <c r="N30" i="22" s="1"/>
  <c r="M13" i="22"/>
  <c r="M12" i="22"/>
  <c r="M14" i="22"/>
  <c r="M15" i="22"/>
  <c r="N15" i="22"/>
  <c r="N14" i="22"/>
  <c r="N12" i="22"/>
  <c r="O28" i="19"/>
  <c r="M28" i="19"/>
  <c r="N26" i="19"/>
  <c r="E14" i="19"/>
  <c r="E12" i="19"/>
  <c r="E11" i="19"/>
  <c r="E10" i="19"/>
  <c r="N28" i="19"/>
  <c r="O26" i="19"/>
  <c r="M26" i="19"/>
  <c r="E16" i="19"/>
  <c r="E15" i="19"/>
  <c r="E13" i="19"/>
  <c r="E9" i="19"/>
  <c r="E8" i="19"/>
  <c r="E7" i="19"/>
  <c r="F22" i="17"/>
  <c r="D21" i="17"/>
  <c r="F10" i="17"/>
  <c r="H9" i="17"/>
  <c r="G10" i="17"/>
  <c r="E6" i="17"/>
  <c r="G2" i="17"/>
  <c r="I50" i="16"/>
  <c r="J50" i="16"/>
  <c r="K50" i="16"/>
  <c r="L50" i="16"/>
  <c r="J30" i="16"/>
  <c r="J32" i="16" s="1"/>
  <c r="K16" i="16"/>
  <c r="J10" i="16"/>
  <c r="H30" i="16"/>
  <c r="H32" i="16" s="1"/>
  <c r="H16" i="16"/>
  <c r="I10" i="16"/>
  <c r="G10" i="16"/>
  <c r="K30" i="16"/>
  <c r="K32" i="16" s="1"/>
  <c r="J16" i="16"/>
  <c r="L16" i="16"/>
  <c r="H10" i="16"/>
  <c r="H18" i="16" s="1"/>
  <c r="L10" i="16"/>
  <c r="L18" i="16" s="1"/>
  <c r="I30" i="16"/>
  <c r="I32" i="16" s="1"/>
  <c r="L30" i="16"/>
  <c r="L32" i="16" s="1"/>
  <c r="L34" i="16" s="1"/>
  <c r="L37" i="16" s="1"/>
  <c r="G30" i="16"/>
  <c r="G32" i="16" s="1"/>
  <c r="I16" i="16"/>
  <c r="G16" i="16"/>
  <c r="K10" i="16"/>
  <c r="K18" i="16" s="1"/>
  <c r="J35" i="7"/>
  <c r="H15" i="7"/>
  <c r="D33" i="7"/>
  <c r="C31" i="7"/>
  <c r="D31" i="7" s="1"/>
  <c r="G15" i="7"/>
  <c r="G14" i="7"/>
  <c r="H14" i="7"/>
  <c r="E31" i="7"/>
  <c r="D29" i="7"/>
  <c r="L105" i="3"/>
  <c r="J105" i="3"/>
  <c r="H105" i="3"/>
  <c r="F105" i="3"/>
  <c r="D105" i="3"/>
  <c r="L93" i="3"/>
  <c r="I93" i="3"/>
  <c r="G93" i="3"/>
  <c r="F93" i="3"/>
  <c r="C93" i="3"/>
  <c r="L78" i="3"/>
  <c r="L107" i="3" s="1"/>
  <c r="I78" i="3"/>
  <c r="H78" i="3"/>
  <c r="F78" i="3"/>
  <c r="F107" i="3" s="1"/>
  <c r="D78" i="3"/>
  <c r="L57" i="3"/>
  <c r="J57" i="3"/>
  <c r="H57" i="3"/>
  <c r="F57" i="3"/>
  <c r="E57" i="3"/>
  <c r="C57" i="3"/>
  <c r="K62" i="3"/>
  <c r="H62" i="3"/>
  <c r="H64" i="3" s="1"/>
  <c r="F62" i="3"/>
  <c r="F64" i="3" s="1"/>
  <c r="F66" i="3" s="1"/>
  <c r="D62" i="3"/>
  <c r="M18" i="3"/>
  <c r="K105" i="3"/>
  <c r="I105" i="3"/>
  <c r="G105" i="3"/>
  <c r="E105" i="3"/>
  <c r="C105" i="3"/>
  <c r="K93" i="3"/>
  <c r="J93" i="3"/>
  <c r="H93" i="3"/>
  <c r="E93" i="3"/>
  <c r="D93" i="3"/>
  <c r="K78" i="3"/>
  <c r="K107" i="3" s="1"/>
  <c r="J78" i="3"/>
  <c r="J107" i="3" s="1"/>
  <c r="G78" i="3"/>
  <c r="G107" i="3" s="1"/>
  <c r="E78" i="3"/>
  <c r="E107" i="3" s="1"/>
  <c r="C78" i="3"/>
  <c r="C107" i="3" s="1"/>
  <c r="H66" i="3"/>
  <c r="K57" i="3"/>
  <c r="I57" i="3"/>
  <c r="G57" i="3"/>
  <c r="D57" i="3"/>
  <c r="L62" i="3"/>
  <c r="L64" i="3" s="1"/>
  <c r="L66" i="3" s="1"/>
  <c r="J62" i="3"/>
  <c r="J64" i="3" s="1"/>
  <c r="J66" i="3" s="1"/>
  <c r="I62" i="3"/>
  <c r="I64" i="3" s="1"/>
  <c r="I66" i="3" s="1"/>
  <c r="G62" i="3"/>
  <c r="G64" i="3" s="1"/>
  <c r="G66" i="3" s="1"/>
  <c r="E62" i="3"/>
  <c r="E64" i="3" s="1"/>
  <c r="E66" i="3" s="1"/>
  <c r="C62" i="3"/>
  <c r="C64" i="3" s="1"/>
  <c r="C66" i="3" s="1"/>
  <c r="L41" i="3"/>
  <c r="F10" i="3"/>
  <c r="K12" i="3"/>
  <c r="K13" i="3" s="1"/>
  <c r="D10" i="3"/>
  <c r="M25" i="3"/>
  <c r="C12" i="3"/>
  <c r="C18" i="3" s="1"/>
  <c r="C19" i="3" s="1"/>
  <c r="J12" i="3"/>
  <c r="J13" i="3" s="1"/>
  <c r="C16" i="3"/>
  <c r="C22" i="3"/>
  <c r="K22" i="3"/>
  <c r="M27" i="3"/>
  <c r="K7" i="3"/>
  <c r="G16" i="3"/>
  <c r="E22" i="3"/>
  <c r="M22" i="3"/>
  <c r="F25" i="3"/>
  <c r="G7" i="3"/>
  <c r="L10" i="3"/>
  <c r="H16" i="3"/>
  <c r="G25" i="3"/>
  <c r="I7" i="3"/>
  <c r="J18" i="3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J10" i="3"/>
  <c r="K16" i="3"/>
  <c r="J22" i="3"/>
  <c r="J7" i="3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L7" i="3"/>
  <c r="G10" i="3"/>
  <c r="M10" i="3"/>
  <c r="E7" i="3"/>
  <c r="M7" i="3"/>
  <c r="F7" i="3"/>
  <c r="H12" i="3"/>
  <c r="I25" i="3"/>
  <c r="H7" i="3"/>
  <c r="C10" i="3"/>
  <c r="K10" i="3"/>
  <c r="I12" i="3"/>
  <c r="M12" i="3"/>
  <c r="M13" i="3" s="1"/>
  <c r="K52" i="16" l="1"/>
  <c r="K53" i="16"/>
  <c r="E7" i="17" s="1"/>
  <c r="F7" i="17" s="1"/>
  <c r="G7" i="17" s="1"/>
  <c r="H7" i="17" s="1"/>
  <c r="I7" i="17" s="1"/>
  <c r="I57" i="16"/>
  <c r="I60" i="16" s="1"/>
  <c r="M31" i="22"/>
  <c r="N31" i="22" s="1"/>
  <c r="L29" i="22"/>
  <c r="M29" i="22" s="1"/>
  <c r="N29" i="22" s="1"/>
  <c r="L28" i="22"/>
  <c r="M28" i="22" s="1"/>
  <c r="N28" i="22" s="1"/>
  <c r="L24" i="22"/>
  <c r="L23" i="22"/>
  <c r="L22" i="22"/>
  <c r="L21" i="22"/>
  <c r="L20" i="22"/>
  <c r="N13" i="22"/>
  <c r="G14" i="19"/>
  <c r="O14" i="19"/>
  <c r="G12" i="19"/>
  <c r="O12" i="19"/>
  <c r="G11" i="19"/>
  <c r="O11" i="19"/>
  <c r="G10" i="19"/>
  <c r="O10" i="19"/>
  <c r="G16" i="19"/>
  <c r="O16" i="19"/>
  <c r="G15" i="19"/>
  <c r="O15" i="19"/>
  <c r="G13" i="19"/>
  <c r="O13" i="19"/>
  <c r="G9" i="19"/>
  <c r="O9" i="19"/>
  <c r="O8" i="19"/>
  <c r="G8" i="19"/>
  <c r="G7" i="19"/>
  <c r="O7" i="19"/>
  <c r="F23" i="17"/>
  <c r="H2" i="17"/>
  <c r="I2" i="17" s="1"/>
  <c r="J2" i="17" s="1"/>
  <c r="I9" i="17"/>
  <c r="J9" i="17" s="1"/>
  <c r="J10" i="17" s="1"/>
  <c r="H10" i="17"/>
  <c r="I10" i="17"/>
  <c r="E8" i="17"/>
  <c r="J18" i="16"/>
  <c r="J34" i="16" s="1"/>
  <c r="J37" i="16" s="1"/>
  <c r="K34" i="16"/>
  <c r="K37" i="16" s="1"/>
  <c r="G18" i="16"/>
  <c r="G37" i="16" s="1"/>
  <c r="H58" i="16" s="1"/>
  <c r="H34" i="16"/>
  <c r="H37" i="16" s="1"/>
  <c r="I18" i="16"/>
  <c r="I34" i="16" s="1"/>
  <c r="I37" i="16" s="1"/>
  <c r="D30" i="7"/>
  <c r="H107" i="3"/>
  <c r="D64" i="3"/>
  <c r="D66" i="3" s="1"/>
  <c r="M19" i="3"/>
  <c r="I107" i="3"/>
  <c r="D107" i="3"/>
  <c r="K64" i="3"/>
  <c r="K66" i="3" s="1"/>
  <c r="C13" i="3"/>
  <c r="C27" i="3"/>
  <c r="K18" i="3"/>
  <c r="K19" i="3" s="1"/>
  <c r="E18" i="3"/>
  <c r="E13" i="3"/>
  <c r="G18" i="3"/>
  <c r="G13" i="3"/>
  <c r="F18" i="3"/>
  <c r="F13" i="3"/>
  <c r="L18" i="3"/>
  <c r="L13" i="3"/>
  <c r="H18" i="3"/>
  <c r="H13" i="3"/>
  <c r="J19" i="3"/>
  <c r="J27" i="3"/>
  <c r="M31" i="3"/>
  <c r="M33" i="3"/>
  <c r="M28" i="3"/>
  <c r="I18" i="3"/>
  <c r="I13" i="3"/>
  <c r="D18" i="3"/>
  <c r="D13" i="3"/>
  <c r="K63" i="16" l="1"/>
  <c r="D14" i="17" s="1"/>
  <c r="F4" i="17" s="1"/>
  <c r="K62" i="16"/>
  <c r="M14" i="19"/>
  <c r="N14" i="19"/>
  <c r="M12" i="19"/>
  <c r="N12" i="19"/>
  <c r="M11" i="19"/>
  <c r="N11" i="19"/>
  <c r="M10" i="19"/>
  <c r="N10" i="19"/>
  <c r="N16" i="19"/>
  <c r="M16" i="19"/>
  <c r="N15" i="19"/>
  <c r="M15" i="19"/>
  <c r="M13" i="19"/>
  <c r="N13" i="19"/>
  <c r="M9" i="19"/>
  <c r="N9" i="19"/>
  <c r="M8" i="19"/>
  <c r="N8" i="19"/>
  <c r="M7" i="19"/>
  <c r="N7" i="19"/>
  <c r="O19" i="19"/>
  <c r="O20" i="19"/>
  <c r="O22" i="19"/>
  <c r="O18" i="19"/>
  <c r="O21" i="19"/>
  <c r="O27" i="19" s="1"/>
  <c r="C28" i="3"/>
  <c r="C31" i="3"/>
  <c r="C33" i="3"/>
  <c r="K27" i="3"/>
  <c r="K28" i="3" s="1"/>
  <c r="G19" i="3"/>
  <c r="G27" i="3"/>
  <c r="K33" i="3"/>
  <c r="F19" i="3"/>
  <c r="F27" i="3"/>
  <c r="I19" i="3"/>
  <c r="I27" i="3"/>
  <c r="C38" i="3"/>
  <c r="C34" i="3"/>
  <c r="J33" i="3"/>
  <c r="J28" i="3"/>
  <c r="J31" i="3"/>
  <c r="D19" i="3"/>
  <c r="D27" i="3"/>
  <c r="H19" i="3"/>
  <c r="H27" i="3"/>
  <c r="E19" i="3"/>
  <c r="E27" i="3"/>
  <c r="L19" i="3"/>
  <c r="L27" i="3"/>
  <c r="M34" i="3"/>
  <c r="M38" i="3"/>
  <c r="F6" i="17" l="1"/>
  <c r="F8" i="17" s="1"/>
  <c r="F12" i="17" s="1"/>
  <c r="G4" i="17"/>
  <c r="M18" i="19"/>
  <c r="M20" i="19"/>
  <c r="M21" i="19"/>
  <c r="M25" i="19" s="1"/>
  <c r="M27" i="19" s="1"/>
  <c r="M29" i="19" s="1"/>
  <c r="M19" i="19"/>
  <c r="M22" i="19"/>
  <c r="N19" i="19"/>
  <c r="N20" i="19"/>
  <c r="N22" i="19"/>
  <c r="N18" i="19"/>
  <c r="N21" i="19"/>
  <c r="N25" i="19" s="1"/>
  <c r="N27" i="19" s="1"/>
  <c r="N29" i="19" s="1"/>
  <c r="O29" i="19"/>
  <c r="O25" i="19"/>
  <c r="K31" i="3"/>
  <c r="M44" i="3"/>
  <c r="M42" i="3"/>
  <c r="C42" i="3"/>
  <c r="C44" i="3" s="1"/>
  <c r="L31" i="3"/>
  <c r="L33" i="3"/>
  <c r="L28" i="3"/>
  <c r="K34" i="3"/>
  <c r="K38" i="3"/>
  <c r="E31" i="3"/>
  <c r="E33" i="3"/>
  <c r="E28" i="3"/>
  <c r="J38" i="3"/>
  <c r="J34" i="3"/>
  <c r="D31" i="3"/>
  <c r="D33" i="3"/>
  <c r="D28" i="3"/>
  <c r="F28" i="3"/>
  <c r="F33" i="3"/>
  <c r="F31" i="3"/>
  <c r="H28" i="3"/>
  <c r="H31" i="3"/>
  <c r="H33" i="3"/>
  <c r="G33" i="3"/>
  <c r="G28" i="3"/>
  <c r="G31" i="3"/>
  <c r="I33" i="3"/>
  <c r="I28" i="3"/>
  <c r="I31" i="3"/>
  <c r="H4" i="17" l="1"/>
  <c r="G6" i="17"/>
  <c r="G8" i="17" s="1"/>
  <c r="G12" i="17" s="1"/>
  <c r="M31" i="19"/>
  <c r="D4" i="21"/>
  <c r="N31" i="19"/>
  <c r="E4" i="21"/>
  <c r="O31" i="19"/>
  <c r="F4" i="21"/>
  <c r="J42" i="3"/>
  <c r="K39" i="3"/>
  <c r="K44" i="3"/>
  <c r="K42" i="3"/>
  <c r="F34" i="3"/>
  <c r="F38" i="3"/>
  <c r="I38" i="3"/>
  <c r="I34" i="3"/>
  <c r="D38" i="3"/>
  <c r="D34" i="3"/>
  <c r="H34" i="3"/>
  <c r="H38" i="3"/>
  <c r="E34" i="3"/>
  <c r="E38" i="3"/>
  <c r="G34" i="3"/>
  <c r="G38" i="3"/>
  <c r="L38" i="3"/>
  <c r="L34" i="3"/>
  <c r="H6" i="17" l="1"/>
  <c r="H8" i="17" s="1"/>
  <c r="H12" i="17" s="1"/>
  <c r="I4" i="17"/>
  <c r="J44" i="3"/>
  <c r="J39" i="3"/>
  <c r="E39" i="3"/>
  <c r="E42" i="3"/>
  <c r="H39" i="3"/>
  <c r="H42" i="3"/>
  <c r="H44" i="3" s="1"/>
  <c r="G39" i="3"/>
  <c r="G42" i="3"/>
  <c r="G44" i="3" s="1"/>
  <c r="I44" i="3"/>
  <c r="I39" i="3"/>
  <c r="I42" i="3"/>
  <c r="F39" i="3"/>
  <c r="F42" i="3"/>
  <c r="F44" i="3"/>
  <c r="L39" i="3"/>
  <c r="L42" i="3"/>
  <c r="M39" i="3"/>
  <c r="D39" i="3"/>
  <c r="D42" i="3"/>
  <c r="D44" i="3" s="1"/>
  <c r="J4" i="17" l="1"/>
  <c r="J6" i="17" s="1"/>
  <c r="J8" i="17" s="1"/>
  <c r="I6" i="17"/>
  <c r="I8" i="17" s="1"/>
  <c r="I12" i="17" s="1"/>
  <c r="E44" i="3"/>
  <c r="L44" i="3"/>
  <c r="D20" i="17" l="1"/>
  <c r="D24" i="17" s="1"/>
  <c r="D29" i="17" s="1"/>
  <c r="J12" i="17"/>
  <c r="D28" i="17" s="1"/>
  <c r="D30" i="17" l="1"/>
  <c r="D35" i="17" s="1"/>
  <c r="D38" i="17" s="1"/>
  <c r="F19" i="17" l="1"/>
  <c r="D41" i="17"/>
</calcChain>
</file>

<file path=xl/sharedStrings.xml><?xml version="1.0" encoding="utf-8"?>
<sst xmlns="http://schemas.openxmlformats.org/spreadsheetml/2006/main" count="520" uniqueCount="365">
  <si>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</si>
  <si>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</si>
  <si>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</si>
  <si>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</si>
  <si>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</si>
  <si>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</si>
  <si>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</si>
  <si>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</si>
  <si>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</si>
  <si>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</si>
  <si>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</si>
  <si>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</si>
  <si>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</si>
  <si>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</si>
  <si>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</si>
  <si>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</si>
  <si>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</si>
  <si>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</si>
  <si>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</si>
  <si>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</si>
  <si>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</si>
  <si>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</si>
  <si>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</si>
  <si>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</si>
  <si>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</si>
  <si>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</si>
  <si>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</si>
  <si>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</si>
  <si>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</si>
  <si>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</si>
  <si>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</si>
  <si>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</si>
  <si>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</si>
  <si>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</si>
  <si>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</si>
  <si>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</si>
  <si>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</si>
  <si>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</si>
  <si>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</si>
  <si>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</si>
  <si>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</si>
  <si>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</si>
  <si>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</si>
  <si>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</si>
  <si>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</si>
  <si>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</si>
  <si>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</si>
  <si>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</si>
  <si>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</si>
  <si>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</si>
  <si>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</si>
  <si>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</si>
  <si>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</si>
  <si>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</si>
  <si>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</si>
  <si>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</si>
  <si>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</si>
  <si>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</si>
  <si>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</si>
  <si>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</si>
  <si>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</si>
  <si>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</si>
  <si>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</si>
  <si>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</si>
  <si>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</si>
  <si>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</si>
  <si>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</si>
  <si>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</si>
  <si>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</si>
  <si>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</si>
  <si>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</si>
  <si>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</si>
  <si>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</si>
  <si>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</si>
  <si>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</si>
  <si>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</si>
  <si>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</si>
  <si>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</si>
  <si>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</si>
  <si>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</si>
  <si>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</si>
  <si>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</si>
  <si>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</si>
  <si>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</si>
  <si>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</si>
  <si>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</si>
  <si>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</si>
  <si>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</si>
  <si>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</si>
  <si>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</si>
  <si>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</si>
  <si>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</si>
  <si>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</si>
  <si>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</si>
  <si>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</si>
  <si>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</si>
  <si>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</si>
  <si>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</si>
  <si>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</si>
  <si>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</si>
  <si>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</si>
  <si>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</si>
  <si>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</si>
  <si>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</si>
  <si>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</si>
  <si>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</si>
  <si>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</si>
  <si>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</si>
  <si>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</si>
  <si>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</si>
  <si>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</si>
  <si>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</si>
  <si>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</si>
  <si>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</si>
  <si>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</si>
  <si>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</si>
  <si>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</si>
  <si>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</si>
  <si>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</si>
  <si>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</si>
  <si>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</si>
  <si>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</si>
  <si>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</si>
  <si>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</si>
  <si>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Financing Activities</t>
  </si>
  <si>
    <t xml:space="preserve">Weighted Average Cost of Capital 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</si>
  <si>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</si>
  <si>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</si>
  <si>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</si>
  <si>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</si>
  <si>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</si>
  <si>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</si>
  <si>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</si>
  <si>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</si>
  <si>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</si>
  <si>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</si>
  <si>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</si>
  <si>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</si>
  <si>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</si>
  <si>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Hind. Unilever</t>
  </si>
  <si>
    <t>ITC</t>
  </si>
  <si>
    <t>Hindustan Foods</t>
  </si>
  <si>
    <t>Godavari Bioref.</t>
  </si>
  <si>
    <t>Davangere Sugar</t>
  </si>
  <si>
    <t xml:space="preserve">India </t>
  </si>
  <si>
    <t xml:space="preserve">Average </t>
  </si>
  <si>
    <t xml:space="preserve">Median </t>
  </si>
  <si>
    <t>Cost of Debt</t>
  </si>
  <si>
    <t xml:space="preserve">Pre tax cost of debt </t>
  </si>
  <si>
    <t xml:space="preserve">Tax Rate </t>
  </si>
  <si>
    <t xml:space="preserve">After tax cost of debt </t>
  </si>
  <si>
    <t>Cost of Equity</t>
  </si>
  <si>
    <t>Risk Free Rate</t>
  </si>
  <si>
    <t xml:space="preserve">Equity Risk Premium 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</si>
  <si>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</si>
  <si>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</si>
  <si>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</si>
  <si>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</si>
  <si>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</si>
  <si>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</si>
  <si>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</si>
  <si>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Tax Rate</t>
  </si>
  <si>
    <t>Total Capitalization</t>
  </si>
  <si>
    <t>Levered Beta</t>
  </si>
  <si>
    <t>Debt / Equity</t>
  </si>
  <si>
    <t>Weighted Average Cost of Capital</t>
  </si>
  <si>
    <t>1. Tax Rate considered as Marginal Tax Rate for the country</t>
  </si>
  <si>
    <t>2. Levered Beta is based on 5 year monthly data</t>
  </si>
  <si>
    <t>Equity Weight</t>
  </si>
  <si>
    <t>3. Unlevered Beta = Levered Beta/(1+(1-Tax Rate) x Debt/Equity)</t>
  </si>
  <si>
    <t>3. Levered Beta = Unlevered Beta/(1+(1-Tax Rate) x Debt/Equity)</t>
  </si>
  <si>
    <t>Debt Weight</t>
  </si>
  <si>
    <t>WACC</t>
  </si>
  <si>
    <t xml:space="preserve">ITC Weekly Returns </t>
  </si>
  <si>
    <t xml:space="preserve">Nifty Returns </t>
  </si>
  <si>
    <t>Date</t>
  </si>
  <si>
    <t>Closing Price</t>
  </si>
  <si>
    <t>Return</t>
  </si>
  <si>
    <t xml:space="preserve">Years </t>
  </si>
  <si>
    <t xml:space="preserve">Annual </t>
  </si>
  <si>
    <t>Return on Markets (Nifty 50)</t>
  </si>
  <si>
    <t xml:space="preserve">Average Return </t>
  </si>
  <si>
    <t>Dividend Yield</t>
  </si>
  <si>
    <t>Calculation of ROIC</t>
  </si>
  <si>
    <t>Current Assets</t>
  </si>
  <si>
    <t>Inventories</t>
  </si>
  <si>
    <t>Trade receivables</t>
  </si>
  <si>
    <t>Loans n Advances</t>
  </si>
  <si>
    <t>Other asset items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</si>
  <si>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</si>
  <si>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</si>
  <si>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</si>
  <si>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</si>
  <si>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</si>
  <si>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</si>
  <si>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</si>
  <si>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</si>
  <si>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</si>
  <si>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</si>
  <si>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</si>
  <si>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</si>
  <si>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</si>
  <si>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</si>
  <si>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</si>
  <si>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</si>
  <si>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</si>
  <si>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</si>
  <si>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</si>
  <si>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</si>
  <si>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</si>
  <si>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</si>
  <si>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Calculation of Growth Rate</t>
  </si>
  <si>
    <t>Intrinsic Growth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</si>
  <si>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</si>
  <si>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</si>
  <si>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</si>
  <si>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</si>
  <si>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</si>
  <si>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</si>
  <si>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</si>
  <si>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</si>
  <si>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Fixed Assets -</t>
  </si>
  <si>
    <t>Railway sidings</t>
  </si>
  <si>
    <t>CWIP</t>
  </si>
  <si>
    <t>Other Assets -</t>
  </si>
  <si>
    <t>Cash Equivalents</t>
  </si>
  <si>
    <t>Particulars</t>
  </si>
  <si>
    <t xml:space="preserve">Net Block </t>
  </si>
  <si>
    <t xml:space="preserve">Current Liabilities </t>
  </si>
  <si>
    <t xml:space="preserve">Total Current Liabilities </t>
  </si>
  <si>
    <t xml:space="preserve">Net Working Capital </t>
  </si>
  <si>
    <t xml:space="preserve">Non Current Assets </t>
  </si>
  <si>
    <t xml:space="preserve">Gross Block </t>
  </si>
  <si>
    <t xml:space="preserve">Accumulated Depriciation </t>
  </si>
  <si>
    <t xml:space="preserve">Net Fixed Income </t>
  </si>
  <si>
    <t xml:space="preserve">Invested Capital </t>
  </si>
  <si>
    <t xml:space="preserve">EBIT </t>
  </si>
  <si>
    <t xml:space="preserve">ROIC </t>
  </si>
  <si>
    <t>Free Cash Flow</t>
  </si>
  <si>
    <t>CFO/OP</t>
  </si>
  <si>
    <t>Cash Flow Statement</t>
  </si>
  <si>
    <t>Calculation of PV of FCFF</t>
  </si>
  <si>
    <t>EBIT (Operational Income )</t>
  </si>
  <si>
    <t xml:space="preserve">Less: Reinvestment rate </t>
  </si>
  <si>
    <t>Free Cash Flow to Firm</t>
  </si>
  <si>
    <t xml:space="preserve">Discounting Factor </t>
  </si>
  <si>
    <t xml:space="preserve">PV of FCFF </t>
  </si>
  <si>
    <t xml:space="preserve">Expected Growth </t>
  </si>
  <si>
    <t xml:space="preserve">Terminal Growth </t>
  </si>
  <si>
    <t>4 Year Median</t>
  </si>
  <si>
    <t>4 Year Average</t>
  </si>
  <si>
    <t xml:space="preserve">Mid Year Convention </t>
  </si>
  <si>
    <t xml:space="preserve">WACC </t>
  </si>
  <si>
    <t xml:space="preserve">Calculation of Terminal Value </t>
  </si>
  <si>
    <t>FCFF(n+1)</t>
  </si>
  <si>
    <t xml:space="preserve">Terminal Growth Rate </t>
  </si>
  <si>
    <t>Terminal Value of FCFF</t>
  </si>
  <si>
    <t xml:space="preserve">Calculation of Equity Value per Share </t>
  </si>
  <si>
    <t>PV of FCFF</t>
  </si>
  <si>
    <t>PV of Terminal Value</t>
  </si>
  <si>
    <t>Value of Operating Assets (Enterprise Value )</t>
  </si>
  <si>
    <t xml:space="preserve">Add: Cash </t>
  </si>
  <si>
    <t xml:space="preserve">Less: Debt </t>
  </si>
  <si>
    <t xml:space="preserve">Equity Value </t>
  </si>
  <si>
    <t xml:space="preserve">No of Shares </t>
  </si>
  <si>
    <t xml:space="preserve">Equity Value per Share </t>
  </si>
  <si>
    <t xml:space="preserve">Share Price </t>
  </si>
  <si>
    <t xml:space="preserve">Discounted/Premium </t>
  </si>
  <si>
    <t xml:space="preserve">Trading at Discount </t>
  </si>
  <si>
    <t xml:space="preserve">Sensitivity Analysis </t>
  </si>
  <si>
    <t xml:space="preserve">Comparable Company Valuation </t>
  </si>
  <si>
    <t>(in crores)</t>
  </si>
  <si>
    <t xml:space="preserve">Market Data </t>
  </si>
  <si>
    <t xml:space="preserve">Financials </t>
  </si>
  <si>
    <t>Valuation</t>
  </si>
  <si>
    <t xml:space="preserve">Share </t>
  </si>
  <si>
    <t xml:space="preserve">Equity </t>
  </si>
  <si>
    <t xml:space="preserve">Enterprise </t>
  </si>
  <si>
    <t xml:space="preserve">Company </t>
  </si>
  <si>
    <t xml:space="preserve">Price </t>
  </si>
  <si>
    <t xml:space="preserve">Outstanding </t>
  </si>
  <si>
    <t xml:space="preserve">Value </t>
  </si>
  <si>
    <t xml:space="preserve">Net Debt </t>
  </si>
  <si>
    <t xml:space="preserve">Revenue </t>
  </si>
  <si>
    <t xml:space="preserve">Net Income </t>
  </si>
  <si>
    <t>EV/Revenue</t>
  </si>
  <si>
    <t>EV/EBITDA</t>
  </si>
  <si>
    <t>P/E</t>
  </si>
  <si>
    <t xml:space="preserve">High </t>
  </si>
  <si>
    <t xml:space="preserve">75th percentile </t>
  </si>
  <si>
    <t>Median</t>
  </si>
  <si>
    <t xml:space="preserve">25th percentile </t>
  </si>
  <si>
    <t xml:space="preserve">Sun Pharma.Inds. Comparable Valuation </t>
  </si>
  <si>
    <t xml:space="preserve">Implied Enterprise Value </t>
  </si>
  <si>
    <t xml:space="preserve">Implied Market Value </t>
  </si>
  <si>
    <t xml:space="preserve">Shares Outstanding </t>
  </si>
  <si>
    <t xml:space="preserve">Implied value per share </t>
  </si>
  <si>
    <t>Nestle India</t>
  </si>
  <si>
    <t>Varun Beverages</t>
  </si>
  <si>
    <t>Britannia Inds.</t>
  </si>
  <si>
    <t>Tata Consumer</t>
  </si>
  <si>
    <t>Marico</t>
  </si>
  <si>
    <t>Godrej Consumer</t>
  </si>
  <si>
    <t>United Spirits</t>
  </si>
  <si>
    <t>Dabur India</t>
  </si>
  <si>
    <t>Open Low</t>
  </si>
  <si>
    <t>Low</t>
  </si>
  <si>
    <t>Open High</t>
  </si>
  <si>
    <t>High</t>
  </si>
  <si>
    <t>Comps</t>
  </si>
  <si>
    <t>DCF Bear</t>
  </si>
  <si>
    <t xml:space="preserve">DCF Base </t>
  </si>
  <si>
    <t>DCF Bull</t>
  </si>
  <si>
    <t>52W H/L</t>
  </si>
  <si>
    <t xml:space="preserve">Football Field Analysis </t>
  </si>
  <si>
    <t>Price</t>
  </si>
  <si>
    <t xml:space="preserve">Returns </t>
  </si>
  <si>
    <t xml:space="preserve">Sorted Returns </t>
  </si>
  <si>
    <t>Calculation of Value at Risk - (Historical Method)</t>
  </si>
  <si>
    <t xml:space="preserve">Mean </t>
  </si>
  <si>
    <t xml:space="preserve">Std Deviation </t>
  </si>
  <si>
    <t xml:space="preserve">Min </t>
  </si>
  <si>
    <t xml:space="preserve">Max </t>
  </si>
  <si>
    <t xml:space="preserve">Percentile </t>
  </si>
  <si>
    <t xml:space="preserve">CMP </t>
  </si>
  <si>
    <t>VAR %</t>
  </si>
  <si>
    <t xml:space="preserve">Stock Price </t>
  </si>
  <si>
    <t>VAR (Stock Price)</t>
  </si>
  <si>
    <t>Confidence</t>
  </si>
  <si>
    <t xml:space="preserve">Replication </t>
  </si>
  <si>
    <t xml:space="preserve">Simulated Returns </t>
  </si>
  <si>
    <t>Calculation of Value at Risk - (Monte Carlo Simulation)</t>
  </si>
  <si>
    <t>Regression Beta - 2 Years Daily</t>
  </si>
  <si>
    <t>Beta 1</t>
  </si>
  <si>
    <t>Beta 2</t>
  </si>
  <si>
    <t>Beta - Reg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</si>
  <si>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</si>
  <si>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</si>
  <si>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</si>
  <si>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</si>
  <si>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</si>
  <si>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</si>
  <si>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</si>
  <si>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</si>
  <si>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</si>
  <si>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</si>
  <si>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</si>
  <si>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</si>
  <si>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</si>
  <si>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</si>
  <si>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</si>
  <si>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</si>
  <si>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</si>
  <si>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</si>
  <si>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</si>
  <si>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</si>
  <si>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</si>
  <si>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</si>
  <si>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</si>
  <si>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Drifted Beta </t>
  </si>
  <si>
    <t xml:space="preserve">Levered Raw Beta </t>
  </si>
  <si>
    <t xml:space="preserve">Raw Beta Weight </t>
  </si>
  <si>
    <t>Market Beta</t>
  </si>
  <si>
    <t xml:space="preserve">Market Beta Weight </t>
  </si>
  <si>
    <t xml:space="preserve">Adjusted Beta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</si>
</sst>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\ #,##0.0;\(&quot;₹&quot;\ #,##0.0\);\-"/>
    <numFmt numFmtId="169" formatCode="mmm/yy&quot;A&quot;"/>
    <numFmt numFmtId="170" formatCode="mmm/yy&quot;F&quot;"/>
    <numFmt numFmtId="171" formatCode="0.0%"/>
    <numFmt numFmtId="172" formatCode="0.000"/>
    <numFmt numFmtId="173" formatCode="#,##0.0"/>
    <numFmt numFmtId="174" formatCode="0.0"/>
    <numFmt numFmtId="175" formatCode="0.0&quot;x&quot;"/>
    <numFmt numFmtId="176" formatCode="0.00&quot;x&quot;"/>
  </numFmts>
  <fonts count="2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</font>
    <font>
      <sz val="18"/>
      <color theme="0"/>
      <name val="Calibri"/>
      <family val="2"/>
    </font>
    <font>
      <sz val="14"/>
      <color theme="0"/>
      <name val="Calibri"/>
      <family val="2"/>
    </font>
    <font>
      <vertAlign val="superscript"/>
      <sz val="11"/>
      <color theme="1"/>
      <name val="Calibri"/>
      <family val="2"/>
    </font>
    <font>
      <sz val="11"/>
      <color theme="4" tint="-0.249977111117893"/>
      <name val="Calibri"/>
      <family val="2"/>
    </font>
    <font>
      <i/>
      <sz val="9"/>
      <color theme="0" tint="-0.34998626667073579"/>
      <name val="Calibri"/>
      <family val="2"/>
    </font>
    <font>
      <sz val="11"/>
      <color rgb="FF0070C0"/>
      <name val="Calibri"/>
      <family val="2"/>
    </font>
    <font>
      <sz val="11"/>
      <color rgb="FF002060"/>
      <name val="Calibri"/>
      <family val="2"/>
    </font>
    <font>
      <sz val="11"/>
      <color rgb="FF3333CC"/>
      <name val="Calibri"/>
      <family val="2"/>
    </font>
    <font>
      <b/>
      <sz val="14"/>
      <color rgb="FF002060"/>
      <name val="Calibri"/>
      <family val="2"/>
    </font>
    <font>
      <i/>
      <sz val="11"/>
      <color rgb="FF00206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4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3" fontId="0" fillId="0" borderId="0" xfId="0" applyNumberFormat="1"/>
    <xf numFmtId="0" fontId="16" fillId="6" borderId="0" xfId="0" applyFont="1" applyFill="1"/>
    <xf numFmtId="0" fontId="17" fillId="6" borderId="0" xfId="0" applyFont="1" applyFill="1"/>
    <xf numFmtId="9" fontId="0" fillId="0" borderId="0" xfId="0" applyNumberFormat="1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10" fontId="0" fillId="0" borderId="0" xfId="0" applyNumberFormat="1"/>
    <xf numFmtId="0" fontId="0" fillId="0" borderId="4" xfId="0" applyBorder="1"/>
    <xf numFmtId="0" fontId="19" fillId="0" borderId="0" xfId="0" applyFont="1"/>
    <xf numFmtId="10" fontId="19" fillId="0" borderId="0" xfId="0" applyNumberFormat="1" applyFont="1"/>
    <xf numFmtId="0" fontId="3" fillId="0" borderId="6" xfId="0" applyFont="1" applyBorder="1"/>
    <xf numFmtId="0" fontId="0" fillId="0" borderId="7" xfId="0" applyBorder="1"/>
    <xf numFmtId="4" fontId="0" fillId="0" borderId="0" xfId="0" applyNumberFormat="1"/>
    <xf numFmtId="4" fontId="0" fillId="0" borderId="7" xfId="0" applyNumberFormat="1" applyBorder="1"/>
    <xf numFmtId="10" fontId="0" fillId="0" borderId="7" xfId="0" applyNumberFormat="1" applyBorder="1"/>
    <xf numFmtId="0" fontId="0" fillId="0" borderId="3" xfId="0" applyBorder="1"/>
    <xf numFmtId="10" fontId="0" fillId="0" borderId="3" xfId="0" applyNumberFormat="1" applyBorder="1"/>
    <xf numFmtId="10" fontId="0" fillId="0" borderId="4" xfId="0" applyNumberFormat="1" applyBorder="1"/>
    <xf numFmtId="0" fontId="20" fillId="0" borderId="0" xfId="0" applyFont="1"/>
    <xf numFmtId="2" fontId="21" fillId="0" borderId="0" xfId="0" applyNumberFormat="1" applyFont="1"/>
    <xf numFmtId="0" fontId="15" fillId="7" borderId="0" xfId="0" applyFont="1" applyFill="1"/>
    <xf numFmtId="2" fontId="0" fillId="0" borderId="0" xfId="0" applyNumberFormat="1"/>
    <xf numFmtId="2" fontId="0" fillId="0" borderId="3" xfId="0" applyNumberFormat="1" applyBorder="1"/>
    <xf numFmtId="2" fontId="0" fillId="0" borderId="4" xfId="0" applyNumberForma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10" fontId="3" fillId="0" borderId="9" xfId="0" applyNumberFormat="1" applyFont="1" applyBorder="1"/>
    <xf numFmtId="17" fontId="15" fillId="7" borderId="0" xfId="0" applyNumberFormat="1" applyFont="1" applyFill="1"/>
    <xf numFmtId="0" fontId="3" fillId="0" borderId="8" xfId="0" applyFont="1" applyBorder="1"/>
    <xf numFmtId="3" fontId="3" fillId="0" borderId="8" xfId="0" applyNumberFormat="1" applyFont="1" applyBorder="1"/>
    <xf numFmtId="10" fontId="3" fillId="0" borderId="6" xfId="1" applyNumberFormat="1" applyFont="1" applyBorder="1"/>
    <xf numFmtId="168" fontId="0" fillId="0" borderId="0" xfId="0" applyNumberFormat="1"/>
    <xf numFmtId="168" fontId="3" fillId="0" borderId="8" xfId="0" applyNumberFormat="1" applyFont="1" applyBorder="1"/>
    <xf numFmtId="168" fontId="3" fillId="0" borderId="6" xfId="0" applyNumberFormat="1" applyFont="1" applyBorder="1"/>
    <xf numFmtId="168" fontId="3" fillId="0" borderId="0" xfId="0" applyNumberFormat="1" applyFont="1"/>
    <xf numFmtId="10" fontId="3" fillId="0" borderId="8" xfId="0" applyNumberFormat="1" applyFont="1" applyBorder="1"/>
    <xf numFmtId="10" fontId="3" fillId="0" borderId="6" xfId="0" applyNumberFormat="1" applyFont="1" applyBorder="1"/>
    <xf numFmtId="0" fontId="0" fillId="7" borderId="0" xfId="0" applyFill="1"/>
    <xf numFmtId="0" fontId="2" fillId="7" borderId="0" xfId="0" applyFont="1" applyFill="1"/>
    <xf numFmtId="43" fontId="0" fillId="0" borderId="0" xfId="0" applyNumberFormat="1"/>
    <xf numFmtId="169" fontId="2" fillId="7" borderId="0" xfId="0" applyNumberFormat="1" applyFont="1" applyFill="1"/>
    <xf numFmtId="170" fontId="2" fillId="7" borderId="0" xfId="0" applyNumberFormat="1" applyFont="1" applyFill="1"/>
    <xf numFmtId="171" fontId="0" fillId="0" borderId="0" xfId="0" applyNumberFormat="1"/>
    <xf numFmtId="10" fontId="23" fillId="0" borderId="0" xfId="0" applyNumberFormat="1" applyFont="1"/>
    <xf numFmtId="0" fontId="23" fillId="0" borderId="0" xfId="0" applyFont="1"/>
    <xf numFmtId="0" fontId="0" fillId="9" borderId="0" xfId="0" applyFill="1"/>
    <xf numFmtId="168" fontId="0" fillId="9" borderId="0" xfId="0" applyNumberFormat="1" applyFill="1"/>
    <xf numFmtId="10" fontId="23" fillId="9" borderId="0" xfId="0" applyNumberFormat="1" applyFont="1" applyFill="1"/>
    <xf numFmtId="10" fontId="0" fillId="9" borderId="0" xfId="0" applyNumberFormat="1" applyFill="1"/>
    <xf numFmtId="0" fontId="3" fillId="0" borderId="10" xfId="0" applyFont="1" applyBorder="1"/>
    <xf numFmtId="0" fontId="3" fillId="9" borderId="10" xfId="0" applyFont="1" applyFill="1" applyBorder="1"/>
    <xf numFmtId="172" fontId="0" fillId="0" borderId="0" xfId="0" applyNumberFormat="1"/>
    <xf numFmtId="168" fontId="0" fillId="10" borderId="0" xfId="0" applyNumberFormat="1" applyFill="1"/>
    <xf numFmtId="173" fontId="3" fillId="0" borderId="10" xfId="0" applyNumberFormat="1" applyFont="1" applyBorder="1"/>
    <xf numFmtId="168" fontId="3" fillId="10" borderId="10" xfId="0" applyNumberFormat="1" applyFont="1" applyFill="1" applyBorder="1"/>
    <xf numFmtId="0" fontId="0" fillId="11" borderId="0" xfId="0" applyFill="1"/>
    <xf numFmtId="10" fontId="0" fillId="11" borderId="0" xfId="0" applyNumberFormat="1" applyFill="1"/>
    <xf numFmtId="10" fontId="23" fillId="11" borderId="0" xfId="0" applyNumberFormat="1" applyFont="1" applyFill="1"/>
    <xf numFmtId="173" fontId="0" fillId="0" borderId="0" xfId="0" applyNumberFormat="1"/>
    <xf numFmtId="2" fontId="3" fillId="0" borderId="10" xfId="0" applyNumberFormat="1" applyFont="1" applyBorder="1"/>
    <xf numFmtId="173" fontId="3" fillId="0" borderId="0" xfId="0" applyNumberFormat="1" applyFont="1"/>
    <xf numFmtId="0" fontId="2" fillId="10" borderId="0" xfId="0" applyFont="1" applyFill="1"/>
    <xf numFmtId="169" fontId="2" fillId="10" borderId="0" xfId="0" applyNumberFormat="1" applyFont="1" applyFill="1"/>
    <xf numFmtId="170" fontId="2" fillId="10" borderId="0" xfId="0" applyNumberFormat="1" applyFont="1" applyFill="1"/>
    <xf numFmtId="176" fontId="0" fillId="0" borderId="0" xfId="0" applyNumberFormat="1"/>
    <xf numFmtId="9" fontId="15" fillId="0" borderId="0" xfId="0" applyNumberFormat="1" applyFont="1"/>
    <xf numFmtId="10" fontId="3" fillId="0" borderId="0" xfId="0" applyNumberFormat="1" applyFont="1"/>
    <xf numFmtId="0" fontId="24" fillId="10" borderId="11" xfId="0" applyFont="1" applyFill="1" applyBorder="1"/>
    <xf numFmtId="0" fontId="25" fillId="10" borderId="11" xfId="0" applyFont="1" applyFill="1" applyBorder="1"/>
    <xf numFmtId="0" fontId="22" fillId="10" borderId="11" xfId="0" applyFont="1" applyFill="1" applyBorder="1"/>
    <xf numFmtId="174" fontId="0" fillId="11" borderId="0" xfId="0" applyNumberFormat="1" applyFill="1"/>
    <xf numFmtId="175" fontId="0" fillId="11" borderId="0" xfId="0" applyNumberFormat="1" applyFill="1"/>
    <xf numFmtId="174" fontId="0" fillId="0" borderId="0" xfId="0" applyNumberFormat="1"/>
    <xf numFmtId="175" fontId="3" fillId="11" borderId="0" xfId="0" applyNumberFormat="1" applyFont="1" applyFill="1"/>
    <xf numFmtId="0" fontId="3" fillId="11" borderId="0" xfId="0" applyFont="1" applyFill="1"/>
    <xf numFmtId="0" fontId="0" fillId="11" borderId="6" xfId="0" applyFill="1" applyBorder="1"/>
    <xf numFmtId="174" fontId="0" fillId="11" borderId="6" xfId="0" applyNumberFormat="1" applyFill="1" applyBorder="1"/>
    <xf numFmtId="174" fontId="0" fillId="10" borderId="0" xfId="0" applyNumberFormat="1" applyFill="1"/>
    <xf numFmtId="0" fontId="0" fillId="10" borderId="0" xfId="0" applyFill="1"/>
    <xf numFmtId="175" fontId="0" fillId="10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right"/>
    </xf>
    <xf numFmtId="171" fontId="0" fillId="0" borderId="0" xfId="1" applyNumberFormat="1" applyFont="1" applyAlignment="1">
      <alignment horizontal="left"/>
    </xf>
    <xf numFmtId="44" fontId="0" fillId="0" borderId="0" xfId="9" applyFont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22" fontId="0" fillId="0" borderId="0" xfId="0" applyNumberFormat="1"/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11" xfId="0" applyFill="1" applyBorder="1" applyAlignment="1"/>
    <xf numFmtId="0" fontId="13" fillId="0" borderId="12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Continuous"/>
    </xf>
    <xf numFmtId="0" fontId="0" fillId="0" borderId="0" xfId="0" applyFont="1" applyFill="1" applyBorder="1" applyAlignment="1"/>
    <xf numFmtId="0" fontId="0" fillId="0" borderId="0" xfId="0" applyFont="1" applyAlignment="1"/>
    <xf numFmtId="10" fontId="0" fillId="0" borderId="0" xfId="0" applyNumberFormat="1" applyFont="1" applyAlignment="1"/>
    <xf numFmtId="0" fontId="0" fillId="11" borderId="0" xfId="0" applyFont="1" applyFill="1" applyAlignment="1"/>
    <xf numFmtId="2" fontId="0" fillId="11" borderId="0" xfId="0" applyNumberFormat="1" applyFill="1"/>
  </cellXfs>
  <cellStyles count="10">
    <cellStyle name="Accent6 2" xfId="4" xr:uid="{BBDB2BF0-232B-4C01-AC19-E13AE7790424}"/>
    <cellStyle name="Comma 2" xfId="2" xr:uid="{177753BF-8FC0-47C2-A09D-659D00B32ED6}"/>
    <cellStyle name="Comma 2 2" xfId="8" xr:uid="{DFD335DD-4D11-4A1D-8A34-46531A365E07}"/>
    <cellStyle name="Currency" xfId="9" builtinId="4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rgbClr val="002060"/>
                </a:solidFill>
              </a:rPr>
              <a:t>Football</a:t>
            </a:r>
            <a:r>
              <a:rPr lang="en-IN" sz="1100" b="1" baseline="0">
                <a:solidFill>
                  <a:srgbClr val="002060"/>
                </a:solidFill>
              </a:rPr>
              <a:t> Field Analysis - Valuation Summary (Rs)</a:t>
            </a:r>
            <a:endParaRPr lang="en-IN" sz="11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tx>
            <c:strRef>
              <c:f>'Football Field Analysis '!$C$3</c:f>
              <c:strCache>
                <c:ptCount val="1"/>
                <c:pt idx="0">
                  <c:v>Open 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 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 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 '!$C$4:$C$8</c:f>
              <c:numCache>
                <c:formatCode>0.0</c:formatCode>
                <c:ptCount val="5"/>
                <c:pt idx="0">
                  <c:v>458.39680640864265</c:v>
                </c:pt>
                <c:pt idx="1">
                  <c:v>361.43135285023237</c:v>
                </c:pt>
                <c:pt idx="2">
                  <c:v>291.00625890999737</c:v>
                </c:pt>
                <c:pt idx="3">
                  <c:v>246.13748771920845</c:v>
                </c:pt>
                <c:pt idx="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2-430E-958B-8D4340F463FB}"/>
            </c:ext>
          </c:extLst>
        </c:ser>
        <c:ser>
          <c:idx val="1"/>
          <c:order val="1"/>
          <c:tx>
            <c:strRef>
              <c:f>'Football Field Analysis '!$D$3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D2-430E-958B-8D4340F463FB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D2-430E-958B-8D4340F463FB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D2-430E-958B-8D4340F463FB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D2-430E-958B-8D4340F463FB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D2-430E-958B-8D4340F463FB}"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 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 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 '!$D$4:$D$8</c:f>
              <c:numCache>
                <c:formatCode>0.0</c:formatCode>
                <c:ptCount val="5"/>
                <c:pt idx="0">
                  <c:v>458.39680640864265</c:v>
                </c:pt>
                <c:pt idx="1">
                  <c:v>361.43135285023237</c:v>
                </c:pt>
                <c:pt idx="2">
                  <c:v>291.00625890999737</c:v>
                </c:pt>
                <c:pt idx="3">
                  <c:v>246.13748771920845</c:v>
                </c:pt>
                <c:pt idx="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2-430E-958B-8D4340F463FB}"/>
            </c:ext>
          </c:extLst>
        </c:ser>
        <c:ser>
          <c:idx val="2"/>
          <c:order val="2"/>
          <c:tx>
            <c:strRef>
              <c:f>'Football Field Analysis '!$E$3</c:f>
              <c:strCache>
                <c:ptCount val="1"/>
                <c:pt idx="0">
                  <c:v>Open 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 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 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 '!$E$4:$E$8</c:f>
              <c:numCache>
                <c:formatCode>0.0</c:formatCode>
                <c:ptCount val="5"/>
                <c:pt idx="0">
                  <c:v>797.35713072942895</c:v>
                </c:pt>
                <c:pt idx="1">
                  <c:v>649.66601567779219</c:v>
                </c:pt>
                <c:pt idx="2">
                  <c:v>423.2792764529072</c:v>
                </c:pt>
                <c:pt idx="3">
                  <c:v>320.25497244629526</c:v>
                </c:pt>
                <c:pt idx="4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D2-430E-958B-8D4340F463FB}"/>
            </c:ext>
          </c:extLst>
        </c:ser>
        <c:ser>
          <c:idx val="3"/>
          <c:order val="3"/>
          <c:tx>
            <c:strRef>
              <c:f>'Football Field Analysis '!$F$3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D2-430E-958B-8D4340F463FB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D2-430E-958B-8D4340F463FB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D2-430E-958B-8D4340F463FB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D2-430E-958B-8D4340F463FB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D2-430E-958B-8D4340F463FB}"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 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 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 '!$F$4:$F$8</c:f>
              <c:numCache>
                <c:formatCode>0.0</c:formatCode>
                <c:ptCount val="5"/>
                <c:pt idx="0">
                  <c:v>899.63876041246203</c:v>
                </c:pt>
                <c:pt idx="1">
                  <c:v>649.66601567779219</c:v>
                </c:pt>
                <c:pt idx="2">
                  <c:v>423.2792764529072</c:v>
                </c:pt>
                <c:pt idx="3">
                  <c:v>320.25497244629526</c:v>
                </c:pt>
                <c:pt idx="4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D2-430E-958B-8D4340F46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1">
                  <a:lumMod val="7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939766432"/>
        <c:axId val="1939743872"/>
      </c:stockChart>
      <c:catAx>
        <c:axId val="19397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43872"/>
        <c:crosses val="autoZero"/>
        <c:auto val="1"/>
        <c:lblAlgn val="ctr"/>
        <c:lblOffset val="100"/>
        <c:noMultiLvlLbl val="0"/>
      </c:catAx>
      <c:valAx>
        <c:axId val="19397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6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Daily Returns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Returns Distribution</a:t>
          </a:r>
        </a:p>
      </cx:txPr>
    </cx:title>
    <cx:plotArea>
      <cx:plotAreaRegion>
        <cx:series layoutId="clusteredColumn" uniqueId="{00000000-9BD2-44D6-89C4-38B7612E823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602974</xdr:colOff>
      <xdr:row>9</xdr:row>
      <xdr:rowOff>39756</xdr:rowOff>
    </xdr:from>
    <xdr:to>
      <xdr:col>5</xdr:col>
      <xdr:colOff>602312</xdr:colOff>
      <xdr:row>22</xdr:row>
      <xdr:rowOff>88458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FD863-D185-39A0-9F27-368E4F826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470452</xdr:colOff>
      <xdr:row>17</xdr:row>
      <xdr:rowOff>119270</xdr:rowOff>
    </xdr:from>
    <xdr:to>
      <xdr:col>6</xdr:col>
      <xdr:colOff>46382</xdr:colOff>
      <xdr:row>17</xdr:row>
      <xdr:rowOff>139148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CB813F-033C-31E7-416B-2D5EDE130490}"/>
            </a:ext>
          </a:extLst>
        </xdr:cNvPr>
        <xdr:cNvCxnSpPr/>
      </xdr:nvCxnSpPr>
      <xdr:spPr>
        <a:xfrm flipV="1">
          <a:off x="1080052" y="3273287"/>
          <a:ext cx="3273287" cy="19878"/>
        </a:xfrm>
        <a:prstGeom prst="line">
          <a:avLst/>
        </a:prstGeom>
        <a:ln w="12700">
          <a:solidFill>
            <a:srgbClr val="FFC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24582</xdr:colOff>
      <xdr:row>32</xdr:row>
      <xdr:rowOff>95045</xdr:rowOff>
    </xdr:from>
    <xdr:to>
      <xdr:col>14</xdr:col>
      <xdr:colOff>16388</xdr:colOff>
      <xdr:row>49</xdr:row>
      <xdr:rowOff>49161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D362FE-0B42-124E-0F5E-129A095582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4842" y="5947205"/>
              <a:ext cx="3870386" cy="3063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itbacin-my.sharepoint.com/personal/22b1243_iitb_ac_in/Documents/Desktop/Financial%20Modelling/Model/Relative%20Pricing%20Model%20Basics.xlsx" TargetMode="External"/><Relationship Id="rId1" Type="http://schemas.openxmlformats.org/officeDocument/2006/relationships/externalLinkPath" Target="Relative%20Pricing%20Model%20Bas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D3">
            <v>2194.6</v>
          </cell>
          <cell r="E3">
            <v>64468</v>
          </cell>
          <cell r="F3">
            <v>1478</v>
          </cell>
          <cell r="G3">
            <v>234.96</v>
          </cell>
          <cell r="H3">
            <v>3248</v>
          </cell>
          <cell r="J3">
            <v>14457</v>
          </cell>
          <cell r="K3">
            <v>1333</v>
          </cell>
          <cell r="L3">
            <v>15059</v>
          </cell>
        </row>
        <row r="4">
          <cell r="D4">
            <v>292.5</v>
          </cell>
          <cell r="E4">
            <v>78868.399999999994</v>
          </cell>
          <cell r="F4">
            <v>2399.06</v>
          </cell>
          <cell r="G4">
            <v>1252.95</v>
          </cell>
          <cell r="H4">
            <v>3008.79</v>
          </cell>
          <cell r="J4">
            <v>28410.26</v>
          </cell>
          <cell r="K4">
            <v>1710.53</v>
          </cell>
          <cell r="L4">
            <v>21018.15</v>
          </cell>
        </row>
        <row r="5">
          <cell r="D5">
            <v>1414.8</v>
          </cell>
          <cell r="E5">
            <v>23154.6</v>
          </cell>
          <cell r="F5">
            <v>444.16</v>
          </cell>
          <cell r="G5">
            <v>192.83</v>
          </cell>
          <cell r="H5">
            <v>1340.87</v>
          </cell>
          <cell r="J5">
            <v>4643.1899999999996</v>
          </cell>
          <cell r="K5">
            <v>699.23</v>
          </cell>
          <cell r="L5">
            <v>3544.6</v>
          </cell>
        </row>
        <row r="6">
          <cell r="D6">
            <v>529.5</v>
          </cell>
          <cell r="E6">
            <v>22692.63</v>
          </cell>
          <cell r="F6">
            <v>2508.1799999999998</v>
          </cell>
          <cell r="G6">
            <v>338.23</v>
          </cell>
          <cell r="H6">
            <v>1998.49</v>
          </cell>
          <cell r="J6">
            <v>4372.01</v>
          </cell>
          <cell r="K6">
            <v>1300.74</v>
          </cell>
          <cell r="L6">
            <v>3209.4</v>
          </cell>
        </row>
        <row r="7">
          <cell r="D7">
            <v>5195</v>
          </cell>
          <cell r="E7">
            <v>19151.59</v>
          </cell>
          <cell r="F7">
            <v>1380.28</v>
          </cell>
          <cell r="G7">
            <v>24.09</v>
          </cell>
          <cell r="H7">
            <v>352.44</v>
          </cell>
          <cell r="J7">
            <v>3401.54</v>
          </cell>
          <cell r="K7">
            <v>336.83</v>
          </cell>
          <cell r="L7">
            <v>2537.0100000000002</v>
          </cell>
        </row>
        <row r="8">
          <cell r="D8">
            <v>1111.5</v>
          </cell>
          <cell r="E8">
            <v>20290.43</v>
          </cell>
          <cell r="F8">
            <v>2819.51</v>
          </cell>
          <cell r="G8">
            <v>98.96</v>
          </cell>
          <cell r="H8">
            <v>3420.49</v>
          </cell>
          <cell r="J8">
            <v>2301.3200000000002</v>
          </cell>
          <cell r="K8">
            <v>626.67999999999995</v>
          </cell>
          <cell r="L8">
            <v>1546.8</v>
          </cell>
        </row>
        <row r="9">
          <cell r="D9">
            <v>817.05</v>
          </cell>
          <cell r="E9">
            <v>13611</v>
          </cell>
          <cell r="F9">
            <v>557</v>
          </cell>
          <cell r="G9">
            <v>129.84</v>
          </cell>
          <cell r="H9">
            <v>493</v>
          </cell>
          <cell r="J9">
            <v>2330</v>
          </cell>
          <cell r="K9">
            <v>202</v>
          </cell>
          <cell r="L9">
            <v>1813</v>
          </cell>
        </row>
        <row r="10">
          <cell r="D10">
            <v>1000.6</v>
          </cell>
          <cell r="E10">
            <v>15177.9</v>
          </cell>
          <cell r="F10">
            <v>4415.8100000000004</v>
          </cell>
          <cell r="G10">
            <v>102.32</v>
          </cell>
          <cell r="H10">
            <v>1005.41</v>
          </cell>
          <cell r="J10">
            <v>3154.88</v>
          </cell>
          <cell r="K10">
            <v>267.52999999999997</v>
          </cell>
          <cell r="L10">
            <v>1861.47</v>
          </cell>
        </row>
        <row r="11">
          <cell r="D11">
            <v>1320.5</v>
          </cell>
          <cell r="E11">
            <v>12467</v>
          </cell>
          <cell r="F11">
            <v>413</v>
          </cell>
          <cell r="G11">
            <v>72.739999999999995</v>
          </cell>
          <cell r="H11">
            <v>1977</v>
          </cell>
          <cell r="J11">
            <v>2468</v>
          </cell>
          <cell r="K11">
            <v>289</v>
          </cell>
          <cell r="L11">
            <v>1838</v>
          </cell>
        </row>
        <row r="12">
          <cell r="D12">
            <v>423.5</v>
          </cell>
          <cell r="E12">
            <v>13192.57</v>
          </cell>
          <cell r="F12">
            <v>1287.32</v>
          </cell>
          <cell r="G12">
            <v>177.4</v>
          </cell>
          <cell r="H12">
            <v>562.07000000000005</v>
          </cell>
          <cell r="J12">
            <v>2580.88</v>
          </cell>
          <cell r="K12">
            <v>468.93</v>
          </cell>
          <cell r="L12">
            <v>1868.69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M107"/>
  <sheetViews>
    <sheetView showGridLines="0" topLeftCell="B1" zoomScale="95" zoomScaleNormal="100" workbookViewId="0">
      <pane ySplit="3" topLeftCell="A63" activePane="bottomLeft" state="frozen"/>
      <selection pane="bottomLeft" activeCell="C81" sqref="C81"/>
    </sheetView>
  </sheetViews>
  <sheetFormatPr defaultRowHeight="14.4" x14ac:dyDescent="0.3"/>
  <cols>
    <col min="1" max="1" width="1.88671875" customWidth="1"/>
    <col min="2" max="2" width="28.44140625" bestFit="1" customWidth="1"/>
    <col min="3" max="13" width="13" customWidth="1"/>
  </cols>
  <sheetData>
    <row r="2" spans="1:13" x14ac:dyDescent="0.3">
      <c r="B2" s="118" t="str">
        <f>"Historical Financial Statement - "&amp;'Data Sheet'!B1</f>
        <v>Historical Financial Statement - ITC LTD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x14ac:dyDescent="0.3">
      <c r="B3" s="12" t="s">
        <v>56</v>
      </c>
      <c r="C3" s="13">
        <f>'Data Sheet'!B16</f>
        <v>42825</v>
      </c>
      <c r="D3" s="13">
        <f>'Data Sheet'!C16</f>
        <v>43190</v>
      </c>
      <c r="E3" s="13">
        <f>'Data Sheet'!D16</f>
        <v>43555</v>
      </c>
      <c r="F3" s="13">
        <f>'Data Sheet'!E16</f>
        <v>43921</v>
      </c>
      <c r="G3" s="13">
        <f>'Data Sheet'!F16</f>
        <v>44286</v>
      </c>
      <c r="H3" s="13">
        <f>'Data Sheet'!G16</f>
        <v>44651</v>
      </c>
      <c r="I3" s="13">
        <f>'Data Sheet'!H16</f>
        <v>45016</v>
      </c>
      <c r="J3" s="13">
        <f>'Data Sheet'!I16</f>
        <v>45382</v>
      </c>
      <c r="K3" s="13">
        <f>'Data Sheet'!J16</f>
        <v>45747</v>
      </c>
      <c r="L3" s="13">
        <f>'Data Sheet'!K16</f>
        <v>46112</v>
      </c>
      <c r="M3" s="14" t="s">
        <v>57</v>
      </c>
    </row>
    <row r="4" spans="1:13" x14ac:dyDescent="0.3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1:13" x14ac:dyDescent="0.3">
      <c r="A5" t="s">
        <v>59</v>
      </c>
      <c r="B5" s="26" t="s">
        <v>58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x14ac:dyDescent="0.3">
      <c r="B6" t="s">
        <v>12</v>
      </c>
      <c r="C6" s="16">
        <f>IFERROR('Data Sheet'!B17,0)</f>
        <v>42767.6</v>
      </c>
      <c r="D6" s="16">
        <f>IFERROR('Data Sheet'!C17,0)</f>
        <v>43448.94</v>
      </c>
      <c r="E6" s="16">
        <f>IFERROR('Data Sheet'!D17,0)</f>
        <v>48339.58</v>
      </c>
      <c r="F6" s="16">
        <f>IFERROR('Data Sheet'!E17,0)</f>
        <v>49387.7</v>
      </c>
      <c r="G6" s="16">
        <f>IFERROR('Data Sheet'!F17,0)</f>
        <v>49257.45</v>
      </c>
      <c r="H6" s="16">
        <f>IFERROR('Data Sheet'!G17,0)</f>
        <v>60644.54</v>
      </c>
      <c r="I6" s="16">
        <f>IFERROR('Data Sheet'!H17,0)</f>
        <v>70919.03</v>
      </c>
      <c r="J6" s="16">
        <f>IFERROR('Data Sheet'!I17,0)</f>
        <v>67931.94</v>
      </c>
      <c r="K6" s="16">
        <f>IFERROR('Data Sheet'!J17,0)</f>
        <v>75323.34</v>
      </c>
      <c r="L6" s="16">
        <f>IFERROR('Data Sheet'!K17,0)</f>
        <v>78868.399999999994</v>
      </c>
      <c r="M6" s="16">
        <f>IFERROR(SUM('Data Sheet'!H42:K42),0)</f>
        <v>78868.399999999994</v>
      </c>
    </row>
    <row r="7" spans="1:13" x14ac:dyDescent="0.3">
      <c r="B7" s="19" t="s">
        <v>60</v>
      </c>
      <c r="C7" s="20" t="s">
        <v>61</v>
      </c>
      <c r="D7" s="21">
        <f>D6/C6-1</f>
        <v>1.5931218960147486E-2</v>
      </c>
      <c r="E7" s="21">
        <f t="shared" ref="E7:M7" si="0">E6/D6-1</f>
        <v>0.11256062863673999</v>
      </c>
      <c r="F7" s="21">
        <f t="shared" si="0"/>
        <v>2.1682439110972673E-2</v>
      </c>
      <c r="G7" s="21">
        <f t="shared" si="0"/>
        <v>-2.6372963308678443E-3</v>
      </c>
      <c r="H7" s="21">
        <f t="shared" si="0"/>
        <v>0.23117497962237188</v>
      </c>
      <c r="I7" s="21">
        <f t="shared" si="0"/>
        <v>0.1694215175842706</v>
      </c>
      <c r="J7" s="21">
        <f t="shared" si="0"/>
        <v>-4.2119724423754779E-2</v>
      </c>
      <c r="K7" s="21">
        <f t="shared" si="0"/>
        <v>0.10880596078957838</v>
      </c>
      <c r="L7" s="21">
        <f t="shared" si="0"/>
        <v>4.7064561927285808E-2</v>
      </c>
      <c r="M7" s="21">
        <f t="shared" si="0"/>
        <v>0</v>
      </c>
    </row>
    <row r="9" spans="1:13" x14ac:dyDescent="0.3">
      <c r="B9" t="s">
        <v>62</v>
      </c>
      <c r="C9" s="16">
        <f>IFERROR(SUM('Data Sheet'!B18,'Data Sheet'!B20:B22)-1*'Data Sheet'!B19,0)</f>
        <v>21949.119999999999</v>
      </c>
      <c r="D9" s="16">
        <f>IFERROR(SUM('Data Sheet'!C18,'Data Sheet'!C20:C22)-1*'Data Sheet'!C19,0)</f>
        <v>21967.5</v>
      </c>
      <c r="E9" s="16">
        <f>IFERROR(SUM('Data Sheet'!D18,'Data Sheet'!D20:D22)-1*'Data Sheet'!D19,0)</f>
        <v>24215.95</v>
      </c>
      <c r="F9" s="16">
        <f>IFERROR(SUM('Data Sheet'!E18,'Data Sheet'!E20:E22)-1*'Data Sheet'!E19,0)</f>
        <v>24330.399999999998</v>
      </c>
      <c r="G9" s="16">
        <f>IFERROR(SUM('Data Sheet'!F18,'Data Sheet'!F20:F22)-1*'Data Sheet'!F19,0)</f>
        <v>26881.51</v>
      </c>
      <c r="H9" s="16">
        <f>IFERROR(SUM('Data Sheet'!G18,'Data Sheet'!G20:G22)-1*'Data Sheet'!G19,0)</f>
        <v>34053.060000000005</v>
      </c>
      <c r="I9" s="16">
        <f>IFERROR(SUM('Data Sheet'!H18,'Data Sheet'!H20:H22)-1*'Data Sheet'!H19,0)</f>
        <v>38302.130000000005</v>
      </c>
      <c r="J9" s="16">
        <f>IFERROR(SUM('Data Sheet'!I18,'Data Sheet'!I20:I22)-1*'Data Sheet'!I19,0)</f>
        <v>35665.990000000005</v>
      </c>
      <c r="K9" s="16">
        <f>IFERROR(SUM('Data Sheet'!J18,'Data Sheet'!J20:J22)-1*'Data Sheet'!J19,0)</f>
        <v>41469.21</v>
      </c>
      <c r="L9" s="16">
        <f>IFERROR(SUM('Data Sheet'!K18,'Data Sheet'!K20:K22)-1*'Data Sheet'!K19,0)</f>
        <v>39329.379999999997</v>
      </c>
      <c r="M9" s="16">
        <f>IFERROR(SUM('Data Sheet'!H43:K43),0)</f>
        <v>51550.490000000005</v>
      </c>
    </row>
    <row r="10" spans="1:13" x14ac:dyDescent="0.3">
      <c r="B10" s="19" t="s">
        <v>63</v>
      </c>
      <c r="C10" s="21">
        <f>C9/C6</f>
        <v>0.51321841768067411</v>
      </c>
      <c r="D10" s="21">
        <f t="shared" ref="D10:M10" si="1">D9/D6</f>
        <v>0.50559346211898382</v>
      </c>
      <c r="E10" s="21">
        <f t="shared" si="1"/>
        <v>0.50095491106873502</v>
      </c>
      <c r="F10" s="21">
        <f t="shared" si="1"/>
        <v>0.49264088021916386</v>
      </c>
      <c r="G10" s="21">
        <f t="shared" si="1"/>
        <v>0.54573490913557243</v>
      </c>
      <c r="H10" s="21">
        <f t="shared" si="1"/>
        <v>0.56151897598695621</v>
      </c>
      <c r="I10" s="21">
        <f t="shared" si="1"/>
        <v>0.54008254202010386</v>
      </c>
      <c r="J10" s="21">
        <f t="shared" si="1"/>
        <v>0.52502534154037117</v>
      </c>
      <c r="K10" s="21">
        <f t="shared" si="1"/>
        <v>0.55054927197864567</v>
      </c>
      <c r="L10" s="21">
        <f t="shared" si="1"/>
        <v>0.49867095059618299</v>
      </c>
      <c r="M10" s="21">
        <f t="shared" si="1"/>
        <v>0.65362667430808796</v>
      </c>
    </row>
    <row r="12" spans="1:13" x14ac:dyDescent="0.3">
      <c r="B12" t="s">
        <v>64</v>
      </c>
      <c r="C12" s="22">
        <f>C6-C9</f>
        <v>20818.48</v>
      </c>
      <c r="D12" s="22">
        <f t="shared" ref="D12:M12" si="2">D6-D9</f>
        <v>21481.440000000002</v>
      </c>
      <c r="E12" s="22">
        <f t="shared" si="2"/>
        <v>24123.63</v>
      </c>
      <c r="F12" s="22">
        <f t="shared" si="2"/>
        <v>25057.3</v>
      </c>
      <c r="G12" s="22">
        <f t="shared" si="2"/>
        <v>22375.94</v>
      </c>
      <c r="H12" s="22">
        <f t="shared" si="2"/>
        <v>26591.479999999996</v>
      </c>
      <c r="I12" s="22">
        <f t="shared" si="2"/>
        <v>32616.899999999994</v>
      </c>
      <c r="J12" s="22">
        <f t="shared" si="2"/>
        <v>32265.949999999997</v>
      </c>
      <c r="K12" s="22">
        <f t="shared" si="2"/>
        <v>33854.129999999997</v>
      </c>
      <c r="L12" s="22">
        <f t="shared" si="2"/>
        <v>39539.019999999997</v>
      </c>
      <c r="M12" s="22">
        <f t="shared" si="2"/>
        <v>27317.909999999989</v>
      </c>
    </row>
    <row r="13" spans="1:13" x14ac:dyDescent="0.3">
      <c r="B13" s="19" t="s">
        <v>70</v>
      </c>
      <c r="C13" s="21">
        <f>C12/C6</f>
        <v>0.48678158231932583</v>
      </c>
      <c r="D13" s="21">
        <f t="shared" ref="D13:M13" si="3">D12/D6</f>
        <v>0.49440653788101624</v>
      </c>
      <c r="E13" s="21">
        <f t="shared" si="3"/>
        <v>0.49904508893126504</v>
      </c>
      <c r="F13" s="21">
        <f t="shared" si="3"/>
        <v>0.50735911978083614</v>
      </c>
      <c r="G13" s="21">
        <f t="shared" si="3"/>
        <v>0.45426509086442762</v>
      </c>
      <c r="H13" s="21">
        <f t="shared" si="3"/>
        <v>0.43848102401304379</v>
      </c>
      <c r="I13" s="21">
        <f t="shared" si="3"/>
        <v>0.45991745797989614</v>
      </c>
      <c r="J13" s="21">
        <f t="shared" si="3"/>
        <v>0.47497465845962877</v>
      </c>
      <c r="K13" s="21">
        <f t="shared" si="3"/>
        <v>0.44945072802135433</v>
      </c>
      <c r="L13" s="21">
        <f t="shared" si="3"/>
        <v>0.50132904940381695</v>
      </c>
      <c r="M13" s="21">
        <f t="shared" si="3"/>
        <v>0.34637332569191198</v>
      </c>
    </row>
    <row r="15" spans="1:13" x14ac:dyDescent="0.3">
      <c r="B15" t="s">
        <v>65</v>
      </c>
      <c r="C15" s="22">
        <f>IFERROR(SUM('Data Sheet'!B23:B24),0)</f>
        <v>5348.9699999999993</v>
      </c>
      <c r="D15" s="22">
        <f>IFERROR(SUM('Data Sheet'!C23:C24),0)</f>
        <v>4960.8500000000004</v>
      </c>
      <c r="E15" s="22">
        <f>IFERROR(SUM('Data Sheet'!D23:D24),0)</f>
        <v>5586.24</v>
      </c>
      <c r="F15" s="22">
        <f>IFERROR(SUM('Data Sheet'!E23:E24),0)</f>
        <v>5713.76</v>
      </c>
      <c r="G15" s="22">
        <f>IFERROR(SUM('Data Sheet'!F23:F24),0)</f>
        <v>5311.1600000000008</v>
      </c>
      <c r="H15" s="22">
        <f>IFERROR(SUM('Data Sheet'!G23:G24),0)</f>
        <v>5968.33</v>
      </c>
      <c r="I15" s="22">
        <f>IFERROR(SUM('Data Sheet'!H23:H24),0)</f>
        <v>6912.6399999999994</v>
      </c>
      <c r="J15" s="22">
        <f>IFERROR(SUM('Data Sheet'!I23:I24),0)</f>
        <v>7078.42</v>
      </c>
      <c r="K15" s="22">
        <f>IFERROR(SUM('Data Sheet'!J23:J24),0)</f>
        <v>8014.68</v>
      </c>
      <c r="L15" s="22">
        <f>IFERROR(SUM('Data Sheet'!K23:K24),0)</f>
        <v>12221.11</v>
      </c>
      <c r="M15" s="22"/>
    </row>
    <row r="16" spans="1:13" x14ac:dyDescent="0.3">
      <c r="B16" s="19" t="s">
        <v>66</v>
      </c>
      <c r="C16" s="21">
        <f>C15/C6</f>
        <v>0.12507061420327537</v>
      </c>
      <c r="D16" s="21">
        <f t="shared" ref="D16:M16" si="4">D15/D6</f>
        <v>0.11417654838069698</v>
      </c>
      <c r="E16" s="21">
        <f t="shared" si="4"/>
        <v>0.11556244386070379</v>
      </c>
      <c r="F16" s="21">
        <f t="shared" si="4"/>
        <v>0.11569196378855465</v>
      </c>
      <c r="G16" s="21">
        <f t="shared" si="4"/>
        <v>0.10782450167436604</v>
      </c>
      <c r="H16" s="21">
        <f t="shared" si="4"/>
        <v>9.8414960357519399E-2</v>
      </c>
      <c r="I16" s="21">
        <f t="shared" si="4"/>
        <v>9.7472286352478302E-2</v>
      </c>
      <c r="J16" s="21">
        <f t="shared" si="4"/>
        <v>0.10419870240714456</v>
      </c>
      <c r="K16" s="21">
        <f t="shared" si="4"/>
        <v>0.10640367248717331</v>
      </c>
      <c r="L16" s="21">
        <f t="shared" si="4"/>
        <v>0.15495572371190491</v>
      </c>
      <c r="M16" s="21">
        <f t="shared" si="4"/>
        <v>0</v>
      </c>
    </row>
    <row r="18" spans="2:13" x14ac:dyDescent="0.3">
      <c r="B18" t="s">
        <v>28</v>
      </c>
      <c r="C18" s="22">
        <f t="shared" ref="C18:L18" si="5">C12-C15</f>
        <v>15469.51</v>
      </c>
      <c r="D18" s="22">
        <f t="shared" si="5"/>
        <v>16520.590000000004</v>
      </c>
      <c r="E18" s="22">
        <f t="shared" si="5"/>
        <v>18537.39</v>
      </c>
      <c r="F18" s="22">
        <f t="shared" si="5"/>
        <v>19343.54</v>
      </c>
      <c r="G18" s="22">
        <f t="shared" si="5"/>
        <v>17064.78</v>
      </c>
      <c r="H18" s="22">
        <f t="shared" si="5"/>
        <v>20623.149999999994</v>
      </c>
      <c r="I18" s="22">
        <f t="shared" si="5"/>
        <v>25704.259999999995</v>
      </c>
      <c r="J18" s="22">
        <f t="shared" si="5"/>
        <v>25187.53</v>
      </c>
      <c r="K18" s="22">
        <f t="shared" si="5"/>
        <v>25839.449999999997</v>
      </c>
      <c r="L18" s="22">
        <f t="shared" si="5"/>
        <v>27317.909999999996</v>
      </c>
      <c r="M18" s="22">
        <f>IFERROR(SUM('Data Sheet'!H51:K51),0)</f>
        <v>29500.41</v>
      </c>
    </row>
    <row r="19" spans="2:13" x14ac:dyDescent="0.3">
      <c r="B19" s="19" t="s">
        <v>67</v>
      </c>
      <c r="C19" s="21">
        <f>C18/C6</f>
        <v>0.36171096811605047</v>
      </c>
      <c r="D19" s="21">
        <f t="shared" ref="D19:M19" si="6">D18/D6</f>
        <v>0.38022998950031928</v>
      </c>
      <c r="E19" s="21">
        <f t="shared" si="6"/>
        <v>0.38348264507056118</v>
      </c>
      <c r="F19" s="21">
        <f t="shared" si="6"/>
        <v>0.39166715599228152</v>
      </c>
      <c r="G19" s="21">
        <f t="shared" si="6"/>
        <v>0.3464405891900616</v>
      </c>
      <c r="H19" s="21">
        <f t="shared" si="6"/>
        <v>0.34006606365552439</v>
      </c>
      <c r="I19" s="21">
        <f t="shared" si="6"/>
        <v>0.36244517162741785</v>
      </c>
      <c r="J19" s="21">
        <f t="shared" si="6"/>
        <v>0.37077595605248426</v>
      </c>
      <c r="K19" s="21">
        <f t="shared" si="6"/>
        <v>0.34304705553418102</v>
      </c>
      <c r="L19" s="21">
        <f t="shared" si="6"/>
        <v>0.34637332569191209</v>
      </c>
      <c r="M19" s="21">
        <f t="shared" si="6"/>
        <v>0.37404600575135294</v>
      </c>
    </row>
    <row r="21" spans="2:13" x14ac:dyDescent="0.3">
      <c r="B21" t="s">
        <v>22</v>
      </c>
      <c r="C21" s="22">
        <f>IFERROR('Data Sheet'!B27,0)</f>
        <v>49.03</v>
      </c>
      <c r="D21" s="22">
        <f>IFERROR('Data Sheet'!C27,0)</f>
        <v>115.01</v>
      </c>
      <c r="E21" s="22">
        <f>IFERROR('Data Sheet'!D27,0)</f>
        <v>71.400000000000006</v>
      </c>
      <c r="F21" s="22">
        <f>IFERROR('Data Sheet'!E27,0)</f>
        <v>81.38</v>
      </c>
      <c r="G21" s="22">
        <f>IFERROR('Data Sheet'!F27,0)</f>
        <v>57.97</v>
      </c>
      <c r="H21" s="22">
        <f>IFERROR('Data Sheet'!G27,0)</f>
        <v>59.99</v>
      </c>
      <c r="I21" s="22">
        <f>IFERROR('Data Sheet'!H27,0)</f>
        <v>77.77</v>
      </c>
      <c r="J21" s="22">
        <f>IFERROR('Data Sheet'!I27,0)</f>
        <v>39.11</v>
      </c>
      <c r="K21" s="22">
        <f>IFERROR('Data Sheet'!J27,0)</f>
        <v>45.06</v>
      </c>
      <c r="L21" s="22">
        <f>IFERROR('Data Sheet'!K27,0)</f>
        <v>85.17</v>
      </c>
      <c r="M21" s="22">
        <f>IFERROR(SUM('Data Sheet'!H46:K46),0)</f>
        <v>85.169999999999987</v>
      </c>
    </row>
    <row r="22" spans="2:13" x14ac:dyDescent="0.3">
      <c r="B22" s="19" t="s">
        <v>68</v>
      </c>
      <c r="C22" s="21">
        <f>C21/C6</f>
        <v>1.146428604831695E-3</v>
      </c>
      <c r="D22" s="21">
        <f t="shared" ref="D22:M22" si="7">D21/D6</f>
        <v>2.647015094039118E-3</v>
      </c>
      <c r="E22" s="21">
        <f t="shared" si="7"/>
        <v>1.4770504832685763E-3</v>
      </c>
      <c r="F22" s="21">
        <f t="shared" si="7"/>
        <v>1.647778697934911E-3</v>
      </c>
      <c r="G22" s="21">
        <f t="shared" si="7"/>
        <v>1.1768778123918311E-3</v>
      </c>
      <c r="H22" s="21">
        <f t="shared" si="7"/>
        <v>9.8920694262006107E-4</v>
      </c>
      <c r="I22" s="21">
        <f t="shared" si="7"/>
        <v>1.0966027031108574E-3</v>
      </c>
      <c r="J22" s="21">
        <f t="shared" si="7"/>
        <v>5.7572329010477244E-4</v>
      </c>
      <c r="K22" s="21">
        <f t="shared" si="7"/>
        <v>5.9822094984104534E-4</v>
      </c>
      <c r="L22" s="21">
        <f t="shared" si="7"/>
        <v>1.0799001881615451E-3</v>
      </c>
      <c r="M22" s="21">
        <f t="shared" si="7"/>
        <v>1.0799001881615449E-3</v>
      </c>
    </row>
    <row r="24" spans="2:13" x14ac:dyDescent="0.3">
      <c r="B24" t="s">
        <v>21</v>
      </c>
      <c r="C24" s="22">
        <f>IFERROR('Data Sheet'!B26,0)</f>
        <v>1152.79</v>
      </c>
      <c r="D24" s="22">
        <f>IFERROR('Data Sheet'!C26,0)</f>
        <v>1236.28</v>
      </c>
      <c r="E24" s="22">
        <f>IFERROR('Data Sheet'!D26,0)</f>
        <v>1396.61</v>
      </c>
      <c r="F24" s="22">
        <f>IFERROR('Data Sheet'!E26,0)</f>
        <v>1644.91</v>
      </c>
      <c r="G24" s="22">
        <f>IFERROR('Data Sheet'!F26,0)</f>
        <v>1645.59</v>
      </c>
      <c r="H24" s="22">
        <f>IFERROR('Data Sheet'!G26,0)</f>
        <v>1732.41</v>
      </c>
      <c r="I24" s="22">
        <f>IFERROR('Data Sheet'!H26,0)</f>
        <v>1809.01</v>
      </c>
      <c r="J24" s="22">
        <f>IFERROR('Data Sheet'!I26,0)</f>
        <v>1518.05</v>
      </c>
      <c r="K24" s="22">
        <f>IFERROR('Data Sheet'!J26,0)</f>
        <v>1646.32</v>
      </c>
      <c r="L24" s="22">
        <f>IFERROR('Data Sheet'!K26,0)</f>
        <v>1710.53</v>
      </c>
      <c r="M24" s="22">
        <f>IFERROR(SUM('Data Sheet'!H45:K45),0)</f>
        <v>1710.53</v>
      </c>
    </row>
    <row r="25" spans="2:13" x14ac:dyDescent="0.3">
      <c r="B25" s="19" t="s">
        <v>69</v>
      </c>
      <c r="C25" s="21">
        <f>C24/C6</f>
        <v>2.6954750792656124E-2</v>
      </c>
      <c r="D25" s="21">
        <f t="shared" ref="D25:M25" si="8">D24/D6</f>
        <v>2.845362855802696E-2</v>
      </c>
      <c r="E25" s="21">
        <f t="shared" si="8"/>
        <v>2.8891645314253867E-2</v>
      </c>
      <c r="F25" s="21">
        <f t="shared" si="8"/>
        <v>3.3306066085280348E-2</v>
      </c>
      <c r="G25" s="21">
        <f t="shared" si="8"/>
        <v>3.3407941336792708E-2</v>
      </c>
      <c r="H25" s="21">
        <f t="shared" si="8"/>
        <v>2.8566627762367396E-2</v>
      </c>
      <c r="I25" s="21">
        <f t="shared" si="8"/>
        <v>2.550810410125463E-2</v>
      </c>
      <c r="J25" s="21">
        <f t="shared" si="8"/>
        <v>2.2346631054552542E-2</v>
      </c>
      <c r="K25" s="21">
        <f t="shared" si="8"/>
        <v>2.1856704707996222E-2</v>
      </c>
      <c r="L25" s="21">
        <f t="shared" si="8"/>
        <v>2.1688407524433108E-2</v>
      </c>
      <c r="M25" s="21">
        <f t="shared" si="8"/>
        <v>2.1688407524433108E-2</v>
      </c>
    </row>
    <row r="27" spans="2:13" x14ac:dyDescent="0.3">
      <c r="B27" t="s">
        <v>71</v>
      </c>
      <c r="C27" s="22">
        <f>IFERROR(C18-SUM(C24,C21),0)</f>
        <v>14267.69</v>
      </c>
      <c r="D27" s="22">
        <f t="shared" ref="D27:M27" si="9">IFERROR(D18-SUM(D24,D21),0)</f>
        <v>15169.300000000003</v>
      </c>
      <c r="E27" s="22">
        <f t="shared" si="9"/>
        <v>17069.38</v>
      </c>
      <c r="F27" s="22">
        <f t="shared" si="9"/>
        <v>17617.25</v>
      </c>
      <c r="G27" s="22">
        <f t="shared" si="9"/>
        <v>15361.22</v>
      </c>
      <c r="H27" s="22">
        <f t="shared" si="9"/>
        <v>18830.749999999993</v>
      </c>
      <c r="I27" s="16">
        <f t="shared" si="9"/>
        <v>23817.479999999996</v>
      </c>
      <c r="J27" s="16">
        <f t="shared" si="9"/>
        <v>23630.37</v>
      </c>
      <c r="K27" s="16">
        <f t="shared" si="9"/>
        <v>24148.069999999996</v>
      </c>
      <c r="L27" s="16">
        <f t="shared" si="9"/>
        <v>25522.209999999995</v>
      </c>
      <c r="M27" s="16">
        <f t="shared" si="9"/>
        <v>27704.71</v>
      </c>
    </row>
    <row r="28" spans="2:13" x14ac:dyDescent="0.3">
      <c r="B28" s="19" t="s">
        <v>72</v>
      </c>
      <c r="C28" s="21">
        <f>C27/C6</f>
        <v>0.33360978871856267</v>
      </c>
      <c r="D28" s="21">
        <f t="shared" ref="D28:M28" si="10">D27/D6</f>
        <v>0.34912934584825317</v>
      </c>
      <c r="E28" s="21">
        <f t="shared" si="10"/>
        <v>0.3531139492730388</v>
      </c>
      <c r="F28" s="21">
        <f t="shared" si="10"/>
        <v>0.35671331120906624</v>
      </c>
      <c r="G28" s="21">
        <f t="shared" si="10"/>
        <v>0.31185577004087706</v>
      </c>
      <c r="H28" s="21">
        <f t="shared" si="10"/>
        <v>0.31051022895053687</v>
      </c>
      <c r="I28" s="21">
        <f t="shared" si="10"/>
        <v>0.33584046482305235</v>
      </c>
      <c r="J28" s="21">
        <f t="shared" si="10"/>
        <v>0.34785360170782698</v>
      </c>
      <c r="K28" s="21">
        <f t="shared" si="10"/>
        <v>0.32059212987634372</v>
      </c>
      <c r="L28" s="21">
        <f t="shared" si="10"/>
        <v>0.3236050179793174</v>
      </c>
      <c r="M28" s="21">
        <f t="shared" si="10"/>
        <v>0.35127769803875825</v>
      </c>
    </row>
    <row r="30" spans="2:13" x14ac:dyDescent="0.3">
      <c r="B30" t="s">
        <v>24</v>
      </c>
      <c r="C30" s="16">
        <f>IFERROR('Data Sheet'!B29,0)</f>
        <v>5549.09</v>
      </c>
      <c r="D30" s="16">
        <f>IFERROR('Data Sheet'!C29,0)</f>
        <v>5916.43</v>
      </c>
      <c r="E30" s="16">
        <f>IFERROR('Data Sheet'!D29,0)</f>
        <v>6313.92</v>
      </c>
      <c r="F30" s="16">
        <f>IFERROR('Data Sheet'!E29,0)</f>
        <v>4441.79</v>
      </c>
      <c r="G30" s="16">
        <f>IFERROR('Data Sheet'!F29,0)</f>
        <v>4555.29</v>
      </c>
      <c r="H30" s="16">
        <f>IFERROR('Data Sheet'!G29,0)</f>
        <v>5237.34</v>
      </c>
      <c r="I30" s="16">
        <f>IFERROR('Data Sheet'!H29,0)</f>
        <v>6438.4</v>
      </c>
      <c r="J30" s="16">
        <f>IFERROR('Data Sheet'!I29,0)</f>
        <v>6209.46</v>
      </c>
      <c r="K30" s="16">
        <f>IFERROR('Data Sheet'!J29,0)</f>
        <v>6890.47</v>
      </c>
      <c r="L30" s="16">
        <f>IFERROR('Data Sheet'!K29,0)</f>
        <v>7015.24</v>
      </c>
      <c r="M30" s="16">
        <f>IFERROR(SUM('Data Sheet'!H48:K48),0)</f>
        <v>7015.2400000000007</v>
      </c>
    </row>
    <row r="31" spans="2:13" x14ac:dyDescent="0.3">
      <c r="B31" s="19" t="s">
        <v>27</v>
      </c>
      <c r="C31" s="21">
        <f>C30/C27</f>
        <v>0.3889270092075171</v>
      </c>
      <c r="D31" s="21">
        <f t="shared" ref="D31:M31" si="11">D30/D27</f>
        <v>0.3900265668158715</v>
      </c>
      <c r="E31" s="21">
        <f t="shared" si="11"/>
        <v>0.36989744208635578</v>
      </c>
      <c r="F31" s="21">
        <f t="shared" si="11"/>
        <v>0.25212731839532276</v>
      </c>
      <c r="G31" s="21">
        <f t="shared" si="11"/>
        <v>0.29654480568600672</v>
      </c>
      <c r="H31" s="21">
        <f t="shared" si="11"/>
        <v>0.27812699972120081</v>
      </c>
      <c r="I31" s="21">
        <f t="shared" si="11"/>
        <v>0.27032246904374435</v>
      </c>
      <c r="J31" s="21">
        <f t="shared" si="11"/>
        <v>0.2627745566404589</v>
      </c>
      <c r="K31" s="21">
        <f t="shared" si="11"/>
        <v>0.28534247250401384</v>
      </c>
      <c r="L31" s="21">
        <f t="shared" si="11"/>
        <v>0.27486804630163303</v>
      </c>
      <c r="M31" s="21">
        <f t="shared" si="11"/>
        <v>0.25321470609149133</v>
      </c>
    </row>
    <row r="33" spans="1:13" x14ac:dyDescent="0.3">
      <c r="B33" t="s">
        <v>73</v>
      </c>
      <c r="C33" s="16">
        <f>IFERROR(C27-C30,0)</f>
        <v>8718.6</v>
      </c>
      <c r="D33" s="16">
        <f t="shared" ref="D33:M33" si="12">IFERROR(D27-D30,0)</f>
        <v>9252.8700000000026</v>
      </c>
      <c r="E33" s="16">
        <f t="shared" si="12"/>
        <v>10755.460000000001</v>
      </c>
      <c r="F33" s="16">
        <f t="shared" si="12"/>
        <v>13175.46</v>
      </c>
      <c r="G33" s="16">
        <f t="shared" si="12"/>
        <v>10805.93</v>
      </c>
      <c r="H33" s="16">
        <f t="shared" si="12"/>
        <v>13593.409999999993</v>
      </c>
      <c r="I33" s="16">
        <f t="shared" si="12"/>
        <v>17379.079999999994</v>
      </c>
      <c r="J33" s="16">
        <f t="shared" si="12"/>
        <v>17420.91</v>
      </c>
      <c r="K33" s="16">
        <f t="shared" si="12"/>
        <v>17257.599999999995</v>
      </c>
      <c r="L33" s="16">
        <f t="shared" si="12"/>
        <v>18506.969999999994</v>
      </c>
      <c r="M33" s="16">
        <f t="shared" si="12"/>
        <v>20689.469999999998</v>
      </c>
    </row>
    <row r="34" spans="1:13" x14ac:dyDescent="0.3">
      <c r="B34" s="19" t="s">
        <v>74</v>
      </c>
      <c r="C34" s="21">
        <f>C33/C6</f>
        <v>0.20385993134990041</v>
      </c>
      <c r="D34" s="21">
        <f t="shared" ref="D34:M34" si="13">D33/D6</f>
        <v>0.21295962571238797</v>
      </c>
      <c r="E34" s="21">
        <f t="shared" si="13"/>
        <v>0.22249800267193054</v>
      </c>
      <c r="F34" s="21">
        <f t="shared" si="13"/>
        <v>0.26677614061800814</v>
      </c>
      <c r="G34" s="21">
        <f t="shared" si="13"/>
        <v>0.21937656131204519</v>
      </c>
      <c r="H34" s="21">
        <f t="shared" si="13"/>
        <v>0.2241489505897809</v>
      </c>
      <c r="I34" s="21">
        <f t="shared" si="13"/>
        <v>0.24505524116728605</v>
      </c>
      <c r="J34" s="21">
        <f t="shared" si="13"/>
        <v>0.25644652574326599</v>
      </c>
      <c r="K34" s="21">
        <f t="shared" si="13"/>
        <v>0.22911357887209988</v>
      </c>
      <c r="L34" s="21">
        <f t="shared" si="13"/>
        <v>0.23465633891393758</v>
      </c>
      <c r="M34" s="21">
        <f t="shared" si="13"/>
        <v>0.2623290189733784</v>
      </c>
    </row>
    <row r="36" spans="1:13" x14ac:dyDescent="0.3">
      <c r="B36" t="s">
        <v>75</v>
      </c>
      <c r="C36">
        <f>IFERROR('Data Sheet'!B93,0)</f>
        <v>1214.74</v>
      </c>
      <c r="D36">
        <f>IFERROR('Data Sheet'!C93,0)</f>
        <v>1220.43</v>
      </c>
      <c r="E36">
        <f>IFERROR('Data Sheet'!D93,0)</f>
        <v>1225.8599999999999</v>
      </c>
      <c r="F36">
        <f>IFERROR('Data Sheet'!E93,0)</f>
        <v>1229.22</v>
      </c>
      <c r="G36">
        <f>IFERROR('Data Sheet'!F93,0)</f>
        <v>1230.8800000000001</v>
      </c>
      <c r="H36">
        <f>IFERROR('Data Sheet'!G93,0)</f>
        <v>1232.33</v>
      </c>
      <c r="I36">
        <f>IFERROR('Data Sheet'!H93,0)</f>
        <v>1242.8</v>
      </c>
      <c r="J36">
        <f>IFERROR('Data Sheet'!I93,0)</f>
        <v>1248.47</v>
      </c>
      <c r="K36">
        <f>IFERROR('Data Sheet'!J93,0)</f>
        <v>1251.4100000000001</v>
      </c>
      <c r="L36">
        <f>IFERROR('Data Sheet'!K93,0)</f>
        <v>1252.95</v>
      </c>
      <c r="M36">
        <f>L36</f>
        <v>1252.95</v>
      </c>
    </row>
    <row r="37" spans="1:13" x14ac:dyDescent="0.3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">
      <c r="B38" t="s">
        <v>77</v>
      </c>
      <c r="C38" s="22">
        <f>IFERROR(C33/C36,0)</f>
        <v>7.1773383604722003</v>
      </c>
      <c r="D38" s="22">
        <f t="shared" ref="D38:M38" si="14">IFERROR(D33/D36,0)</f>
        <v>7.5816474521275303</v>
      </c>
      <c r="E38" s="22">
        <f t="shared" si="14"/>
        <v>8.7738077757655866</v>
      </c>
      <c r="F38" s="22">
        <f t="shared" si="14"/>
        <v>10.718553228876848</v>
      </c>
      <c r="G38" s="22">
        <f t="shared" si="14"/>
        <v>8.7790280124788769</v>
      </c>
      <c r="H38" s="22">
        <f t="shared" si="14"/>
        <v>11.030657372619341</v>
      </c>
      <c r="I38" s="22">
        <f t="shared" si="14"/>
        <v>13.983810749919533</v>
      </c>
      <c r="J38" s="22">
        <f t="shared" si="14"/>
        <v>13.953807460331445</v>
      </c>
      <c r="K38" s="22">
        <f t="shared" si="14"/>
        <v>13.790524288602452</v>
      </c>
      <c r="L38" s="22">
        <f t="shared" si="14"/>
        <v>14.770717107625996</v>
      </c>
      <c r="M38" s="22">
        <f t="shared" si="14"/>
        <v>16.512606249251764</v>
      </c>
    </row>
    <row r="39" spans="1:13" x14ac:dyDescent="0.3">
      <c r="B39" s="19" t="s">
        <v>78</v>
      </c>
      <c r="C39" s="21"/>
      <c r="D39" s="21">
        <f>IFERROR(D38/C38-1,0)</f>
        <v>5.633134058190481E-2</v>
      </c>
      <c r="E39" s="21">
        <f t="shared" ref="E39:M39" si="15">IFERROR(E38/D38-1,0)</f>
        <v>0.15724291206702268</v>
      </c>
      <c r="F39" s="21">
        <f t="shared" si="15"/>
        <v>0.22165352864042731</v>
      </c>
      <c r="G39" s="21">
        <f t="shared" si="15"/>
        <v>-0.18095028078721465</v>
      </c>
      <c r="H39" s="21">
        <f t="shared" si="15"/>
        <v>0.25647820657821163</v>
      </c>
      <c r="I39" s="21">
        <f t="shared" si="15"/>
        <v>0.26772233762156428</v>
      </c>
      <c r="J39" s="21">
        <f t="shared" si="15"/>
        <v>-2.1455732006571138E-3</v>
      </c>
      <c r="K39" s="21">
        <f t="shared" si="15"/>
        <v>-1.1701693046373363E-2</v>
      </c>
      <c r="L39" s="21">
        <f t="shared" si="15"/>
        <v>7.1077270052281483E-2</v>
      </c>
      <c r="M39" s="21">
        <f t="shared" si="15"/>
        <v>0.11792854259773522</v>
      </c>
    </row>
    <row r="41" spans="1:13" x14ac:dyDescent="0.3">
      <c r="B41" t="s">
        <v>76</v>
      </c>
      <c r="C41" s="16">
        <f>IFERROR('Data Sheet'!B31/HistoricalFS!C36,0)</f>
        <v>4.7500041161071511</v>
      </c>
      <c r="D41" s="16">
        <f>IFERROR('Data Sheet'!C31/HistoricalFS!D36,0)</f>
        <v>5.1499963127750057</v>
      </c>
      <c r="E41" s="16">
        <f>IFERROR('Data Sheet'!D31/HistoricalFS!E36,0)</f>
        <v>5.7500040787691908</v>
      </c>
      <c r="F41" s="16">
        <f>IFERROR('Data Sheet'!E31/HistoricalFS!F36,0)</f>
        <v>10.149997559427929</v>
      </c>
      <c r="G41" s="16">
        <f>IFERROR('Data Sheet'!F31/HistoricalFS!G36,0)</f>
        <v>10.749999999999998</v>
      </c>
      <c r="H41" s="16">
        <f>IFERROR('Data Sheet'!G31/HistoricalFS!H36,0)</f>
        <v>11.500004057354767</v>
      </c>
      <c r="I41" s="16">
        <f>IFERROR('Data Sheet'!H31/HistoricalFS!I36,0)</f>
        <v>15.500000000000002</v>
      </c>
      <c r="J41" s="16">
        <f>IFERROR('Data Sheet'!I31/HistoricalFS!J36,0)</f>
        <v>13.749997997548999</v>
      </c>
      <c r="K41" s="16">
        <f>IFERROR('Data Sheet'!J31/HistoricalFS!K36,0)</f>
        <v>14.349997203154841</v>
      </c>
      <c r="L41" s="16">
        <f>IFERROR('Data Sheet'!K31/HistoricalFS!L36,0)</f>
        <v>14.500003990582224</v>
      </c>
      <c r="M41" s="16">
        <f>IFERROR('Data Sheet'!L31/HistoricalFS!M36,0)</f>
        <v>0</v>
      </c>
    </row>
    <row r="42" spans="1:13" x14ac:dyDescent="0.3">
      <c r="B42" s="19" t="s">
        <v>79</v>
      </c>
      <c r="C42" s="21">
        <f>IFERROR(C41/C38,0)</f>
        <v>0.66180579450829269</v>
      </c>
      <c r="D42" s="21">
        <f t="shared" ref="D42:M42" si="16">IFERROR(D41/D38,0)</f>
        <v>0.67927140443991962</v>
      </c>
      <c r="E42" s="21">
        <f t="shared" si="16"/>
        <v>0.65536016125763097</v>
      </c>
      <c r="F42" s="21">
        <f t="shared" si="16"/>
        <v>0.94695593170940517</v>
      </c>
      <c r="G42" s="21">
        <f t="shared" si="16"/>
        <v>1.2245091352618422</v>
      </c>
      <c r="H42" s="21">
        <f t="shared" si="16"/>
        <v>1.0425492941064831</v>
      </c>
      <c r="I42" s="21">
        <f t="shared" si="16"/>
        <v>1.108424611659536</v>
      </c>
      <c r="J42" s="21">
        <f t="shared" si="16"/>
        <v>0.98539398917737353</v>
      </c>
      <c r="K42" s="21">
        <f t="shared" si="16"/>
        <v>1.040569372334508</v>
      </c>
      <c r="L42" s="21">
        <f t="shared" si="16"/>
        <v>0.98167231048626569</v>
      </c>
      <c r="M42" s="21">
        <f t="shared" si="16"/>
        <v>0</v>
      </c>
    </row>
    <row r="44" spans="1:13" x14ac:dyDescent="0.3">
      <c r="B44" t="s">
        <v>80</v>
      </c>
      <c r="C44" s="17">
        <f>IFERROR(IF(C38&gt;C41,1-C42,0),0)</f>
        <v>0.33819420549170731</v>
      </c>
      <c r="D44" s="17">
        <f t="shared" ref="D44:M44" si="17">IFERROR(IF(D38&gt;D41,1-D42,0),0)</f>
        <v>0.32072859556008038</v>
      </c>
      <c r="E44" s="17">
        <f t="shared" si="17"/>
        <v>0.34463983874236903</v>
      </c>
      <c r="F44" s="17">
        <f t="shared" si="17"/>
        <v>5.3044068290594826E-2</v>
      </c>
      <c r="G44" s="17">
        <f t="shared" si="17"/>
        <v>0</v>
      </c>
      <c r="H44" s="17">
        <f t="shared" si="17"/>
        <v>0</v>
      </c>
      <c r="I44" s="17">
        <f t="shared" si="17"/>
        <v>0</v>
      </c>
      <c r="J44" s="17">
        <f t="shared" si="17"/>
        <v>1.460601082262647E-2</v>
      </c>
      <c r="K44" s="17">
        <f t="shared" si="17"/>
        <v>0</v>
      </c>
      <c r="L44" s="17">
        <f t="shared" si="17"/>
        <v>1.8327689513734313E-2</v>
      </c>
      <c r="M44" s="17">
        <f t="shared" si="17"/>
        <v>1</v>
      </c>
    </row>
    <row r="46" spans="1:13" x14ac:dyDescent="0.3">
      <c r="A46" t="s">
        <v>59</v>
      </c>
      <c r="B46" s="26" t="s">
        <v>81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x14ac:dyDescent="0.3">
      <c r="B47" t="s">
        <v>33</v>
      </c>
      <c r="C47" s="16">
        <f>IFERROR('Data Sheet'!B57,0)</f>
        <v>1214.74</v>
      </c>
      <c r="D47" s="16">
        <f>IFERROR('Data Sheet'!C57,0)</f>
        <v>1220.43</v>
      </c>
      <c r="E47" s="16">
        <f>IFERROR('Data Sheet'!D57,0)</f>
        <v>1225.8599999999999</v>
      </c>
      <c r="F47" s="16">
        <f>IFERROR('Data Sheet'!E57,0)</f>
        <v>1229.22</v>
      </c>
      <c r="G47" s="16">
        <f>IFERROR('Data Sheet'!F57,0)</f>
        <v>1230.8800000000001</v>
      </c>
      <c r="H47" s="16">
        <f>IFERROR('Data Sheet'!G57,0)</f>
        <v>1232.33</v>
      </c>
      <c r="I47" s="16">
        <f>IFERROR('Data Sheet'!H57,0)</f>
        <v>1242.8</v>
      </c>
      <c r="J47" s="16">
        <f>IFERROR('Data Sheet'!I57,0)</f>
        <v>1248.47</v>
      </c>
      <c r="K47" s="16">
        <f>IFERROR('Data Sheet'!J57,0)</f>
        <v>1251.4100000000001</v>
      </c>
      <c r="L47" s="16">
        <f>IFERROR('Data Sheet'!K57,0)</f>
        <v>1252.95</v>
      </c>
    </row>
    <row r="48" spans="1:13" x14ac:dyDescent="0.3">
      <c r="B48" t="s">
        <v>34</v>
      </c>
      <c r="C48" s="16">
        <f>IFERROR('Data Sheet'!B58,0)</f>
        <v>45198.19</v>
      </c>
      <c r="D48" s="16">
        <f>IFERROR('Data Sheet'!C58,0)</f>
        <v>51289.68</v>
      </c>
      <c r="E48" s="16">
        <f>IFERROR('Data Sheet'!D58,0)</f>
        <v>57915.01</v>
      </c>
      <c r="F48" s="16">
        <f>IFERROR('Data Sheet'!E58,0)</f>
        <v>64044.04</v>
      </c>
      <c r="G48" s="16">
        <f>IFERROR('Data Sheet'!F58,0)</f>
        <v>59116.46</v>
      </c>
      <c r="H48" s="16">
        <f>IFERROR('Data Sheet'!G58,0)</f>
        <v>61223.24</v>
      </c>
      <c r="I48" s="16">
        <f>IFERROR('Data Sheet'!H58,0)</f>
        <v>67912.460000000006</v>
      </c>
      <c r="J48" s="16">
        <f>IFERROR('Data Sheet'!I58,0)</f>
        <v>73258.53</v>
      </c>
      <c r="K48" s="16">
        <f>IFERROR('Data Sheet'!J58,0)</f>
        <v>68778.64</v>
      </c>
      <c r="L48" s="16">
        <f>IFERROR('Data Sheet'!K58,0)</f>
        <v>71254.350000000006</v>
      </c>
    </row>
    <row r="49" spans="2:13" x14ac:dyDescent="0.3">
      <c r="B49" t="s">
        <v>35</v>
      </c>
      <c r="C49" s="16">
        <f>IFERROR('Data Sheet'!B59,0)</f>
        <v>45.72</v>
      </c>
      <c r="D49" s="16">
        <f>IFERROR('Data Sheet'!C59,0)</f>
        <v>35.92</v>
      </c>
      <c r="E49" s="16">
        <f>IFERROR('Data Sheet'!D59,0)</f>
        <v>13.44</v>
      </c>
      <c r="F49" s="16">
        <f>IFERROR('Data Sheet'!E59,0)</f>
        <v>277.45</v>
      </c>
      <c r="G49" s="16">
        <f>IFERROR('Data Sheet'!F59,0)</f>
        <v>270.83</v>
      </c>
      <c r="H49" s="16">
        <f>IFERROR('Data Sheet'!G59,0)</f>
        <v>249.44</v>
      </c>
      <c r="I49" s="16">
        <f>IFERROR('Data Sheet'!H59,0)</f>
        <v>306.04000000000002</v>
      </c>
      <c r="J49" s="16">
        <f>IFERROR('Data Sheet'!I59,0)</f>
        <v>303.43</v>
      </c>
      <c r="K49" s="16">
        <f>IFERROR('Data Sheet'!J59,0)</f>
        <v>284.54000000000002</v>
      </c>
      <c r="L49" s="16">
        <f>IFERROR('Data Sheet'!K59,0)</f>
        <v>2399.06</v>
      </c>
    </row>
    <row r="50" spans="2:13" x14ac:dyDescent="0.3">
      <c r="B50" t="s">
        <v>36</v>
      </c>
      <c r="C50" s="16">
        <f>IFERROR('Data Sheet'!B60,0)</f>
        <v>9439.67</v>
      </c>
      <c r="D50" s="16">
        <f>IFERROR('Data Sheet'!C60,0)</f>
        <v>11694.85</v>
      </c>
      <c r="E50" s="16">
        <f>IFERROR('Data Sheet'!D60,0)</f>
        <v>12584.73</v>
      </c>
      <c r="F50" s="16">
        <f>IFERROR('Data Sheet'!E60,0)</f>
        <v>11760.04</v>
      </c>
      <c r="G50" s="16">
        <f>IFERROR('Data Sheet'!F60,0)</f>
        <v>13142.59</v>
      </c>
      <c r="H50" s="16">
        <f>IFERROR('Data Sheet'!G60,0)</f>
        <v>14491.01</v>
      </c>
      <c r="I50" s="16">
        <f>IFERROR('Data Sheet'!H60,0)</f>
        <v>16369.66</v>
      </c>
      <c r="J50" s="16">
        <f>IFERROR('Data Sheet'!I60,0)</f>
        <v>16943.54</v>
      </c>
      <c r="K50" s="16">
        <f>IFERROR('Data Sheet'!J60,0)</f>
        <v>17688.11</v>
      </c>
      <c r="L50" s="16">
        <f>IFERROR('Data Sheet'!K60,0)</f>
        <v>18886.02</v>
      </c>
    </row>
    <row r="51" spans="2:13" x14ac:dyDescent="0.3">
      <c r="B51" s="15" t="s">
        <v>82</v>
      </c>
      <c r="C51" s="28">
        <f>IFERROR('Data Sheet'!B61,0)</f>
        <v>55898.32</v>
      </c>
      <c r="D51" s="28">
        <f>IFERROR('Data Sheet'!C61,0)</f>
        <v>64240.88</v>
      </c>
      <c r="E51" s="28">
        <f>IFERROR('Data Sheet'!D61,0)</f>
        <v>71739.039999999994</v>
      </c>
      <c r="F51" s="28">
        <f>IFERROR('Data Sheet'!E61,0)</f>
        <v>77310.75</v>
      </c>
      <c r="G51" s="28">
        <f>IFERROR('Data Sheet'!F61,0)</f>
        <v>73760.759999999995</v>
      </c>
      <c r="H51" s="28">
        <f>IFERROR('Data Sheet'!G61,0)</f>
        <v>77196.02</v>
      </c>
      <c r="I51" s="28">
        <f>IFERROR('Data Sheet'!H61,0)</f>
        <v>85830.96</v>
      </c>
      <c r="J51" s="28">
        <f>IFERROR('Data Sheet'!I61,0)</f>
        <v>91753.97</v>
      </c>
      <c r="K51" s="28">
        <f>IFERROR('Data Sheet'!J61,0)</f>
        <v>88002.7</v>
      </c>
      <c r="L51" s="28">
        <f>IFERROR('Data Sheet'!K61,0)</f>
        <v>93792.38</v>
      </c>
      <c r="M51" s="15"/>
    </row>
    <row r="53" spans="2:13" x14ac:dyDescent="0.3">
      <c r="B53" t="s">
        <v>83</v>
      </c>
      <c r="C53" s="16">
        <f>IFERROR('Data Sheet'!B62,0)</f>
        <v>15893.48</v>
      </c>
      <c r="D53" s="16">
        <f>IFERROR('Data Sheet'!C62,0)</f>
        <v>16523.96</v>
      </c>
      <c r="E53" s="16">
        <f>IFERROR('Data Sheet'!D62,0)</f>
        <v>19374.189999999999</v>
      </c>
      <c r="F53" s="16">
        <f>IFERROR('Data Sheet'!E62,0)</f>
        <v>21713.34</v>
      </c>
      <c r="G53" s="16">
        <f>IFERROR('Data Sheet'!F62,0)</f>
        <v>23298.48</v>
      </c>
      <c r="H53" s="16">
        <f>IFERROR('Data Sheet'!G62,0)</f>
        <v>24231.59</v>
      </c>
      <c r="I53" s="16">
        <f>IFERROR('Data Sheet'!H62,0)</f>
        <v>25851.27</v>
      </c>
      <c r="J53" s="16">
        <f>IFERROR('Data Sheet'!I62,0)</f>
        <v>27820.22</v>
      </c>
      <c r="K53" s="16">
        <f>IFERROR('Data Sheet'!J62,0)</f>
        <v>21954.85</v>
      </c>
      <c r="L53" s="16">
        <f>IFERROR('Data Sheet'!K62,0)</f>
        <v>22545</v>
      </c>
    </row>
    <row r="54" spans="2:13" x14ac:dyDescent="0.3">
      <c r="B54" t="s">
        <v>39</v>
      </c>
      <c r="C54" s="16">
        <f>IFERROR('Data Sheet'!B63,0)</f>
        <v>3729.89</v>
      </c>
      <c r="D54" s="16">
        <f>IFERROR('Data Sheet'!C63,0)</f>
        <v>5508.33</v>
      </c>
      <c r="E54" s="16">
        <f>IFERROR('Data Sheet'!D63,0)</f>
        <v>4136.42</v>
      </c>
      <c r="F54" s="16">
        <f>IFERROR('Data Sheet'!E63,0)</f>
        <v>3256.46</v>
      </c>
      <c r="G54" s="16">
        <f>IFERROR('Data Sheet'!F63,0)</f>
        <v>4011.29</v>
      </c>
      <c r="H54" s="16">
        <f>IFERROR('Data Sheet'!G63,0)</f>
        <v>3225.54</v>
      </c>
      <c r="I54" s="16">
        <f>IFERROR('Data Sheet'!H63,0)</f>
        <v>3003.3</v>
      </c>
      <c r="J54" s="16">
        <f>IFERROR('Data Sheet'!I63,0)</f>
        <v>2860.78</v>
      </c>
      <c r="K54" s="16">
        <f>IFERROR('Data Sheet'!J63,0)</f>
        <v>1090.9100000000001</v>
      </c>
      <c r="L54" s="16">
        <f>IFERROR('Data Sheet'!K63,0)</f>
        <v>1499.41</v>
      </c>
    </row>
    <row r="55" spans="2:13" x14ac:dyDescent="0.3">
      <c r="B55" t="s">
        <v>40</v>
      </c>
      <c r="C55" s="16">
        <f>IFERROR('Data Sheet'!B64,0)</f>
        <v>17581.38</v>
      </c>
      <c r="D55" s="16">
        <f>IFERROR('Data Sheet'!C64,0)</f>
        <v>22052.86</v>
      </c>
      <c r="E55" s="16">
        <f>IFERROR('Data Sheet'!D64,0)</f>
        <v>25043.49</v>
      </c>
      <c r="F55" s="16">
        <f>IFERROR('Data Sheet'!E64,0)</f>
        <v>28663.35</v>
      </c>
      <c r="G55" s="16">
        <f>IFERROR('Data Sheet'!F64,0)</f>
        <v>24870.87</v>
      </c>
      <c r="H55" s="16">
        <f>IFERROR('Data Sheet'!G64,0)</f>
        <v>24841.01</v>
      </c>
      <c r="I55" s="16">
        <f>IFERROR('Data Sheet'!H64,0)</f>
        <v>29415.02</v>
      </c>
      <c r="J55" s="16">
        <f>IFERROR('Data Sheet'!I64,0)</f>
        <v>31114.02</v>
      </c>
      <c r="K55" s="16">
        <f>IFERROR('Data Sheet'!J64,0)</f>
        <v>34719.82</v>
      </c>
      <c r="L55" s="16">
        <f>IFERROR('Data Sheet'!K64,0)</f>
        <v>38128.43</v>
      </c>
    </row>
    <row r="56" spans="2:13" x14ac:dyDescent="0.3">
      <c r="B56" t="s">
        <v>41</v>
      </c>
      <c r="C56" s="16">
        <f>IFERROR('Data Sheet'!B65-SUM('Data Sheet'!B67:B69),0)</f>
        <v>5135.7800000000007</v>
      </c>
      <c r="D56" s="16">
        <f>IFERROR('Data Sheet'!C65-SUM('Data Sheet'!C67:C69),0)</f>
        <v>7078.7499999999982</v>
      </c>
      <c r="E56" s="16">
        <f>IFERROR('Data Sheet'!D65-SUM('Data Sheet'!D67:D69),0)</f>
        <v>7138.07</v>
      </c>
      <c r="F56" s="16">
        <f>IFERROR('Data Sheet'!E65-SUM('Data Sheet'!E67:E69),0)</f>
        <v>4958.4499999999971</v>
      </c>
      <c r="G56" s="16">
        <f>IFERROR('Data Sheet'!F65-SUM('Data Sheet'!F67:F69),0)</f>
        <v>4022.239999999998</v>
      </c>
      <c r="H56" s="16">
        <f>IFERROR('Data Sheet'!G65-SUM('Data Sheet'!G67:G69),0)</f>
        <v>6917.41</v>
      </c>
      <c r="I56" s="16">
        <f>IFERROR('Data Sheet'!H65-SUM('Data Sheet'!H67:H69),0)</f>
        <v>7953.8499999999985</v>
      </c>
      <c r="J56" s="16">
        <f>IFERROR('Data Sheet'!I65-SUM('Data Sheet'!I67:I69),0)</f>
        <v>4562.57</v>
      </c>
      <c r="K56" s="16">
        <f>IFERROR('Data Sheet'!J65-SUM('Data Sheet'!J67:J69),0)</f>
        <v>5867.5299999999988</v>
      </c>
      <c r="L56" s="16">
        <f>IFERROR('Data Sheet'!K65-SUM('Data Sheet'!K67:K69),0)</f>
        <v>6064.93</v>
      </c>
    </row>
    <row r="57" spans="2:13" x14ac:dyDescent="0.3">
      <c r="B57" s="15" t="s">
        <v>84</v>
      </c>
      <c r="C57" s="28">
        <f>SUM(C53:C56)</f>
        <v>42340.53</v>
      </c>
      <c r="D57" s="28">
        <f t="shared" ref="D57:L57" si="18">SUM(D53:D56)</f>
        <v>51163.9</v>
      </c>
      <c r="E57" s="28">
        <f t="shared" si="18"/>
        <v>55692.170000000006</v>
      </c>
      <c r="F57" s="28">
        <f t="shared" si="18"/>
        <v>58591.599999999991</v>
      </c>
      <c r="G57" s="28">
        <f t="shared" si="18"/>
        <v>56202.879999999997</v>
      </c>
      <c r="H57" s="28">
        <f t="shared" si="18"/>
        <v>59215.55</v>
      </c>
      <c r="I57" s="28">
        <f t="shared" si="18"/>
        <v>66223.44</v>
      </c>
      <c r="J57" s="28">
        <f t="shared" si="18"/>
        <v>66357.59</v>
      </c>
      <c r="K57" s="28">
        <f t="shared" si="18"/>
        <v>63633.11</v>
      </c>
      <c r="L57" s="28">
        <f t="shared" si="18"/>
        <v>68237.76999999999</v>
      </c>
    </row>
    <row r="58" spans="2:13" x14ac:dyDescent="0.3">
      <c r="B58" s="15"/>
    </row>
    <row r="59" spans="2:13" x14ac:dyDescent="0.3">
      <c r="B59" t="s">
        <v>42</v>
      </c>
      <c r="C59" s="16">
        <f>IFERROR('Data Sheet'!B67,0)</f>
        <v>2474.29</v>
      </c>
      <c r="D59" s="16">
        <f>IFERROR('Data Sheet'!C67,0)</f>
        <v>2682.29</v>
      </c>
      <c r="E59" s="16">
        <f>IFERROR('Data Sheet'!D67,0)</f>
        <v>4035.28</v>
      </c>
      <c r="F59" s="16">
        <f>IFERROR('Data Sheet'!E67,0)</f>
        <v>2562.48</v>
      </c>
      <c r="G59" s="16">
        <f>IFERROR('Data Sheet'!F67,0)</f>
        <v>2501.6999999999998</v>
      </c>
      <c r="H59" s="16">
        <f>IFERROR('Data Sheet'!G67,0)</f>
        <v>2461.9</v>
      </c>
      <c r="I59" s="16">
        <f>IFERROR('Data Sheet'!H67,0)</f>
        <v>2956.17</v>
      </c>
      <c r="J59" s="16">
        <f>IFERROR('Data Sheet'!I67,0)</f>
        <v>4025.82</v>
      </c>
      <c r="K59" s="16">
        <f>IFERROR('Data Sheet'!J67,0)</f>
        <v>4719.67</v>
      </c>
      <c r="L59" s="16">
        <f>IFERROR('Data Sheet'!K67,0)</f>
        <v>3922.86</v>
      </c>
    </row>
    <row r="60" spans="2:13" x14ac:dyDescent="0.3">
      <c r="B60" t="s">
        <v>43</v>
      </c>
      <c r="C60" s="16">
        <f>IFERROR('Data Sheet'!B68,0)</f>
        <v>8116.1</v>
      </c>
      <c r="D60" s="16">
        <f>IFERROR('Data Sheet'!C68,0)</f>
        <v>7495.09</v>
      </c>
      <c r="E60" s="16">
        <f>IFERROR('Data Sheet'!D68,0)</f>
        <v>7859.56</v>
      </c>
      <c r="F60" s="16">
        <f>IFERROR('Data Sheet'!E68,0)</f>
        <v>8879.33</v>
      </c>
      <c r="G60" s="16">
        <f>IFERROR('Data Sheet'!F68,0)</f>
        <v>10397.16</v>
      </c>
      <c r="H60" s="16">
        <f>IFERROR('Data Sheet'!G68,0)</f>
        <v>10864.15</v>
      </c>
      <c r="I60" s="16">
        <f>IFERROR('Data Sheet'!H68,0)</f>
        <v>11771.16</v>
      </c>
      <c r="J60" s="16">
        <f>IFERROR('Data Sheet'!I68,0)</f>
        <v>14152.88</v>
      </c>
      <c r="K60" s="16">
        <f>IFERROR('Data Sheet'!J68,0)</f>
        <v>15637.56</v>
      </c>
      <c r="L60" s="16">
        <f>IFERROR('Data Sheet'!K68,0)</f>
        <v>18622.96</v>
      </c>
    </row>
    <row r="61" spans="2:13" x14ac:dyDescent="0.3">
      <c r="B61" t="s">
        <v>44</v>
      </c>
      <c r="C61" s="16">
        <f>IFERROR('Data Sheet'!B69,0)</f>
        <v>2967.4</v>
      </c>
      <c r="D61" s="16">
        <f>IFERROR('Data Sheet'!C69,0)</f>
        <v>2899.6</v>
      </c>
      <c r="E61" s="16">
        <f>IFERROR('Data Sheet'!D69,0)</f>
        <v>4152.03</v>
      </c>
      <c r="F61" s="16">
        <f>IFERROR('Data Sheet'!E69,0)</f>
        <v>7277.34</v>
      </c>
      <c r="G61" s="16">
        <f>IFERROR('Data Sheet'!F69,0)</f>
        <v>4659.0200000000004</v>
      </c>
      <c r="H61" s="16">
        <f>IFERROR('Data Sheet'!G69,0)</f>
        <v>4654.42</v>
      </c>
      <c r="I61" s="16">
        <f>IFERROR('Data Sheet'!H69,0)</f>
        <v>4880.1899999999996</v>
      </c>
      <c r="J61" s="16">
        <f>IFERROR('Data Sheet'!I69,0)</f>
        <v>7217.68</v>
      </c>
      <c r="K61" s="16">
        <f>IFERROR('Data Sheet'!J69,0)</f>
        <v>4012.36</v>
      </c>
      <c r="L61" s="16">
        <f>IFERROR('Data Sheet'!K69,0)</f>
        <v>3008.79</v>
      </c>
    </row>
    <row r="62" spans="2:13" x14ac:dyDescent="0.3">
      <c r="B62" s="15" t="s">
        <v>85</v>
      </c>
      <c r="C62" s="28">
        <f>IFERROR(SUM(C59:C61),0)</f>
        <v>13557.789999999999</v>
      </c>
      <c r="D62" s="28">
        <f t="shared" ref="D62:L62" si="19">IFERROR(SUM(D59:D61),0)</f>
        <v>13076.980000000001</v>
      </c>
      <c r="E62" s="28">
        <f t="shared" si="19"/>
        <v>16046.869999999999</v>
      </c>
      <c r="F62" s="28">
        <f t="shared" si="19"/>
        <v>18719.150000000001</v>
      </c>
      <c r="G62" s="28">
        <f t="shared" si="19"/>
        <v>17557.88</v>
      </c>
      <c r="H62" s="28">
        <f t="shared" si="19"/>
        <v>17980.47</v>
      </c>
      <c r="I62" s="28">
        <f t="shared" si="19"/>
        <v>19607.52</v>
      </c>
      <c r="J62" s="28">
        <f t="shared" si="19"/>
        <v>25396.38</v>
      </c>
      <c r="K62" s="28">
        <f t="shared" si="19"/>
        <v>24369.59</v>
      </c>
      <c r="L62" s="28">
        <f t="shared" si="19"/>
        <v>25554.61</v>
      </c>
    </row>
    <row r="64" spans="2:13" x14ac:dyDescent="0.3">
      <c r="B64" s="15" t="s">
        <v>86</v>
      </c>
      <c r="C64" s="28">
        <f>IFERROR(C62+C57,0)</f>
        <v>55898.32</v>
      </c>
      <c r="D64" s="28">
        <f t="shared" ref="D64:L64" si="20">IFERROR(D62+D57,0)</f>
        <v>64240.880000000005</v>
      </c>
      <c r="E64" s="28">
        <f t="shared" si="20"/>
        <v>71739.040000000008</v>
      </c>
      <c r="F64" s="28">
        <f t="shared" si="20"/>
        <v>77310.75</v>
      </c>
      <c r="G64" s="28">
        <f t="shared" si="20"/>
        <v>73760.759999999995</v>
      </c>
      <c r="H64" s="28">
        <f t="shared" si="20"/>
        <v>77196.02</v>
      </c>
      <c r="I64" s="28">
        <f t="shared" si="20"/>
        <v>85830.96</v>
      </c>
      <c r="J64" s="28">
        <f t="shared" si="20"/>
        <v>91753.97</v>
      </c>
      <c r="K64" s="28">
        <f t="shared" si="20"/>
        <v>88002.7</v>
      </c>
      <c r="L64" s="28">
        <f t="shared" si="20"/>
        <v>93792.37999999999</v>
      </c>
    </row>
    <row r="66" spans="1:13" x14ac:dyDescent="0.3">
      <c r="B66" s="18" t="s">
        <v>87</v>
      </c>
      <c r="C66" s="18" t="b">
        <f>C64=C51</f>
        <v>1</v>
      </c>
      <c r="D66" s="18" t="b">
        <f t="shared" ref="D66:L66" si="21">D64=D51</f>
        <v>1</v>
      </c>
      <c r="E66" s="18" t="b">
        <f t="shared" si="21"/>
        <v>1</v>
      </c>
      <c r="F66" s="18" t="b">
        <f t="shared" si="21"/>
        <v>1</v>
      </c>
      <c r="G66" s="18" t="b">
        <f t="shared" si="21"/>
        <v>1</v>
      </c>
      <c r="H66" s="18" t="b">
        <f t="shared" si="21"/>
        <v>1</v>
      </c>
      <c r="I66" s="18" t="b">
        <f t="shared" si="21"/>
        <v>1</v>
      </c>
      <c r="J66" s="18" t="b">
        <f t="shared" si="21"/>
        <v>1</v>
      </c>
      <c r="K66" s="18" t="b">
        <f t="shared" si="21"/>
        <v>1</v>
      </c>
      <c r="L66" s="18" t="b">
        <f t="shared" si="21"/>
        <v>1</v>
      </c>
    </row>
    <row r="68" spans="1:13" x14ac:dyDescent="0.3">
      <c r="A68" t="s">
        <v>59</v>
      </c>
      <c r="B68" s="26" t="s">
        <v>118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x14ac:dyDescent="0.3">
      <c r="B69" s="15" t="s">
        <v>120</v>
      </c>
    </row>
    <row r="70" spans="1:13" x14ac:dyDescent="0.3">
      <c r="B70" t="s">
        <v>88</v>
      </c>
      <c r="C70" s="16">
        <f>IFERROR('Cash Flow Data'!E4,0)</f>
        <v>24406</v>
      </c>
      <c r="D70" s="16">
        <f>IFERROR('Cash Flow Data'!F4,0)</f>
        <v>36303</v>
      </c>
      <c r="E70" s="16">
        <f>IFERROR('Cash Flow Data'!G4,0)</f>
        <v>43397</v>
      </c>
      <c r="F70" s="16">
        <f>IFERROR('Cash Flow Data'!H4,0)</f>
        <v>38626</v>
      </c>
      <c r="G70" s="16">
        <f>IFERROR('Cash Flow Data'!I4,0)</f>
        <v>28840</v>
      </c>
      <c r="H70" s="16">
        <f>IFERROR('Cash Flow Data'!J4,0)</f>
        <v>33312</v>
      </c>
      <c r="I70" s="16">
        <f>IFERROR('Cash Flow Data'!K4,0)</f>
        <v>28771</v>
      </c>
      <c r="J70" s="16">
        <f>IFERROR('Cash Flow Data'!L4,0)</f>
        <v>23352</v>
      </c>
      <c r="K70" s="16">
        <f>IFERROR('Cash Flow Data'!M4,0)</f>
        <v>31198</v>
      </c>
      <c r="L70" s="16">
        <f>IFERROR('Cash Flow Data'!N4,0)</f>
        <v>26666</v>
      </c>
    </row>
    <row r="71" spans="1:13" x14ac:dyDescent="0.3">
      <c r="B71" t="s">
        <v>42</v>
      </c>
      <c r="C71" s="16">
        <f>IFERROR('Cash Flow Data'!E5,0)</f>
        <v>-5177</v>
      </c>
      <c r="D71" s="16">
        <f>IFERROR('Cash Flow Data'!F5,0)</f>
        <v>445</v>
      </c>
      <c r="E71" s="16">
        <f>IFERROR('Cash Flow Data'!G5,0)</f>
        <v>-3179</v>
      </c>
      <c r="F71" s="16">
        <f>IFERROR('Cash Flow Data'!H5,0)</f>
        <v>-2223</v>
      </c>
      <c r="G71" s="16">
        <f>IFERROR('Cash Flow Data'!I5,0)</f>
        <v>-4152</v>
      </c>
      <c r="H71" s="16">
        <f>IFERROR('Cash Flow Data'!J5,0)</f>
        <v>-10688</v>
      </c>
      <c r="I71" s="16">
        <f>IFERROR('Cash Flow Data'!K5,0)</f>
        <v>-9109</v>
      </c>
      <c r="J71" s="16">
        <f>IFERROR('Cash Flow Data'!L5,0)</f>
        <v>9950</v>
      </c>
      <c r="K71" s="16">
        <f>IFERROR('Cash Flow Data'!M5,0)</f>
        <v>-5505</v>
      </c>
      <c r="L71" s="16">
        <f>IFERROR('Cash Flow Data'!N5,0)</f>
        <v>337</v>
      </c>
    </row>
    <row r="72" spans="1:13" x14ac:dyDescent="0.3">
      <c r="B72" t="s">
        <v>43</v>
      </c>
      <c r="C72" s="16">
        <f>IFERROR('Cash Flow Data'!E6,0)</f>
        <v>-2656</v>
      </c>
      <c r="D72" s="16">
        <f>IFERROR('Cash Flow Data'!F6,0)</f>
        <v>-2853</v>
      </c>
      <c r="E72" s="16">
        <f>IFERROR('Cash Flow Data'!G6,0)</f>
        <v>-3692</v>
      </c>
      <c r="F72" s="16">
        <f>IFERROR('Cash Flow Data'!H6,0)</f>
        <v>-5743</v>
      </c>
      <c r="G72" s="16">
        <f>IFERROR('Cash Flow Data'!I6,0)</f>
        <v>-6621</v>
      </c>
      <c r="H72" s="16">
        <f>IFERROR('Cash Flow Data'!J6,0)</f>
        <v>-3560</v>
      </c>
      <c r="I72" s="16">
        <f>IFERROR('Cash Flow Data'!K6,0)</f>
        <v>2069</v>
      </c>
      <c r="J72" s="16">
        <f>IFERROR('Cash Flow Data'!L6,0)</f>
        <v>2326</v>
      </c>
      <c r="K72" s="16">
        <f>IFERROR('Cash Flow Data'!M6,0)</f>
        <v>3814</v>
      </c>
      <c r="L72" s="16">
        <f>IFERROR('Cash Flow Data'!N6,0)</f>
        <v>597</v>
      </c>
    </row>
    <row r="73" spans="1:13" x14ac:dyDescent="0.3">
      <c r="B73" t="s">
        <v>89</v>
      </c>
      <c r="C73" s="16">
        <f>IFERROR('Cash Flow Data'!E7,0)</f>
        <v>8132</v>
      </c>
      <c r="D73" s="16">
        <f>IFERROR('Cash Flow Data'!F7,0)</f>
        <v>4694</v>
      </c>
      <c r="E73" s="16">
        <f>IFERROR('Cash Flow Data'!G7,0)</f>
        <v>3598</v>
      </c>
      <c r="F73" s="16">
        <f>IFERROR('Cash Flow Data'!H7,0)</f>
        <v>3947</v>
      </c>
      <c r="G73" s="16">
        <f>IFERROR('Cash Flow Data'!I7,0)</f>
        <v>9301</v>
      </c>
      <c r="H73" s="16">
        <f>IFERROR('Cash Flow Data'!J7,0)</f>
        <v>7320</v>
      </c>
      <c r="I73" s="16">
        <f>IFERROR('Cash Flow Data'!K7,0)</f>
        <v>-4692</v>
      </c>
      <c r="J73" s="16">
        <f>IFERROR('Cash Flow Data'!L7,0)</f>
        <v>-8085</v>
      </c>
      <c r="K73" s="16">
        <f>IFERROR('Cash Flow Data'!M7,0)</f>
        <v>5748</v>
      </c>
      <c r="L73" s="16">
        <f>IFERROR('Cash Flow Data'!N7,0)</f>
        <v>-7012</v>
      </c>
    </row>
    <row r="74" spans="1:13" x14ac:dyDescent="0.3">
      <c r="B74" t="s">
        <v>90</v>
      </c>
      <c r="C74" s="16">
        <f>IFERROR('Cash Flow Data'!E8,0)</f>
        <v>0</v>
      </c>
      <c r="D74" s="16">
        <f>IFERROR('Cash Flow Data'!F8,0)</f>
        <v>0</v>
      </c>
      <c r="E74" s="16">
        <f>IFERROR('Cash Flow Data'!G8,0)</f>
        <v>0</v>
      </c>
      <c r="F74" s="16">
        <f>IFERROR('Cash Flow Data'!H8,0)</f>
        <v>-520</v>
      </c>
      <c r="G74" s="16">
        <f>IFERROR('Cash Flow Data'!I8,0)</f>
        <v>0</v>
      </c>
      <c r="H74" s="16">
        <f>IFERROR('Cash Flow Data'!J8,0)</f>
        <v>0</v>
      </c>
      <c r="I74" s="16">
        <f>IFERROR('Cash Flow Data'!K8,0)</f>
        <v>0</v>
      </c>
      <c r="J74" s="16">
        <f>IFERROR('Cash Flow Data'!L8,0)</f>
        <v>0</v>
      </c>
      <c r="K74" s="16">
        <f>IFERROR('Cash Flow Data'!M8,0)</f>
        <v>0</v>
      </c>
      <c r="L74" s="16">
        <f>IFERROR('Cash Flow Data'!N8,0)</f>
        <v>0</v>
      </c>
    </row>
    <row r="75" spans="1:13" x14ac:dyDescent="0.3">
      <c r="B75" t="s">
        <v>91</v>
      </c>
      <c r="C75" s="16">
        <f>IFERROR('Cash Flow Data'!E9,0)</f>
        <v>-303</v>
      </c>
      <c r="D75" s="16">
        <f>IFERROR('Cash Flow Data'!F9,0)</f>
        <v>1870</v>
      </c>
      <c r="E75" s="16">
        <f>IFERROR('Cash Flow Data'!G9,0)</f>
        <v>-398</v>
      </c>
      <c r="F75" s="16">
        <f>IFERROR('Cash Flow Data'!H9,0)</f>
        <v>5852</v>
      </c>
      <c r="G75" s="16">
        <f>IFERROR('Cash Flow Data'!I9,0)</f>
        <v>4727</v>
      </c>
      <c r="H75" s="16">
        <f>IFERROR('Cash Flow Data'!J9,0)</f>
        <v>494</v>
      </c>
      <c r="I75" s="16">
        <f>IFERROR('Cash Flow Data'!K9,0)</f>
        <v>4512</v>
      </c>
      <c r="J75" s="16">
        <f>IFERROR('Cash Flow Data'!L9,0)</f>
        <v>875</v>
      </c>
      <c r="K75" s="16">
        <f>IFERROR('Cash Flow Data'!M9,0)</f>
        <v>-4150</v>
      </c>
      <c r="L75" s="16">
        <f>IFERROR('Cash Flow Data'!N9,0)</f>
        <v>-4396</v>
      </c>
    </row>
    <row r="76" spans="1:13" x14ac:dyDescent="0.3">
      <c r="B76" t="s">
        <v>92</v>
      </c>
      <c r="C76" s="16">
        <f>IFERROR('Cash Flow Data'!E10,0)</f>
        <v>-3</v>
      </c>
      <c r="D76" s="16">
        <f>IFERROR('Cash Flow Data'!F10,0)</f>
        <v>4157</v>
      </c>
      <c r="E76" s="16">
        <f>IFERROR('Cash Flow Data'!G10,0)</f>
        <v>-3672</v>
      </c>
      <c r="F76" s="16">
        <f>IFERROR('Cash Flow Data'!H10,0)</f>
        <v>1313</v>
      </c>
      <c r="G76" s="16">
        <f>IFERROR('Cash Flow Data'!I10,0)</f>
        <v>3254</v>
      </c>
      <c r="H76" s="16">
        <f>IFERROR('Cash Flow Data'!J10,0)</f>
        <v>-6434</v>
      </c>
      <c r="I76" s="16">
        <f>IFERROR('Cash Flow Data'!K10,0)</f>
        <v>-7221</v>
      </c>
      <c r="J76" s="16">
        <f>IFERROR('Cash Flow Data'!L10,0)</f>
        <v>5065</v>
      </c>
      <c r="K76" s="16">
        <f>IFERROR('Cash Flow Data'!M10,0)</f>
        <v>-93</v>
      </c>
      <c r="L76" s="16">
        <f>IFERROR('Cash Flow Data'!N10,0)</f>
        <v>-10474</v>
      </c>
    </row>
    <row r="77" spans="1:13" x14ac:dyDescent="0.3">
      <c r="B77" t="s">
        <v>93</v>
      </c>
      <c r="C77" s="16">
        <f>IFERROR('Cash Flow Data'!E11,0)</f>
        <v>-2240</v>
      </c>
      <c r="D77" s="16">
        <f>IFERROR('Cash Flow Data'!F11,0)</f>
        <v>-4308</v>
      </c>
      <c r="E77" s="16">
        <f>IFERROR('Cash Flow Data'!G11,0)</f>
        <v>-4194</v>
      </c>
      <c r="F77" s="16">
        <f>IFERROR('Cash Flow Data'!H11,0)</f>
        <v>-2040</v>
      </c>
      <c r="G77" s="16">
        <f>IFERROR('Cash Flow Data'!I11,0)</f>
        <v>-1895</v>
      </c>
      <c r="H77" s="16">
        <f>IFERROR('Cash Flow Data'!J11,0)</f>
        <v>-3021</v>
      </c>
      <c r="I77" s="16">
        <f>IFERROR('Cash Flow Data'!K11,0)</f>
        <v>-2659</v>
      </c>
      <c r="J77" s="16">
        <f>IFERROR('Cash Flow Data'!L11,0)</f>
        <v>-1785</v>
      </c>
      <c r="K77" s="16">
        <f>IFERROR('Cash Flow Data'!M11,0)</f>
        <v>-2105</v>
      </c>
      <c r="L77" s="16">
        <f>IFERROR('Cash Flow Data'!N11,0)</f>
        <v>-1910</v>
      </c>
    </row>
    <row r="78" spans="1:13" x14ac:dyDescent="0.3">
      <c r="B78" s="15" t="s">
        <v>119</v>
      </c>
      <c r="C78" s="28">
        <f>SUM(C70:C77)</f>
        <v>22159</v>
      </c>
      <c r="D78" s="28">
        <f t="shared" ref="D78:L78" si="22">SUM(D70:D77)</f>
        <v>40308</v>
      </c>
      <c r="E78" s="28">
        <f t="shared" si="22"/>
        <v>31860</v>
      </c>
      <c r="F78" s="28">
        <f t="shared" si="22"/>
        <v>39212</v>
      </c>
      <c r="G78" s="28">
        <f t="shared" si="22"/>
        <v>33454</v>
      </c>
      <c r="H78" s="28">
        <f t="shared" si="22"/>
        <v>17423</v>
      </c>
      <c r="I78" s="28">
        <f t="shared" si="22"/>
        <v>11671</v>
      </c>
      <c r="J78" s="28">
        <f t="shared" si="22"/>
        <v>31698</v>
      </c>
      <c r="K78" s="28">
        <f t="shared" si="22"/>
        <v>28907</v>
      </c>
      <c r="L78" s="28">
        <f t="shared" si="22"/>
        <v>3808</v>
      </c>
    </row>
    <row r="80" spans="1:13" x14ac:dyDescent="0.3">
      <c r="B80" s="15" t="s">
        <v>121</v>
      </c>
    </row>
    <row r="81" spans="2:12" x14ac:dyDescent="0.3">
      <c r="B81" t="s">
        <v>94</v>
      </c>
      <c r="C81" s="16">
        <f>IFERROR('Cash Flow Data'!E13,0)</f>
        <v>-18863</v>
      </c>
      <c r="D81" s="16">
        <f>IFERROR('Cash Flow Data'!F13,0)</f>
        <v>-26975</v>
      </c>
      <c r="E81" s="16">
        <f>IFERROR('Cash Flow Data'!G13,0)</f>
        <v>-31962</v>
      </c>
      <c r="F81" s="16">
        <f>IFERROR('Cash Flow Data'!H13,0)</f>
        <v>-31503</v>
      </c>
      <c r="G81" s="16">
        <f>IFERROR('Cash Flow Data'!I13,0)</f>
        <v>-16072</v>
      </c>
      <c r="H81" s="16">
        <f>IFERROR('Cash Flow Data'!J13,0)</f>
        <v>-35079</v>
      </c>
      <c r="I81" s="16">
        <f>IFERROR('Cash Flow Data'!K13,0)</f>
        <v>-35304</v>
      </c>
      <c r="J81" s="16">
        <f>IFERROR('Cash Flow Data'!L13,0)</f>
        <v>-29702</v>
      </c>
      <c r="K81" s="16">
        <f>IFERROR('Cash Flow Data'!M13,0)</f>
        <v>-20205</v>
      </c>
      <c r="L81" s="16">
        <f>IFERROR('Cash Flow Data'!N13,0)</f>
        <v>-15168</v>
      </c>
    </row>
    <row r="82" spans="2:12" x14ac:dyDescent="0.3">
      <c r="B82" t="s">
        <v>95</v>
      </c>
      <c r="C82" s="16">
        <f>IFERROR('Cash Flow Data'!E14,0)</f>
        <v>37</v>
      </c>
      <c r="D82" s="16">
        <f>IFERROR('Cash Flow Data'!F14,0)</f>
        <v>50</v>
      </c>
      <c r="E82" s="16">
        <f>IFERROR('Cash Flow Data'!G14,0)</f>
        <v>74</v>
      </c>
      <c r="F82" s="16">
        <f>IFERROR('Cash Flow Data'!H14,0)</f>
        <v>59</v>
      </c>
      <c r="G82" s="16">
        <f>IFERROR('Cash Flow Data'!I14,0)</f>
        <v>53</v>
      </c>
      <c r="H82" s="16">
        <f>IFERROR('Cash Flow Data'!J14,0)</f>
        <v>30</v>
      </c>
      <c r="I82" s="16">
        <f>IFERROR('Cash Flow Data'!K14,0)</f>
        <v>67</v>
      </c>
      <c r="J82" s="16">
        <f>IFERROR('Cash Flow Data'!L14,0)</f>
        <v>171</v>
      </c>
      <c r="K82" s="16">
        <f>IFERROR('Cash Flow Data'!M14,0)</f>
        <v>351</v>
      </c>
      <c r="L82" s="16">
        <f>IFERROR('Cash Flow Data'!N14,0)</f>
        <v>230</v>
      </c>
    </row>
    <row r="83" spans="2:12" x14ac:dyDescent="0.3">
      <c r="B83" t="s">
        <v>96</v>
      </c>
      <c r="C83" s="16">
        <f>IFERROR('Cash Flow Data'!E15,0)</f>
        <v>73</v>
      </c>
      <c r="D83" s="16">
        <f>IFERROR('Cash Flow Data'!F15,0)</f>
        <v>-429</v>
      </c>
      <c r="E83" s="16">
        <f>IFERROR('Cash Flow Data'!G15,0)</f>
        <v>-5461</v>
      </c>
      <c r="F83" s="16">
        <f>IFERROR('Cash Flow Data'!H15,0)</f>
        <v>-4728</v>
      </c>
      <c r="G83" s="16">
        <f>IFERROR('Cash Flow Data'!I15,0)</f>
        <v>-6</v>
      </c>
      <c r="H83" s="16">
        <f>IFERROR('Cash Flow Data'!J15,0)</f>
        <v>-329</v>
      </c>
      <c r="I83" s="16">
        <f>IFERROR('Cash Flow Data'!K15,0)</f>
        <v>-130</v>
      </c>
      <c r="J83" s="16">
        <f>IFERROR('Cash Flow Data'!L15,0)</f>
        <v>-1439</v>
      </c>
      <c r="K83" s="16">
        <f>IFERROR('Cash Flow Data'!M15,0)</f>
        <v>-7530</v>
      </c>
      <c r="L83" s="16">
        <f>IFERROR('Cash Flow Data'!N15,0)</f>
        <v>-3008</v>
      </c>
    </row>
    <row r="84" spans="2:12" x14ac:dyDescent="0.3">
      <c r="B84" t="s">
        <v>97</v>
      </c>
      <c r="C84" s="16">
        <f>IFERROR('Cash Flow Data'!E16,0)</f>
        <v>34</v>
      </c>
      <c r="D84" s="16">
        <f>IFERROR('Cash Flow Data'!F16,0)</f>
        <v>4</v>
      </c>
      <c r="E84" s="16">
        <f>IFERROR('Cash Flow Data'!G16,0)</f>
        <v>42</v>
      </c>
      <c r="F84" s="16">
        <f>IFERROR('Cash Flow Data'!H16,0)</f>
        <v>89</v>
      </c>
      <c r="G84" s="16">
        <f>IFERROR('Cash Flow Data'!I16,0)</f>
        <v>1965</v>
      </c>
      <c r="H84" s="16">
        <f>IFERROR('Cash Flow Data'!J16,0)</f>
        <v>2381</v>
      </c>
      <c r="I84" s="16">
        <f>IFERROR('Cash Flow Data'!K16,0)</f>
        <v>5644</v>
      </c>
      <c r="J84" s="16">
        <f>IFERROR('Cash Flow Data'!L16,0)</f>
        <v>21</v>
      </c>
      <c r="K84" s="16">
        <f>IFERROR('Cash Flow Data'!M16,0)</f>
        <v>226</v>
      </c>
      <c r="L84" s="16">
        <f>IFERROR('Cash Flow Data'!N16,0)</f>
        <v>104</v>
      </c>
    </row>
    <row r="85" spans="2:12" x14ac:dyDescent="0.3">
      <c r="B85" t="s">
        <v>98</v>
      </c>
      <c r="C85" s="16">
        <f>IFERROR('Cash Flow Data'!E17,0)</f>
        <v>713</v>
      </c>
      <c r="D85" s="16">
        <f>IFERROR('Cash Flow Data'!F17,0)</f>
        <v>653</v>
      </c>
      <c r="E85" s="16">
        <f>IFERROR('Cash Flow Data'!G17,0)</f>
        <v>698</v>
      </c>
      <c r="F85" s="16">
        <f>IFERROR('Cash Flow Data'!H17,0)</f>
        <v>731</v>
      </c>
      <c r="G85" s="16">
        <f>IFERROR('Cash Flow Data'!I17,0)</f>
        <v>638</v>
      </c>
      <c r="H85" s="16">
        <f>IFERROR('Cash Flow Data'!J17,0)</f>
        <v>690</v>
      </c>
      <c r="I85" s="16">
        <f>IFERROR('Cash Flow Data'!K17,0)</f>
        <v>761</v>
      </c>
      <c r="J85" s="16">
        <f>IFERROR('Cash Flow Data'!L17,0)</f>
        <v>1104</v>
      </c>
      <c r="K85" s="16">
        <f>IFERROR('Cash Flow Data'!M17,0)</f>
        <v>428</v>
      </c>
      <c r="L85" s="16">
        <f>IFERROR('Cash Flow Data'!N17,0)</f>
        <v>653</v>
      </c>
    </row>
    <row r="86" spans="2:12" x14ac:dyDescent="0.3">
      <c r="B86" t="s">
        <v>99</v>
      </c>
      <c r="C86" s="16">
        <f>IFERROR('Cash Flow Data'!E18,0)</f>
        <v>95</v>
      </c>
      <c r="D86" s="16">
        <f>IFERROR('Cash Flow Data'!F18,0)</f>
        <v>40</v>
      </c>
      <c r="E86" s="16">
        <f>IFERROR('Cash Flow Data'!G18,0)</f>
        <v>80</v>
      </c>
      <c r="F86" s="16">
        <f>IFERROR('Cash Flow Data'!H18,0)</f>
        <v>58</v>
      </c>
      <c r="G86" s="16">
        <f>IFERROR('Cash Flow Data'!I18,0)</f>
        <v>620</v>
      </c>
      <c r="H86" s="16">
        <f>IFERROR('Cash Flow Data'!J18,0)</f>
        <v>1797</v>
      </c>
      <c r="I86" s="16">
        <f>IFERROR('Cash Flow Data'!K18,0)</f>
        <v>232</v>
      </c>
      <c r="J86" s="16">
        <f>IFERROR('Cash Flow Data'!L18,0)</f>
        <v>21</v>
      </c>
      <c r="K86" s="16">
        <f>IFERROR('Cash Flow Data'!M18,0)</f>
        <v>18</v>
      </c>
      <c r="L86" s="16">
        <f>IFERROR('Cash Flow Data'!N18,0)</f>
        <v>32</v>
      </c>
    </row>
    <row r="87" spans="2:12" x14ac:dyDescent="0.3">
      <c r="B87" t="s">
        <v>100</v>
      </c>
      <c r="C87" s="16">
        <f>IFERROR('Cash Flow Data'!E19,0)</f>
        <v>0</v>
      </c>
      <c r="D87" s="16">
        <f>IFERROR('Cash Flow Data'!F19,0)</f>
        <v>0</v>
      </c>
      <c r="E87" s="16">
        <f>IFERROR('Cash Flow Data'!G19,0)</f>
        <v>0</v>
      </c>
      <c r="F87" s="16">
        <f>IFERROR('Cash Flow Data'!H19,0)</f>
        <v>0</v>
      </c>
      <c r="G87" s="16">
        <f>IFERROR('Cash Flow Data'!I19,0)</f>
        <v>0</v>
      </c>
      <c r="H87" s="16">
        <f>IFERROR('Cash Flow Data'!J19,0)</f>
        <v>0</v>
      </c>
      <c r="I87" s="16">
        <f>IFERROR('Cash Flow Data'!K19,0)</f>
        <v>0</v>
      </c>
      <c r="J87" s="16">
        <f>IFERROR('Cash Flow Data'!L19,0)</f>
        <v>0</v>
      </c>
      <c r="K87" s="16">
        <f>IFERROR('Cash Flow Data'!M19,0)</f>
        <v>0</v>
      </c>
      <c r="L87" s="16">
        <f>IFERROR('Cash Flow Data'!N19,0)</f>
        <v>0</v>
      </c>
    </row>
    <row r="88" spans="2:12" x14ac:dyDescent="0.3">
      <c r="B88" t="s">
        <v>101</v>
      </c>
      <c r="C88" s="16">
        <f>IFERROR('Cash Flow Data'!E20,0)</f>
        <v>0</v>
      </c>
      <c r="D88" s="16">
        <f>IFERROR('Cash Flow Data'!F20,0)</f>
        <v>0</v>
      </c>
      <c r="E88" s="16">
        <f>IFERROR('Cash Flow Data'!G20,0)</f>
        <v>-160</v>
      </c>
      <c r="F88" s="16">
        <f>IFERROR('Cash Flow Data'!H20,0)</f>
        <v>0</v>
      </c>
      <c r="G88" s="16">
        <f>IFERROR('Cash Flow Data'!I20,0)</f>
        <v>-107</v>
      </c>
      <c r="H88" s="16">
        <f>IFERROR('Cash Flow Data'!J20,0)</f>
        <v>-4</v>
      </c>
      <c r="I88" s="16">
        <f>IFERROR('Cash Flow Data'!K20,0)</f>
        <v>-9</v>
      </c>
      <c r="J88" s="16">
        <f>IFERROR('Cash Flow Data'!L20,0)</f>
        <v>-606</v>
      </c>
      <c r="K88" s="16">
        <f>IFERROR('Cash Flow Data'!M20,0)</f>
        <v>-10</v>
      </c>
      <c r="L88" s="16">
        <f>IFERROR('Cash Flow Data'!N20,0)</f>
        <v>0</v>
      </c>
    </row>
    <row r="89" spans="2:12" x14ac:dyDescent="0.3">
      <c r="B89" t="s">
        <v>102</v>
      </c>
      <c r="C89" s="16">
        <f>IFERROR('Cash Flow Data'!E21,0)</f>
        <v>0</v>
      </c>
      <c r="D89" s="16">
        <f>IFERROR('Cash Flow Data'!F21,0)</f>
        <v>0</v>
      </c>
      <c r="E89" s="16">
        <f>IFERROR('Cash Flow Data'!G21,0)</f>
        <v>0</v>
      </c>
      <c r="F89" s="16">
        <f>IFERROR('Cash Flow Data'!H21,0)</f>
        <v>0</v>
      </c>
      <c r="G89" s="16">
        <f>IFERROR('Cash Flow Data'!I21,0)</f>
        <v>0</v>
      </c>
      <c r="H89" s="16">
        <f>IFERROR('Cash Flow Data'!J21,0)</f>
        <v>14</v>
      </c>
      <c r="I89" s="16">
        <f>IFERROR('Cash Flow Data'!K21,0)</f>
        <v>533</v>
      </c>
      <c r="J89" s="16">
        <f>IFERROR('Cash Flow Data'!L21,0)</f>
        <v>0</v>
      </c>
      <c r="K89" s="16">
        <f>IFERROR('Cash Flow Data'!M21,0)</f>
        <v>0</v>
      </c>
      <c r="L89" s="16">
        <f>IFERROR('Cash Flow Data'!N21,0)</f>
        <v>0</v>
      </c>
    </row>
    <row r="90" spans="2:12" x14ac:dyDescent="0.3">
      <c r="B90" t="s">
        <v>103</v>
      </c>
      <c r="C90" s="16">
        <f>IFERROR('Cash Flow Data'!E22,0)</f>
        <v>0</v>
      </c>
      <c r="D90" s="16">
        <f>IFERROR('Cash Flow Data'!F22,0)</f>
        <v>-185</v>
      </c>
      <c r="E90" s="16">
        <f>IFERROR('Cash Flow Data'!G22,0)</f>
        <v>0</v>
      </c>
      <c r="F90" s="16">
        <f>IFERROR('Cash Flow Data'!H22,0)</f>
        <v>-111</v>
      </c>
      <c r="G90" s="16">
        <f>IFERROR('Cash Flow Data'!I22,0)</f>
        <v>0</v>
      </c>
      <c r="H90" s="16">
        <f>IFERROR('Cash Flow Data'!J22,0)</f>
        <v>0</v>
      </c>
      <c r="I90" s="16">
        <f>IFERROR('Cash Flow Data'!K22,0)</f>
        <v>-8</v>
      </c>
      <c r="J90" s="16">
        <f>IFERROR('Cash Flow Data'!L22,0)</f>
        <v>-27</v>
      </c>
      <c r="K90" s="16">
        <f>IFERROR('Cash Flow Data'!M22,0)</f>
        <v>0</v>
      </c>
      <c r="L90" s="16">
        <f>IFERROR('Cash Flow Data'!N22,0)</f>
        <v>-98</v>
      </c>
    </row>
    <row r="91" spans="2:12" x14ac:dyDescent="0.3">
      <c r="B91" t="s">
        <v>104</v>
      </c>
      <c r="C91" s="16">
        <f>IFERROR('Cash Flow Data'!E23,0)</f>
        <v>45</v>
      </c>
      <c r="D91" s="16">
        <f>IFERROR('Cash Flow Data'!F23,0)</f>
        <v>0</v>
      </c>
      <c r="E91" s="16">
        <f>IFERROR('Cash Flow Data'!G23,0)</f>
        <v>0</v>
      </c>
      <c r="F91" s="16">
        <f>IFERROR('Cash Flow Data'!H23,0)</f>
        <v>0</v>
      </c>
      <c r="G91" s="16">
        <f>IFERROR('Cash Flow Data'!I23,0)</f>
        <v>0</v>
      </c>
      <c r="H91" s="16">
        <f>IFERROR('Cash Flow Data'!J23,0)</f>
        <v>0</v>
      </c>
      <c r="I91" s="16">
        <f>IFERROR('Cash Flow Data'!K23,0)</f>
        <v>0</v>
      </c>
      <c r="J91" s="16">
        <f>IFERROR('Cash Flow Data'!L23,0)</f>
        <v>0</v>
      </c>
      <c r="K91" s="16">
        <f>IFERROR('Cash Flow Data'!M23,0)</f>
        <v>0</v>
      </c>
      <c r="L91" s="16">
        <f>IFERROR('Cash Flow Data'!N23,0)</f>
        <v>0</v>
      </c>
    </row>
    <row r="92" spans="2:12" x14ac:dyDescent="0.3">
      <c r="B92" t="s">
        <v>105</v>
      </c>
      <c r="C92" s="16">
        <f>IFERROR('Cash Flow Data'!E24,0)</f>
        <v>-5103</v>
      </c>
      <c r="D92" s="16">
        <f>IFERROR('Cash Flow Data'!F24,0)</f>
        <v>-1149</v>
      </c>
      <c r="E92" s="16">
        <f>IFERROR('Cash Flow Data'!G24,0)</f>
        <v>456</v>
      </c>
      <c r="F92" s="16">
        <f>IFERROR('Cash Flow Data'!H24,0)</f>
        <v>-1289</v>
      </c>
      <c r="G92" s="16">
        <f>IFERROR('Cash Flow Data'!I24,0)</f>
        <v>-26663</v>
      </c>
      <c r="H92" s="16">
        <f>IFERROR('Cash Flow Data'!J24,0)</f>
        <v>5360</v>
      </c>
      <c r="I92" s="16">
        <f>IFERROR('Cash Flow Data'!K24,0)</f>
        <v>7335</v>
      </c>
      <c r="J92" s="16">
        <f>IFERROR('Cash Flow Data'!L24,0)</f>
        <v>-2659</v>
      </c>
      <c r="K92" s="16">
        <f>IFERROR('Cash Flow Data'!M24,0)</f>
        <v>1051</v>
      </c>
      <c r="L92" s="16">
        <f>IFERROR('Cash Flow Data'!N24,0)</f>
        <v>12813</v>
      </c>
    </row>
    <row r="93" spans="2:12" x14ac:dyDescent="0.3">
      <c r="B93" s="15" t="s">
        <v>122</v>
      </c>
      <c r="C93" s="16">
        <f>SUM(C81:C92)</f>
        <v>-22969</v>
      </c>
      <c r="D93" s="16">
        <f t="shared" ref="D93:L93" si="23">SUM(D81:D92)</f>
        <v>-27991</v>
      </c>
      <c r="E93" s="16">
        <f t="shared" si="23"/>
        <v>-36233</v>
      </c>
      <c r="F93" s="16">
        <f t="shared" si="23"/>
        <v>-36694</v>
      </c>
      <c r="G93" s="16">
        <f t="shared" si="23"/>
        <v>-39572</v>
      </c>
      <c r="H93" s="16">
        <f t="shared" si="23"/>
        <v>-25140</v>
      </c>
      <c r="I93" s="16">
        <f t="shared" si="23"/>
        <v>-20879</v>
      </c>
      <c r="J93" s="16">
        <f t="shared" si="23"/>
        <v>-33116</v>
      </c>
      <c r="K93" s="16">
        <f t="shared" si="23"/>
        <v>-25671</v>
      </c>
      <c r="L93" s="16">
        <f t="shared" si="23"/>
        <v>-4442</v>
      </c>
    </row>
    <row r="95" spans="2:12" x14ac:dyDescent="0.3">
      <c r="B95" s="15" t="s">
        <v>123</v>
      </c>
    </row>
    <row r="96" spans="2:12" x14ac:dyDescent="0.3">
      <c r="B96" t="s">
        <v>106</v>
      </c>
      <c r="C96" s="16">
        <f>IFERROR('Cash Flow Data'!E26,0)</f>
        <v>1</v>
      </c>
      <c r="D96" s="16">
        <f>IFERROR('Cash Flow Data'!F26,0)</f>
        <v>0</v>
      </c>
      <c r="E96" s="16">
        <f>IFERROR('Cash Flow Data'!G26,0)</f>
        <v>0</v>
      </c>
      <c r="F96" s="16">
        <f>IFERROR('Cash Flow Data'!H26,0)</f>
        <v>7433</v>
      </c>
      <c r="G96" s="16">
        <f>IFERROR('Cash Flow Data'!I26,0)</f>
        <v>5</v>
      </c>
      <c r="H96" s="16">
        <f>IFERROR('Cash Flow Data'!J26,0)</f>
        <v>0</v>
      </c>
      <c r="I96" s="16">
        <f>IFERROR('Cash Flow Data'!K26,0)</f>
        <v>0</v>
      </c>
      <c r="J96" s="16">
        <f>IFERROR('Cash Flow Data'!L26,0)</f>
        <v>3889</v>
      </c>
      <c r="K96" s="16">
        <f>IFERROR('Cash Flow Data'!M26,0)</f>
        <v>2603</v>
      </c>
      <c r="L96" s="16">
        <f>IFERROR('Cash Flow Data'!N26,0)</f>
        <v>19</v>
      </c>
    </row>
    <row r="97" spans="2:12" x14ac:dyDescent="0.3">
      <c r="B97" t="s">
        <v>107</v>
      </c>
      <c r="C97" s="16">
        <f>IFERROR('Cash Flow Data'!E27,0)</f>
        <v>-97</v>
      </c>
      <c r="D97" s="16">
        <f>IFERROR('Cash Flow Data'!F27,0)</f>
        <v>-658</v>
      </c>
      <c r="E97" s="16">
        <f>IFERROR('Cash Flow Data'!G27,0)</f>
        <v>-744</v>
      </c>
      <c r="F97" s="16">
        <f>IFERROR('Cash Flow Data'!H27,0)</f>
        <v>0</v>
      </c>
      <c r="G97" s="16">
        <f>IFERROR('Cash Flow Data'!I27,0)</f>
        <v>0</v>
      </c>
      <c r="H97" s="16">
        <f>IFERROR('Cash Flow Data'!J27,0)</f>
        <v>0</v>
      </c>
      <c r="I97" s="16">
        <f>IFERROR('Cash Flow Data'!K27,0)</f>
        <v>0</v>
      </c>
      <c r="J97" s="16">
        <f>IFERROR('Cash Flow Data'!L27,0)</f>
        <v>0</v>
      </c>
      <c r="K97" s="16">
        <f>IFERROR('Cash Flow Data'!M27,0)</f>
        <v>0</v>
      </c>
      <c r="L97" s="16">
        <f>IFERROR('Cash Flow Data'!N27,0)</f>
        <v>0</v>
      </c>
    </row>
    <row r="98" spans="2:12" x14ac:dyDescent="0.3">
      <c r="B98" t="s">
        <v>108</v>
      </c>
      <c r="C98" s="16">
        <f>IFERROR('Cash Flow Data'!E28,0)</f>
        <v>27863</v>
      </c>
      <c r="D98" s="16">
        <f>IFERROR('Cash Flow Data'!F28,0)</f>
        <v>33258</v>
      </c>
      <c r="E98" s="16">
        <f>IFERROR('Cash Flow Data'!G28,0)</f>
        <v>36363</v>
      </c>
      <c r="F98" s="16">
        <f>IFERROR('Cash Flow Data'!H28,0)</f>
        <v>19519</v>
      </c>
      <c r="G98" s="16">
        <f>IFERROR('Cash Flow Data'!I28,0)</f>
        <v>33390</v>
      </c>
      <c r="H98" s="16">
        <f>IFERROR('Cash Flow Data'!J28,0)</f>
        <v>37482</v>
      </c>
      <c r="I98" s="16">
        <f>IFERROR('Cash Flow Data'!K28,0)</f>
        <v>51128</v>
      </c>
      <c r="J98" s="16">
        <f>IFERROR('Cash Flow Data'!L28,0)</f>
        <v>38297</v>
      </c>
      <c r="K98" s="16">
        <f>IFERROR('Cash Flow Data'!M28,0)</f>
        <v>46641</v>
      </c>
      <c r="L98" s="16">
        <f>IFERROR('Cash Flow Data'!N28,0)</f>
        <v>46578</v>
      </c>
    </row>
    <row r="99" spans="2:12" x14ac:dyDescent="0.3">
      <c r="B99" t="s">
        <v>109</v>
      </c>
      <c r="C99" s="16">
        <f>IFERROR('Cash Flow Data'!E29,0)</f>
        <v>-20395</v>
      </c>
      <c r="D99" s="16">
        <f>IFERROR('Cash Flow Data'!F29,0)</f>
        <v>-29141</v>
      </c>
      <c r="E99" s="16">
        <f>IFERROR('Cash Flow Data'!G29,0)</f>
        <v>-23332</v>
      </c>
      <c r="F99" s="16">
        <f>IFERROR('Cash Flow Data'!H29,0)</f>
        <v>-24924</v>
      </c>
      <c r="G99" s="16">
        <f>IFERROR('Cash Flow Data'!I29,0)</f>
        <v>-21732</v>
      </c>
      <c r="H99" s="16">
        <f>IFERROR('Cash Flow Data'!J29,0)</f>
        <v>-29964</v>
      </c>
      <c r="I99" s="16">
        <f>IFERROR('Cash Flow Data'!K29,0)</f>
        <v>-35198</v>
      </c>
      <c r="J99" s="16">
        <f>IFERROR('Cash Flow Data'!L29,0)</f>
        <v>-29847</v>
      </c>
      <c r="K99" s="16">
        <f>IFERROR('Cash Flow Data'!M29,0)</f>
        <v>-29709</v>
      </c>
      <c r="L99" s="16">
        <f>IFERROR('Cash Flow Data'!N29,0)</f>
        <v>-42816</v>
      </c>
    </row>
    <row r="100" spans="2:12" x14ac:dyDescent="0.3">
      <c r="B100" t="s">
        <v>110</v>
      </c>
      <c r="C100" s="16">
        <f>IFERROR('Cash Flow Data'!E30,0)</f>
        <v>0</v>
      </c>
      <c r="D100" s="16">
        <f>IFERROR('Cash Flow Data'!F30,0)</f>
        <v>0</v>
      </c>
      <c r="E100" s="16">
        <f>IFERROR('Cash Flow Data'!G30,0)</f>
        <v>0</v>
      </c>
      <c r="F100" s="16">
        <f>IFERROR('Cash Flow Data'!H30,0)</f>
        <v>0</v>
      </c>
      <c r="G100" s="16">
        <f>IFERROR('Cash Flow Data'!I30,0)</f>
        <v>0</v>
      </c>
      <c r="H100" s="16">
        <f>IFERROR('Cash Flow Data'!J30,0)</f>
        <v>0</v>
      </c>
      <c r="I100" s="16">
        <f>IFERROR('Cash Flow Data'!K30,0)</f>
        <v>0</v>
      </c>
      <c r="J100" s="16">
        <f>IFERROR('Cash Flow Data'!L30,0)</f>
        <v>0</v>
      </c>
      <c r="K100" s="16">
        <f>IFERROR('Cash Flow Data'!M30,0)</f>
        <v>0</v>
      </c>
      <c r="L100" s="16">
        <f>IFERROR('Cash Flow Data'!N30,0)</f>
        <v>0</v>
      </c>
    </row>
    <row r="101" spans="2:12" x14ac:dyDescent="0.3">
      <c r="B101" t="s">
        <v>111</v>
      </c>
      <c r="C101" s="16">
        <f>IFERROR('Cash Flow Data'!E31,0)</f>
        <v>-4666</v>
      </c>
      <c r="D101" s="16">
        <f>IFERROR('Cash Flow Data'!F31,0)</f>
        <v>-6171</v>
      </c>
      <c r="E101" s="16">
        <f>IFERROR('Cash Flow Data'!G31,0)</f>
        <v>-6307</v>
      </c>
      <c r="F101" s="16">
        <f>IFERROR('Cash Flow Data'!H31,0)</f>
        <v>-5716</v>
      </c>
      <c r="G101" s="16">
        <f>IFERROR('Cash Flow Data'!I31,0)</f>
        <v>-5336</v>
      </c>
      <c r="H101" s="16">
        <f>IFERROR('Cash Flow Data'!J31,0)</f>
        <v>-5411</v>
      </c>
      <c r="I101" s="16">
        <f>IFERROR('Cash Flow Data'!K31,0)</f>
        <v>-7005</v>
      </c>
      <c r="J101" s="16">
        <f>IFERROR('Cash Flow Data'!L31,0)</f>
        <v>-7518</v>
      </c>
      <c r="K101" s="16">
        <f>IFERROR('Cash Flow Data'!M31,0)</f>
        <v>-8123</v>
      </c>
      <c r="L101" s="16">
        <f>IFERROR('Cash Flow Data'!N31,0)</f>
        <v>-9251</v>
      </c>
    </row>
    <row r="102" spans="2:12" x14ac:dyDescent="0.3">
      <c r="B102" t="s">
        <v>112</v>
      </c>
      <c r="C102" s="16">
        <f>IFERROR('Cash Flow Data'!E32,0)</f>
        <v>-1551</v>
      </c>
      <c r="D102" s="16">
        <f>IFERROR('Cash Flow Data'!F32,0)</f>
        <v>-722</v>
      </c>
      <c r="E102" s="16">
        <f>IFERROR('Cash Flow Data'!G32,0)</f>
        <v>-720</v>
      </c>
      <c r="F102" s="16">
        <f>IFERROR('Cash Flow Data'!H32,0)</f>
        <v>-108</v>
      </c>
      <c r="G102" s="16">
        <f>IFERROR('Cash Flow Data'!I32,0)</f>
        <v>-121</v>
      </c>
      <c r="H102" s="16">
        <f>IFERROR('Cash Flow Data'!J32,0)</f>
        <v>-96</v>
      </c>
      <c r="I102" s="16">
        <f>IFERROR('Cash Flow Data'!K32,0)</f>
        <v>-95</v>
      </c>
      <c r="J102" s="16">
        <f>IFERROR('Cash Flow Data'!L32,0)</f>
        <v>-57</v>
      </c>
      <c r="K102" s="16">
        <f>IFERROR('Cash Flow Data'!M32,0)</f>
        <v>-30</v>
      </c>
      <c r="L102" s="16">
        <f>IFERROR('Cash Flow Data'!N32,0)</f>
        <v>-100</v>
      </c>
    </row>
    <row r="103" spans="2:12" x14ac:dyDescent="0.3">
      <c r="B103" t="s">
        <v>113</v>
      </c>
      <c r="C103" s="16">
        <f>IFERROR('Cash Flow Data'!E33,0)</f>
        <v>0</v>
      </c>
      <c r="D103" s="16">
        <f>IFERROR('Cash Flow Data'!F33,0)</f>
        <v>0</v>
      </c>
      <c r="E103" s="16">
        <f>IFERROR('Cash Flow Data'!G33,0)</f>
        <v>0</v>
      </c>
      <c r="F103" s="16">
        <f>IFERROR('Cash Flow Data'!H33,0)</f>
        <v>0</v>
      </c>
      <c r="G103" s="16">
        <f>IFERROR('Cash Flow Data'!I33,0)</f>
        <v>0</v>
      </c>
      <c r="H103" s="16">
        <f>IFERROR('Cash Flow Data'!J33,0)</f>
        <v>0</v>
      </c>
      <c r="I103" s="16">
        <f>IFERROR('Cash Flow Data'!K33,0)</f>
        <v>0</v>
      </c>
      <c r="J103" s="16">
        <f>IFERROR('Cash Flow Data'!L33,0)</f>
        <v>-1346</v>
      </c>
      <c r="K103" s="16">
        <f>IFERROR('Cash Flow Data'!M33,0)</f>
        <v>-1477</v>
      </c>
      <c r="L103" s="16">
        <f>IFERROR('Cash Flow Data'!N33,0)</f>
        <v>-1559</v>
      </c>
    </row>
    <row r="104" spans="2:12" x14ac:dyDescent="0.3">
      <c r="B104" t="s">
        <v>114</v>
      </c>
      <c r="C104" s="16">
        <f>IFERROR('Cash Flow Data'!E34,0)</f>
        <v>-2849</v>
      </c>
      <c r="D104" s="16">
        <f>IFERROR('Cash Flow Data'!F34,0)</f>
        <v>-450</v>
      </c>
      <c r="E104" s="16">
        <f>IFERROR('Cash Flow Data'!G34,0)</f>
        <v>-57</v>
      </c>
      <c r="F104" s="16">
        <f>IFERROR('Cash Flow Data'!H34,0)</f>
        <v>0</v>
      </c>
      <c r="G104" s="16">
        <f>IFERROR('Cash Flow Data'!I34,0)</f>
        <v>0</v>
      </c>
      <c r="H104" s="16">
        <f>IFERROR('Cash Flow Data'!J34,0)</f>
        <v>0</v>
      </c>
      <c r="I104" s="16">
        <f>IFERROR('Cash Flow Data'!K34,0)</f>
        <v>0</v>
      </c>
      <c r="J104" s="16">
        <f>IFERROR('Cash Flow Data'!L34,0)</f>
        <v>-29</v>
      </c>
      <c r="K104" s="16">
        <f>IFERROR('Cash Flow Data'!M34,0)</f>
        <v>0</v>
      </c>
      <c r="L104" s="16">
        <f>IFERROR('Cash Flow Data'!N34,0)</f>
        <v>3750</v>
      </c>
    </row>
    <row r="105" spans="2:12" x14ac:dyDescent="0.3">
      <c r="B105" s="15" t="s">
        <v>124</v>
      </c>
      <c r="C105" s="28">
        <f>SUM(C96:C104)</f>
        <v>-1694</v>
      </c>
      <c r="D105" s="28">
        <f t="shared" ref="D105:L105" si="24">SUM(D96:D104)</f>
        <v>-3884</v>
      </c>
      <c r="E105" s="28">
        <f t="shared" si="24"/>
        <v>5203</v>
      </c>
      <c r="F105" s="28">
        <f t="shared" si="24"/>
        <v>-3796</v>
      </c>
      <c r="G105" s="28">
        <f t="shared" si="24"/>
        <v>6206</v>
      </c>
      <c r="H105" s="28">
        <f t="shared" si="24"/>
        <v>2011</v>
      </c>
      <c r="I105" s="28">
        <f t="shared" si="24"/>
        <v>8830</v>
      </c>
      <c r="J105" s="28">
        <f t="shared" si="24"/>
        <v>3389</v>
      </c>
      <c r="K105" s="28">
        <f t="shared" si="24"/>
        <v>9905</v>
      </c>
      <c r="L105" s="28">
        <f t="shared" si="24"/>
        <v>-3379</v>
      </c>
    </row>
    <row r="107" spans="2:12" x14ac:dyDescent="0.3">
      <c r="B107" s="15" t="s">
        <v>52</v>
      </c>
      <c r="C107" s="28">
        <f>IFERROR(C78+C93+C105,0)</f>
        <v>-2504</v>
      </c>
      <c r="D107" s="28">
        <f t="shared" ref="D107:L107" si="25">IFERROR(D78+D93+D105,0)</f>
        <v>8433</v>
      </c>
      <c r="E107" s="28">
        <f t="shared" si="25"/>
        <v>830</v>
      </c>
      <c r="F107" s="28">
        <f t="shared" si="25"/>
        <v>-1278</v>
      </c>
      <c r="G107" s="28">
        <f t="shared" si="25"/>
        <v>88</v>
      </c>
      <c r="H107" s="28">
        <f t="shared" si="25"/>
        <v>-5706</v>
      </c>
      <c r="I107" s="28">
        <f t="shared" si="25"/>
        <v>-378</v>
      </c>
      <c r="J107" s="28">
        <f t="shared" si="25"/>
        <v>1971</v>
      </c>
      <c r="K107" s="28">
        <f t="shared" si="25"/>
        <v>13141</v>
      </c>
      <c r="L107" s="28">
        <f t="shared" si="25"/>
        <v>-4013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79" activePane="bottomRight" state="frozen"/>
      <selection activeCell="C4" sqref="C4"/>
      <selection pane="topRight" activeCell="C4" sqref="C4"/>
      <selection pane="bottomLeft" activeCell="C4" sqref="C4"/>
      <selection pane="bottomRight" activeCell="K34" sqref="K34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119" t="str">
        <f>IF(B2&lt;&gt;B3, "A NEW VERSION OF THE WORKSHEET IS AVAILABLE", "")</f>
        <v/>
      </c>
      <c r="F1" s="119"/>
      <c r="G1" s="119"/>
      <c r="H1" s="119"/>
      <c r="I1" s="119"/>
      <c r="J1" s="119"/>
      <c r="K1" s="119"/>
    </row>
    <row r="2" spans="1:11" x14ac:dyDescent="0.25">
      <c r="A2" s="1" t="s">
        <v>2</v>
      </c>
      <c r="B2" s="2">
        <v>2.1</v>
      </c>
      <c r="E2" s="120" t="s">
        <v>3</v>
      </c>
      <c r="F2" s="120"/>
      <c r="G2" s="120"/>
      <c r="H2" s="120"/>
      <c r="I2" s="120"/>
      <c r="J2" s="120"/>
      <c r="K2" s="120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1252.9467655683973</v>
      </c>
    </row>
    <row r="7" spans="1:11" x14ac:dyDescent="0.25">
      <c r="A7" s="2" t="s">
        <v>7</v>
      </c>
      <c r="B7" s="3">
        <v>1</v>
      </c>
    </row>
    <row r="8" spans="1:11" x14ac:dyDescent="0.25">
      <c r="A8" s="2" t="s">
        <v>8</v>
      </c>
      <c r="B8" s="3">
        <v>289.85000000000002</v>
      </c>
    </row>
    <row r="9" spans="1:11" x14ac:dyDescent="0.25">
      <c r="A9" s="2" t="s">
        <v>9</v>
      </c>
      <c r="B9" s="3">
        <v>363166.62</v>
      </c>
    </row>
    <row r="15" spans="1:11" x14ac:dyDescent="0.25">
      <c r="A15" s="1" t="s">
        <v>10</v>
      </c>
      <c r="B15" s="2">
        <f>B26+B34</f>
        <v>18193.140000000003</v>
      </c>
      <c r="K15" s="2">
        <f>K17-K18-K20-K21-K22-K23-K19</f>
        <v>34438.1</v>
      </c>
    </row>
    <row r="16" spans="1:11" s="6" customFormat="1" x14ac:dyDescent="0.25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5">
      <c r="A17" s="2" t="s">
        <v>12</v>
      </c>
      <c r="B17" s="3">
        <v>42767.6</v>
      </c>
      <c r="C17" s="3">
        <v>43448.94</v>
      </c>
      <c r="D17" s="3">
        <v>48339.58</v>
      </c>
      <c r="E17" s="3">
        <v>49387.7</v>
      </c>
      <c r="F17" s="3">
        <v>49257.45</v>
      </c>
      <c r="G17" s="3">
        <v>60644.54</v>
      </c>
      <c r="H17" s="3">
        <v>70919.03</v>
      </c>
      <c r="I17" s="3">
        <v>67931.94</v>
      </c>
      <c r="J17" s="3">
        <v>75323.34</v>
      </c>
      <c r="K17" s="3">
        <v>78868.399999999994</v>
      </c>
    </row>
    <row r="18" spans="1:11" ht="14.4" x14ac:dyDescent="0.3">
      <c r="A18" s="2" t="s">
        <v>13</v>
      </c>
      <c r="B18" s="7">
        <v>15456.59</v>
      </c>
      <c r="C18" s="7">
        <v>14827.72</v>
      </c>
      <c r="D18" s="7">
        <v>17623.52</v>
      </c>
      <c r="E18" s="7">
        <v>18048.599999999999</v>
      </c>
      <c r="F18" s="7">
        <v>20776.71</v>
      </c>
      <c r="G18" s="7">
        <v>27071.07</v>
      </c>
      <c r="H18" s="7">
        <v>29364.36</v>
      </c>
      <c r="I18" s="7">
        <v>27348.57</v>
      </c>
      <c r="J18" s="7">
        <v>32704.37</v>
      </c>
      <c r="K18" s="7">
        <v>35098.339999999997</v>
      </c>
    </row>
    <row r="19" spans="1:11" ht="14.4" x14ac:dyDescent="0.3">
      <c r="A19" s="2" t="s">
        <v>14</v>
      </c>
      <c r="B19" s="7">
        <v>-592.57000000000005</v>
      </c>
      <c r="C19" s="7">
        <v>-1027.76</v>
      </c>
      <c r="D19" s="7">
        <v>203.19</v>
      </c>
      <c r="E19" s="7">
        <v>703.13</v>
      </c>
      <c r="F19" s="7">
        <v>645.27</v>
      </c>
      <c r="G19" s="7">
        <v>686</v>
      </c>
      <c r="H19" s="7">
        <v>358.59</v>
      </c>
      <c r="I19" s="7">
        <v>367.77</v>
      </c>
      <c r="J19" s="7">
        <v>725.65</v>
      </c>
      <c r="K19" s="7">
        <v>2550.46</v>
      </c>
    </row>
    <row r="20" spans="1:11" x14ac:dyDescent="0.25">
      <c r="A20" s="2" t="s">
        <v>15</v>
      </c>
      <c r="B20" s="3">
        <v>584.33000000000004</v>
      </c>
      <c r="C20" s="3">
        <v>653.5</v>
      </c>
      <c r="D20" s="3">
        <v>746.73</v>
      </c>
      <c r="E20" s="3">
        <v>780.85</v>
      </c>
      <c r="F20" s="3">
        <v>699.56</v>
      </c>
      <c r="G20" s="3">
        <v>889.77</v>
      </c>
      <c r="H20" s="3">
        <v>1232.3399999999999</v>
      </c>
      <c r="I20" s="3">
        <v>952.9</v>
      </c>
      <c r="J20" s="3">
        <v>975.35</v>
      </c>
      <c r="K20" s="3"/>
    </row>
    <row r="21" spans="1:11" x14ac:dyDescent="0.25">
      <c r="A21" s="2" t="s">
        <v>16</v>
      </c>
      <c r="B21" s="3">
        <v>1683.9</v>
      </c>
      <c r="C21" s="3">
        <v>1697.62</v>
      </c>
      <c r="D21" s="3">
        <v>1871.01</v>
      </c>
      <c r="E21" s="3">
        <v>1908.29</v>
      </c>
      <c r="F21" s="3">
        <v>1587.18</v>
      </c>
      <c r="G21" s="3">
        <v>1887.67</v>
      </c>
      <c r="H21" s="3">
        <v>2327.8000000000002</v>
      </c>
      <c r="I21" s="3">
        <v>2183.7600000000002</v>
      </c>
      <c r="J21" s="3">
        <v>2345.36</v>
      </c>
      <c r="K21" s="3"/>
    </row>
    <row r="22" spans="1:11" x14ac:dyDescent="0.25">
      <c r="A22" s="2" t="s">
        <v>17</v>
      </c>
      <c r="B22" s="3">
        <v>3631.73</v>
      </c>
      <c r="C22" s="3">
        <v>3760.9</v>
      </c>
      <c r="D22" s="3">
        <v>4177.88</v>
      </c>
      <c r="E22" s="3">
        <v>4295.79</v>
      </c>
      <c r="F22" s="3">
        <v>4463.33</v>
      </c>
      <c r="G22" s="3">
        <v>4890.55</v>
      </c>
      <c r="H22" s="3">
        <v>5736.22</v>
      </c>
      <c r="I22" s="3">
        <v>5548.53</v>
      </c>
      <c r="J22" s="3">
        <v>6169.78</v>
      </c>
      <c r="K22" s="3">
        <v>6781.5</v>
      </c>
    </row>
    <row r="23" spans="1:11" x14ac:dyDescent="0.25">
      <c r="A23" s="2" t="s">
        <v>18</v>
      </c>
      <c r="B23" s="3">
        <v>4179.74</v>
      </c>
      <c r="C23" s="3">
        <v>3954.87</v>
      </c>
      <c r="D23" s="3">
        <v>4546.3900000000003</v>
      </c>
      <c r="E23" s="3">
        <v>4488.63</v>
      </c>
      <c r="F23" s="3">
        <v>4236.7700000000004</v>
      </c>
      <c r="G23" s="3">
        <v>4858.38</v>
      </c>
      <c r="H23" s="3">
        <v>5604.08</v>
      </c>
      <c r="I23" s="3">
        <v>5312.45</v>
      </c>
      <c r="J23" s="3">
        <v>5793.29</v>
      </c>
      <c r="K23" s="3"/>
    </row>
    <row r="24" spans="1:11" x14ac:dyDescent="0.25">
      <c r="A24" s="2" t="s">
        <v>19</v>
      </c>
      <c r="B24" s="3">
        <v>1169.23</v>
      </c>
      <c r="C24" s="3">
        <v>1005.98</v>
      </c>
      <c r="D24" s="3">
        <v>1039.8499999999999</v>
      </c>
      <c r="E24" s="3">
        <v>1225.1300000000001</v>
      </c>
      <c r="F24" s="3">
        <v>1074.3900000000001</v>
      </c>
      <c r="G24" s="3">
        <v>1109.95</v>
      </c>
      <c r="H24" s="3">
        <v>1308.56</v>
      </c>
      <c r="I24" s="3">
        <v>1765.97</v>
      </c>
      <c r="J24" s="3">
        <v>2221.39</v>
      </c>
      <c r="K24" s="3">
        <v>12221.11</v>
      </c>
    </row>
    <row r="25" spans="1:11" x14ac:dyDescent="0.25">
      <c r="A25" s="2" t="s">
        <v>20</v>
      </c>
      <c r="B25" s="3">
        <v>1758.63</v>
      </c>
      <c r="C25" s="3">
        <v>2239.81</v>
      </c>
      <c r="D25" s="3">
        <v>2080.44</v>
      </c>
      <c r="E25" s="3">
        <v>2417.3200000000002</v>
      </c>
      <c r="F25" s="3">
        <v>2576.9499999999998</v>
      </c>
      <c r="G25" s="3">
        <v>1909.72</v>
      </c>
      <c r="H25" s="3">
        <v>2097.64</v>
      </c>
      <c r="I25" s="3">
        <v>3330.45</v>
      </c>
      <c r="J25" s="3">
        <v>17794.88</v>
      </c>
      <c r="K25" s="3">
        <v>2511.1799999999998</v>
      </c>
    </row>
    <row r="26" spans="1:11" x14ac:dyDescent="0.25">
      <c r="A26" s="2" t="s">
        <v>21</v>
      </c>
      <c r="B26" s="3">
        <v>1152.79</v>
      </c>
      <c r="C26" s="3">
        <v>1236.28</v>
      </c>
      <c r="D26" s="3">
        <v>1396.61</v>
      </c>
      <c r="E26" s="3">
        <v>1644.91</v>
      </c>
      <c r="F26" s="3">
        <v>1645.59</v>
      </c>
      <c r="G26" s="3">
        <v>1732.41</v>
      </c>
      <c r="H26" s="3">
        <v>1809.01</v>
      </c>
      <c r="I26" s="3">
        <v>1518.05</v>
      </c>
      <c r="J26" s="3">
        <v>1646.32</v>
      </c>
      <c r="K26" s="3">
        <v>1710.53</v>
      </c>
    </row>
    <row r="27" spans="1:11" ht="14.4" x14ac:dyDescent="0.3">
      <c r="A27" s="2" t="s">
        <v>22</v>
      </c>
      <c r="B27" s="3">
        <v>49.03</v>
      </c>
      <c r="C27" s="3">
        <v>115.01</v>
      </c>
      <c r="D27" s="3">
        <v>71.400000000000006</v>
      </c>
      <c r="E27" s="3">
        <v>81.38</v>
      </c>
      <c r="F27" s="3">
        <v>57.97</v>
      </c>
      <c r="G27" s="3">
        <v>59.99</v>
      </c>
      <c r="H27" s="3">
        <v>77.77</v>
      </c>
      <c r="I27" s="3">
        <v>39.11</v>
      </c>
      <c r="J27" s="7">
        <v>45.06</v>
      </c>
      <c r="K27" s="7">
        <v>85.17</v>
      </c>
    </row>
    <row r="28" spans="1:11" x14ac:dyDescent="0.25">
      <c r="A28" s="2" t="s">
        <v>23</v>
      </c>
      <c r="B28" s="3">
        <v>16026.32</v>
      </c>
      <c r="C28" s="3">
        <v>17409.11</v>
      </c>
      <c r="D28" s="3">
        <v>19149.82</v>
      </c>
      <c r="E28" s="3">
        <v>20034.57</v>
      </c>
      <c r="F28" s="3">
        <v>17938.169999999998</v>
      </c>
      <c r="G28" s="3">
        <v>20740.47</v>
      </c>
      <c r="H28" s="3">
        <v>25915.119999999999</v>
      </c>
      <c r="I28" s="3">
        <v>26960.82</v>
      </c>
      <c r="J28" s="3">
        <v>41942.949999999997</v>
      </c>
      <c r="K28" s="3">
        <v>28033.39</v>
      </c>
    </row>
    <row r="29" spans="1:11" x14ac:dyDescent="0.25">
      <c r="A29" s="2" t="s">
        <v>24</v>
      </c>
      <c r="B29" s="3">
        <v>5549.09</v>
      </c>
      <c r="C29" s="3">
        <v>5916.43</v>
      </c>
      <c r="D29" s="3">
        <v>6313.92</v>
      </c>
      <c r="E29" s="3">
        <v>4441.79</v>
      </c>
      <c r="F29" s="3">
        <v>4555.29</v>
      </c>
      <c r="G29" s="3">
        <v>5237.34</v>
      </c>
      <c r="H29" s="3">
        <v>6438.4</v>
      </c>
      <c r="I29" s="3">
        <v>6209.46</v>
      </c>
      <c r="J29" s="3">
        <v>6890.47</v>
      </c>
      <c r="K29" s="3">
        <v>7015.24</v>
      </c>
    </row>
    <row r="30" spans="1:11" x14ac:dyDescent="0.25">
      <c r="A30" s="2" t="s">
        <v>25</v>
      </c>
      <c r="B30" s="3">
        <v>10289.44</v>
      </c>
      <c r="C30" s="3">
        <v>11271.2</v>
      </c>
      <c r="D30" s="3">
        <v>12592.33</v>
      </c>
      <c r="E30" s="3">
        <v>15306.23</v>
      </c>
      <c r="F30" s="3">
        <v>13161.19</v>
      </c>
      <c r="G30" s="3">
        <v>15242.66</v>
      </c>
      <c r="H30" s="3">
        <v>19191.66</v>
      </c>
      <c r="I30" s="3">
        <v>20458.78</v>
      </c>
      <c r="J30" s="3">
        <v>34746.629999999997</v>
      </c>
      <c r="K30" s="3">
        <v>20689.47</v>
      </c>
    </row>
    <row r="31" spans="1:11" x14ac:dyDescent="0.25">
      <c r="A31" s="2" t="s">
        <v>26</v>
      </c>
      <c r="B31" s="3">
        <v>5770.02</v>
      </c>
      <c r="C31" s="3">
        <v>6285.21</v>
      </c>
      <c r="D31" s="3">
        <v>7048.7</v>
      </c>
      <c r="E31" s="3">
        <v>12476.58</v>
      </c>
      <c r="F31" s="3">
        <v>13231.96</v>
      </c>
      <c r="G31" s="3">
        <v>14171.8</v>
      </c>
      <c r="H31" s="3">
        <v>19263.400000000001</v>
      </c>
      <c r="I31" s="3">
        <v>17166.46</v>
      </c>
      <c r="J31" s="3">
        <v>17957.73</v>
      </c>
      <c r="K31" s="3">
        <v>18167.78</v>
      </c>
    </row>
    <row r="32" spans="1:11" x14ac:dyDescent="0.25">
      <c r="A32" s="2" t="s">
        <v>27</v>
      </c>
      <c r="B32" s="8">
        <f>B29/B28</f>
        <v>0.34624854614159711</v>
      </c>
      <c r="C32" s="8">
        <f t="shared" ref="C32:K32" si="0">C29/C28</f>
        <v>0.33984678136906482</v>
      </c>
      <c r="D32" s="8">
        <f t="shared" si="0"/>
        <v>0.32971171530594023</v>
      </c>
      <c r="E32" s="8">
        <f t="shared" si="0"/>
        <v>0.22170628069382073</v>
      </c>
      <c r="F32" s="8">
        <f t="shared" si="0"/>
        <v>0.25394396418363746</v>
      </c>
      <c r="G32" s="8">
        <f t="shared" si="0"/>
        <v>0.25251790340334618</v>
      </c>
      <c r="H32" s="8">
        <f t="shared" si="0"/>
        <v>0.24844183627164373</v>
      </c>
      <c r="I32" s="8">
        <f t="shared" si="0"/>
        <v>0.23031421151137094</v>
      </c>
      <c r="J32" s="8">
        <f t="shared" si="0"/>
        <v>0.16428195918503588</v>
      </c>
      <c r="K32" s="8">
        <f t="shared" si="0"/>
        <v>0.25024586751727135</v>
      </c>
    </row>
    <row r="34" spans="1:11" x14ac:dyDescent="0.25">
      <c r="A34" s="2" t="s">
        <v>28</v>
      </c>
      <c r="B34" s="2">
        <f>+B30+B29+B27+B26</f>
        <v>17040.350000000002</v>
      </c>
      <c r="C34" s="2">
        <f t="shared" ref="C34:K34" si="1">+C30+C29+C27+C26</f>
        <v>18538.919999999998</v>
      </c>
      <c r="D34" s="2">
        <f t="shared" si="1"/>
        <v>20374.260000000002</v>
      </c>
      <c r="E34" s="2">
        <f t="shared" si="1"/>
        <v>21474.31</v>
      </c>
      <c r="F34" s="2">
        <f t="shared" si="1"/>
        <v>19420.04</v>
      </c>
      <c r="G34" s="2">
        <f t="shared" si="1"/>
        <v>22272.400000000001</v>
      </c>
      <c r="H34" s="2">
        <f t="shared" si="1"/>
        <v>27516.839999999997</v>
      </c>
      <c r="I34" s="2">
        <f t="shared" si="1"/>
        <v>28225.399999999998</v>
      </c>
      <c r="J34" s="2">
        <f t="shared" si="1"/>
        <v>43328.479999999996</v>
      </c>
      <c r="K34" s="2">
        <f t="shared" si="1"/>
        <v>29500.409999999996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25">
      <c r="A42" s="2" t="s">
        <v>12</v>
      </c>
      <c r="B42" s="3">
        <v>17195.240000000002</v>
      </c>
      <c r="C42" s="3">
        <v>17037.8</v>
      </c>
      <c r="D42" s="3">
        <v>17777.810000000001</v>
      </c>
      <c r="E42" s="3">
        <v>19990.36</v>
      </c>
      <c r="F42" s="3">
        <v>18790.169999999998</v>
      </c>
      <c r="G42" s="3">
        <v>18765</v>
      </c>
      <c r="H42" s="3">
        <v>21494.79</v>
      </c>
      <c r="I42" s="3">
        <v>19501.63</v>
      </c>
      <c r="J42" s="3">
        <v>20047.3</v>
      </c>
      <c r="K42" s="3">
        <v>17824.68</v>
      </c>
    </row>
    <row r="43" spans="1:11" x14ac:dyDescent="0.25">
      <c r="A43" s="2" t="s">
        <v>30</v>
      </c>
      <c r="B43" s="3">
        <v>10985.01</v>
      </c>
      <c r="C43" s="3">
        <v>10735.73</v>
      </c>
      <c r="D43" s="3">
        <v>11232.97</v>
      </c>
      <c r="E43" s="3">
        <v>13438.28</v>
      </c>
      <c r="F43" s="3">
        <v>12428.27</v>
      </c>
      <c r="G43" s="3">
        <v>12245.61</v>
      </c>
      <c r="H43" s="3">
        <v>14678.32</v>
      </c>
      <c r="I43" s="3">
        <v>12806.94</v>
      </c>
      <c r="J43" s="3">
        <v>13164.78</v>
      </c>
      <c r="K43" s="3">
        <v>10900.45</v>
      </c>
    </row>
    <row r="44" spans="1:11" x14ac:dyDescent="0.25">
      <c r="A44" s="2" t="s">
        <v>20</v>
      </c>
      <c r="B44" s="3">
        <v>820.26</v>
      </c>
      <c r="C44" s="3">
        <v>868</v>
      </c>
      <c r="D44" s="3">
        <v>771.13</v>
      </c>
      <c r="E44" s="3">
        <v>690.31</v>
      </c>
      <c r="F44" s="3">
        <v>803.4</v>
      </c>
      <c r="G44" s="3">
        <v>15391.28</v>
      </c>
      <c r="H44" s="3">
        <v>750.97</v>
      </c>
      <c r="I44" s="3">
        <v>738.84</v>
      </c>
      <c r="J44" s="3">
        <v>321.85000000000002</v>
      </c>
      <c r="K44" s="3">
        <v>699.52</v>
      </c>
    </row>
    <row r="45" spans="1:11" x14ac:dyDescent="0.25">
      <c r="A45" s="2" t="s">
        <v>21</v>
      </c>
      <c r="B45" s="3">
        <v>384.04</v>
      </c>
      <c r="C45" s="3">
        <v>385.09</v>
      </c>
      <c r="D45" s="3">
        <v>403.13</v>
      </c>
      <c r="E45" s="3">
        <v>416.18</v>
      </c>
      <c r="F45" s="3">
        <v>415.98</v>
      </c>
      <c r="G45" s="3">
        <v>411.03</v>
      </c>
      <c r="H45" s="3">
        <v>422.96</v>
      </c>
      <c r="I45" s="3">
        <v>434.8</v>
      </c>
      <c r="J45" s="3">
        <v>430.82</v>
      </c>
      <c r="K45" s="3">
        <v>421.95</v>
      </c>
    </row>
    <row r="46" spans="1:11" ht="14.4" x14ac:dyDescent="0.3">
      <c r="A46" s="2" t="s">
        <v>22</v>
      </c>
      <c r="B46" s="7">
        <v>11.94</v>
      </c>
      <c r="C46" s="7">
        <v>10.72</v>
      </c>
      <c r="D46" s="7">
        <v>9.6</v>
      </c>
      <c r="E46" s="7">
        <v>14.73</v>
      </c>
      <c r="F46" s="7">
        <v>9.82</v>
      </c>
      <c r="G46" s="7">
        <v>10.91</v>
      </c>
      <c r="H46" s="7">
        <v>16.47</v>
      </c>
      <c r="I46" s="7">
        <v>20.05</v>
      </c>
      <c r="J46" s="7">
        <v>19.47</v>
      </c>
      <c r="K46" s="7">
        <v>29.18</v>
      </c>
    </row>
    <row r="47" spans="1:11" x14ac:dyDescent="0.25">
      <c r="A47" s="2" t="s">
        <v>23</v>
      </c>
      <c r="B47" s="3">
        <v>6634.51</v>
      </c>
      <c r="C47" s="3">
        <v>6774.26</v>
      </c>
      <c r="D47" s="3">
        <v>6903.24</v>
      </c>
      <c r="E47" s="3">
        <v>6811.48</v>
      </c>
      <c r="F47" s="3">
        <v>6739.5</v>
      </c>
      <c r="G47" s="3">
        <v>21488.73</v>
      </c>
      <c r="H47" s="3">
        <v>7128.01</v>
      </c>
      <c r="I47" s="3">
        <v>6978.68</v>
      </c>
      <c r="J47" s="3">
        <v>6754.08</v>
      </c>
      <c r="K47" s="3">
        <v>7172.62</v>
      </c>
    </row>
    <row r="48" spans="1:11" x14ac:dyDescent="0.25">
      <c r="A48" s="2" t="s">
        <v>24</v>
      </c>
      <c r="B48" s="3">
        <v>1227.99</v>
      </c>
      <c r="C48" s="3">
        <v>1583.55</v>
      </c>
      <c r="D48" s="3">
        <v>1726.25</v>
      </c>
      <c r="E48" s="3">
        <v>1757.05</v>
      </c>
      <c r="F48" s="3">
        <v>1726.32</v>
      </c>
      <c r="G48" s="3">
        <v>1680.85</v>
      </c>
      <c r="H48" s="3">
        <v>1784.6</v>
      </c>
      <c r="I48" s="3">
        <v>1792.13</v>
      </c>
      <c r="J48" s="3">
        <v>1735.63</v>
      </c>
      <c r="K48" s="3">
        <v>1702.88</v>
      </c>
    </row>
    <row r="49" spans="1:11" x14ac:dyDescent="0.25">
      <c r="A49" s="2" t="s">
        <v>25</v>
      </c>
      <c r="B49" s="3">
        <v>5335.23</v>
      </c>
      <c r="C49" s="3">
        <v>5120.55</v>
      </c>
      <c r="D49" s="3">
        <v>5091.59</v>
      </c>
      <c r="E49" s="3">
        <v>4992.87</v>
      </c>
      <c r="F49" s="3">
        <v>4934.8</v>
      </c>
      <c r="G49" s="3">
        <v>19727.37</v>
      </c>
      <c r="H49" s="3">
        <v>5244.2</v>
      </c>
      <c r="I49" s="3">
        <v>5126.1099999999997</v>
      </c>
      <c r="J49" s="3">
        <v>4931.1899999999996</v>
      </c>
      <c r="K49" s="3">
        <v>5387.97</v>
      </c>
    </row>
    <row r="50" spans="1:11" x14ac:dyDescent="0.25">
      <c r="A50" s="2" t="s">
        <v>31</v>
      </c>
      <c r="B50" s="3">
        <v>6210.23</v>
      </c>
      <c r="C50" s="3">
        <v>6302.07</v>
      </c>
      <c r="D50" s="3">
        <v>6544.84</v>
      </c>
      <c r="E50" s="3">
        <v>6552.08</v>
      </c>
      <c r="F50" s="3">
        <v>6361.9</v>
      </c>
      <c r="G50" s="3">
        <v>6519.39</v>
      </c>
      <c r="H50" s="3">
        <v>6816.47</v>
      </c>
      <c r="I50" s="3">
        <v>6694.69</v>
      </c>
      <c r="J50" s="3">
        <v>6882.52</v>
      </c>
      <c r="K50" s="3">
        <v>6924.23</v>
      </c>
    </row>
    <row r="51" spans="1:11" x14ac:dyDescent="0.25">
      <c r="A51" s="2" t="s">
        <v>28</v>
      </c>
      <c r="B51" s="2">
        <f>B49+B48+B46+B45</f>
        <v>6959.1999999999989</v>
      </c>
      <c r="C51" s="2">
        <f t="shared" ref="C51:K51" si="2">C49+C48+C46+C45</f>
        <v>7099.9100000000008</v>
      </c>
      <c r="D51" s="2">
        <f t="shared" si="2"/>
        <v>7230.5700000000006</v>
      </c>
      <c r="E51" s="2">
        <f t="shared" si="2"/>
        <v>7180.83</v>
      </c>
      <c r="F51" s="2">
        <f t="shared" si="2"/>
        <v>7086.92</v>
      </c>
      <c r="G51" s="2">
        <f t="shared" si="2"/>
        <v>21830.159999999996</v>
      </c>
      <c r="H51" s="2">
        <f t="shared" si="2"/>
        <v>7468.23</v>
      </c>
      <c r="I51" s="2">
        <f t="shared" si="2"/>
        <v>7373.09</v>
      </c>
      <c r="J51" s="2">
        <f t="shared" si="2"/>
        <v>7117.11</v>
      </c>
      <c r="K51" s="2">
        <f t="shared" si="2"/>
        <v>7541.9800000000005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2" t="s">
        <v>33</v>
      </c>
      <c r="B57" s="3">
        <v>1214.74</v>
      </c>
      <c r="C57" s="3">
        <v>1220.43</v>
      </c>
      <c r="D57" s="3">
        <v>1225.8599999999999</v>
      </c>
      <c r="E57" s="3">
        <v>1229.22</v>
      </c>
      <c r="F57" s="3">
        <v>1230.8800000000001</v>
      </c>
      <c r="G57" s="3">
        <v>1232.33</v>
      </c>
      <c r="H57" s="3">
        <v>1242.8</v>
      </c>
      <c r="I57" s="3">
        <v>1248.47</v>
      </c>
      <c r="J57" s="3">
        <v>1251.4100000000001</v>
      </c>
      <c r="K57" s="3">
        <v>1252.95</v>
      </c>
    </row>
    <row r="58" spans="1:11" x14ac:dyDescent="0.25">
      <c r="A58" s="2" t="s">
        <v>34</v>
      </c>
      <c r="B58" s="3">
        <v>45198.19</v>
      </c>
      <c r="C58" s="3">
        <v>51289.68</v>
      </c>
      <c r="D58" s="3">
        <v>57915.01</v>
      </c>
      <c r="E58" s="3">
        <v>64044.04</v>
      </c>
      <c r="F58" s="3">
        <v>59116.46</v>
      </c>
      <c r="G58" s="3">
        <v>61223.24</v>
      </c>
      <c r="H58" s="3">
        <v>67912.460000000006</v>
      </c>
      <c r="I58" s="3">
        <v>73258.53</v>
      </c>
      <c r="J58" s="3">
        <v>68778.64</v>
      </c>
      <c r="K58" s="3">
        <v>71254.350000000006</v>
      </c>
    </row>
    <row r="59" spans="1:11" ht="14.4" x14ac:dyDescent="0.3">
      <c r="A59" s="2" t="s">
        <v>35</v>
      </c>
      <c r="B59" s="7">
        <v>45.72</v>
      </c>
      <c r="C59" s="7">
        <v>35.92</v>
      </c>
      <c r="D59" s="7">
        <v>13.44</v>
      </c>
      <c r="E59" s="7">
        <v>277.45</v>
      </c>
      <c r="F59" s="7">
        <v>270.83</v>
      </c>
      <c r="G59" s="7">
        <v>249.44</v>
      </c>
      <c r="H59" s="7">
        <v>306.04000000000002</v>
      </c>
      <c r="I59" s="7">
        <v>303.43</v>
      </c>
      <c r="J59" s="7">
        <v>284.54000000000002</v>
      </c>
      <c r="K59" s="7">
        <v>2399.06</v>
      </c>
    </row>
    <row r="60" spans="1:11" x14ac:dyDescent="0.25">
      <c r="A60" s="2" t="s">
        <v>36</v>
      </c>
      <c r="B60" s="3">
        <v>9439.67</v>
      </c>
      <c r="C60" s="3">
        <v>11694.85</v>
      </c>
      <c r="D60" s="3">
        <v>12584.73</v>
      </c>
      <c r="E60" s="3">
        <v>11760.04</v>
      </c>
      <c r="F60" s="3">
        <v>13142.59</v>
      </c>
      <c r="G60" s="3">
        <v>14491.01</v>
      </c>
      <c r="H60" s="3">
        <v>16369.66</v>
      </c>
      <c r="I60" s="3">
        <v>16943.54</v>
      </c>
      <c r="J60" s="3">
        <v>17688.11</v>
      </c>
      <c r="K60" s="3">
        <v>18886.02</v>
      </c>
    </row>
    <row r="61" spans="1:11" s="1" customFormat="1" x14ac:dyDescent="0.25">
      <c r="A61" s="1" t="s">
        <v>37</v>
      </c>
      <c r="B61" s="3">
        <v>55898.32</v>
      </c>
      <c r="C61" s="3">
        <v>64240.88</v>
      </c>
      <c r="D61" s="3">
        <v>71739.039999999994</v>
      </c>
      <c r="E61" s="3">
        <v>77310.75</v>
      </c>
      <c r="F61" s="3">
        <v>73760.759999999995</v>
      </c>
      <c r="G61" s="3">
        <v>77196.02</v>
      </c>
      <c r="H61" s="3">
        <v>85830.96</v>
      </c>
      <c r="I61" s="3">
        <v>91753.97</v>
      </c>
      <c r="J61" s="3">
        <v>88002.7</v>
      </c>
      <c r="K61" s="3">
        <v>93792.38</v>
      </c>
    </row>
    <row r="62" spans="1:11" x14ac:dyDescent="0.25">
      <c r="A62" s="2" t="s">
        <v>38</v>
      </c>
      <c r="B62" s="3">
        <v>15893.48</v>
      </c>
      <c r="C62" s="3">
        <v>16523.96</v>
      </c>
      <c r="D62" s="3">
        <v>19374.189999999999</v>
      </c>
      <c r="E62" s="3">
        <v>21713.34</v>
      </c>
      <c r="F62" s="3">
        <v>23298.48</v>
      </c>
      <c r="G62" s="3">
        <v>24231.59</v>
      </c>
      <c r="H62" s="3">
        <v>25851.27</v>
      </c>
      <c r="I62" s="3">
        <v>27820.22</v>
      </c>
      <c r="J62" s="3">
        <v>21954.85</v>
      </c>
      <c r="K62" s="3">
        <v>22545</v>
      </c>
    </row>
    <row r="63" spans="1:11" x14ac:dyDescent="0.25">
      <c r="A63" s="2" t="s">
        <v>39</v>
      </c>
      <c r="B63" s="3">
        <v>3729.89</v>
      </c>
      <c r="C63" s="3">
        <v>5508.33</v>
      </c>
      <c r="D63" s="3">
        <v>4136.42</v>
      </c>
      <c r="E63" s="3">
        <v>3256.46</v>
      </c>
      <c r="F63" s="3">
        <v>4011.29</v>
      </c>
      <c r="G63" s="3">
        <v>3225.54</v>
      </c>
      <c r="H63" s="3">
        <v>3003.3</v>
      </c>
      <c r="I63" s="3">
        <v>2860.78</v>
      </c>
      <c r="J63" s="3">
        <v>1090.9100000000001</v>
      </c>
      <c r="K63" s="3">
        <v>1499.41</v>
      </c>
    </row>
    <row r="64" spans="1:11" ht="14.4" x14ac:dyDescent="0.3">
      <c r="A64" s="2" t="s">
        <v>40</v>
      </c>
      <c r="B64" s="3">
        <v>17581.38</v>
      </c>
      <c r="C64" s="7">
        <v>22052.86</v>
      </c>
      <c r="D64" s="3">
        <v>25043.49</v>
      </c>
      <c r="E64" s="3">
        <v>28663.35</v>
      </c>
      <c r="F64" s="3">
        <v>24870.87</v>
      </c>
      <c r="G64" s="3">
        <v>24841.01</v>
      </c>
      <c r="H64" s="3">
        <v>29415.02</v>
      </c>
      <c r="I64" s="3">
        <v>31114.02</v>
      </c>
      <c r="J64" s="3">
        <v>34719.82</v>
      </c>
      <c r="K64" s="3">
        <v>38128.43</v>
      </c>
    </row>
    <row r="65" spans="1:11" x14ac:dyDescent="0.25">
      <c r="A65" s="2" t="s">
        <v>41</v>
      </c>
      <c r="B65" s="3">
        <v>18693.57</v>
      </c>
      <c r="C65" s="3">
        <v>20155.73</v>
      </c>
      <c r="D65" s="3">
        <v>23184.94</v>
      </c>
      <c r="E65" s="3">
        <v>23677.599999999999</v>
      </c>
      <c r="F65" s="3">
        <v>21580.12</v>
      </c>
      <c r="G65" s="3">
        <v>24897.88</v>
      </c>
      <c r="H65" s="3">
        <v>27561.37</v>
      </c>
      <c r="I65" s="3">
        <v>29958.95</v>
      </c>
      <c r="J65" s="3">
        <v>30237.119999999999</v>
      </c>
      <c r="K65" s="3">
        <v>31619.54</v>
      </c>
    </row>
    <row r="66" spans="1:11" s="1" customFormat="1" x14ac:dyDescent="0.25">
      <c r="A66" s="1" t="s">
        <v>37</v>
      </c>
      <c r="B66" s="3">
        <v>55898.32</v>
      </c>
      <c r="C66" s="3">
        <v>64240.88</v>
      </c>
      <c r="D66" s="3">
        <v>71739.039999999994</v>
      </c>
      <c r="E66" s="3">
        <v>77310.75</v>
      </c>
      <c r="F66" s="3">
        <v>73760.759999999995</v>
      </c>
      <c r="G66" s="3">
        <v>77196.02</v>
      </c>
      <c r="H66" s="3">
        <v>85830.96</v>
      </c>
      <c r="I66" s="3">
        <v>91753.97</v>
      </c>
      <c r="J66" s="3">
        <v>88002.7</v>
      </c>
      <c r="K66" s="3">
        <v>93792.38</v>
      </c>
    </row>
    <row r="67" spans="1:11" x14ac:dyDescent="0.25">
      <c r="A67" s="2" t="s">
        <v>42</v>
      </c>
      <c r="B67" s="3">
        <v>2474.29</v>
      </c>
      <c r="C67" s="3">
        <v>2682.29</v>
      </c>
      <c r="D67" s="3">
        <v>4035.28</v>
      </c>
      <c r="E67" s="3">
        <v>2562.48</v>
      </c>
      <c r="F67" s="3">
        <v>2501.6999999999998</v>
      </c>
      <c r="G67" s="3">
        <v>2461.9</v>
      </c>
      <c r="H67" s="3">
        <v>2956.17</v>
      </c>
      <c r="I67" s="3">
        <v>4025.82</v>
      </c>
      <c r="J67" s="3">
        <v>4719.67</v>
      </c>
      <c r="K67" s="3">
        <v>3922.86</v>
      </c>
    </row>
    <row r="68" spans="1:11" ht="14.4" x14ac:dyDescent="0.3">
      <c r="A68" s="2" t="s">
        <v>43</v>
      </c>
      <c r="B68" s="7">
        <v>8116.1</v>
      </c>
      <c r="C68" s="7">
        <v>7495.09</v>
      </c>
      <c r="D68" s="7">
        <v>7859.56</v>
      </c>
      <c r="E68" s="7">
        <v>8879.33</v>
      </c>
      <c r="F68" s="7">
        <v>10397.16</v>
      </c>
      <c r="G68" s="7">
        <v>10864.15</v>
      </c>
      <c r="H68" s="7">
        <v>11771.16</v>
      </c>
      <c r="I68" s="7">
        <v>14152.88</v>
      </c>
      <c r="J68" s="7">
        <v>15637.56</v>
      </c>
      <c r="K68" s="7">
        <v>18622.96</v>
      </c>
    </row>
    <row r="69" spans="1:11" x14ac:dyDescent="0.25">
      <c r="A69" s="2" t="s">
        <v>44</v>
      </c>
      <c r="B69" s="3">
        <v>2967.4</v>
      </c>
      <c r="C69" s="3">
        <v>2899.6</v>
      </c>
      <c r="D69" s="3">
        <v>4152.03</v>
      </c>
      <c r="E69" s="3">
        <v>7277.34</v>
      </c>
      <c r="F69" s="3">
        <v>4659.0200000000004</v>
      </c>
      <c r="G69" s="3">
        <v>4654.42</v>
      </c>
      <c r="H69" s="3">
        <v>4880.1899999999996</v>
      </c>
      <c r="I69" s="3">
        <v>7217.68</v>
      </c>
      <c r="J69" s="3">
        <v>4012.36</v>
      </c>
      <c r="K69" s="3">
        <v>3008.79</v>
      </c>
    </row>
    <row r="70" spans="1:11" x14ac:dyDescent="0.25">
      <c r="A70" s="2" t="s">
        <v>45</v>
      </c>
      <c r="B70" s="3">
        <v>12147383071</v>
      </c>
      <c r="C70" s="3">
        <v>12204294911</v>
      </c>
      <c r="D70" s="3">
        <v>12258631601</v>
      </c>
      <c r="E70" s="3">
        <v>12292231241</v>
      </c>
      <c r="F70" s="3">
        <v>12308844231</v>
      </c>
      <c r="G70" s="3">
        <v>12323255931</v>
      </c>
      <c r="H70" s="3">
        <v>12428017741</v>
      </c>
      <c r="I70" s="3">
        <v>12484700000</v>
      </c>
      <c r="J70" s="3">
        <v>12514119781</v>
      </c>
      <c r="K70" s="3"/>
    </row>
    <row r="71" spans="1:11" ht="13.8" x14ac:dyDescent="0.25">
      <c r="A71" s="2" t="s">
        <v>46</v>
      </c>
      <c r="B71" s="9">
        <v>4026657100</v>
      </c>
      <c r="C71" s="9"/>
      <c r="G71" s="9"/>
      <c r="H71" s="9"/>
    </row>
    <row r="72" spans="1:11" x14ac:dyDescent="0.25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25">
      <c r="H73" s="2">
        <f>H62-G62+H45</f>
        <v>2042.6400000000003</v>
      </c>
      <c r="I73" s="2">
        <f>I62-H62+I45</f>
        <v>2403.7500000000009</v>
      </c>
      <c r="J73" s="2">
        <f>J62-I62+J45</f>
        <v>-5434.5500000000029</v>
      </c>
      <c r="K73" s="2">
        <f>K62-J62+K45</f>
        <v>1012.1000000000015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5">
      <c r="A82" s="2" t="s">
        <v>49</v>
      </c>
      <c r="B82" s="3">
        <v>10627.31</v>
      </c>
      <c r="C82" s="3">
        <v>13169.4</v>
      </c>
      <c r="D82" s="3">
        <v>12583.41</v>
      </c>
      <c r="E82" s="3">
        <v>14689.66</v>
      </c>
      <c r="F82" s="3">
        <v>12526.97</v>
      </c>
      <c r="G82" s="3">
        <v>15775.51</v>
      </c>
      <c r="H82" s="3">
        <v>18877.55</v>
      </c>
      <c r="I82" s="3">
        <v>17178.86</v>
      </c>
      <c r="J82" s="3">
        <v>17627.04</v>
      </c>
      <c r="K82" s="3">
        <v>18464.310000000001</v>
      </c>
    </row>
    <row r="83" spans="1:12" x14ac:dyDescent="0.25">
      <c r="A83" s="2" t="s">
        <v>50</v>
      </c>
      <c r="B83" s="3">
        <v>-3250.93</v>
      </c>
      <c r="C83" s="3">
        <v>-7113.89</v>
      </c>
      <c r="D83" s="3">
        <v>-5545.68</v>
      </c>
      <c r="E83" s="3">
        <v>-6174.02</v>
      </c>
      <c r="F83" s="3">
        <v>5739.98</v>
      </c>
      <c r="G83" s="3">
        <v>-2238.4899999999998</v>
      </c>
      <c r="H83" s="3">
        <v>-5732.29</v>
      </c>
      <c r="I83" s="3">
        <v>1562.77</v>
      </c>
      <c r="J83" s="3">
        <v>-563.84</v>
      </c>
      <c r="K83" s="3">
        <v>-2320.7399999999998</v>
      </c>
    </row>
    <row r="84" spans="1:12" x14ac:dyDescent="0.25">
      <c r="A84" s="2" t="s">
        <v>51</v>
      </c>
      <c r="B84" s="3">
        <v>-7301.03</v>
      </c>
      <c r="C84" s="3">
        <v>-6221.13</v>
      </c>
      <c r="D84" s="3">
        <v>-6868.64</v>
      </c>
      <c r="E84" s="3">
        <v>-8181.48</v>
      </c>
      <c r="F84" s="3">
        <v>-18633.830000000002</v>
      </c>
      <c r="G84" s="3">
        <v>-13580.5</v>
      </c>
      <c r="H84" s="3">
        <v>-13006.03</v>
      </c>
      <c r="I84" s="3">
        <v>-18550.96</v>
      </c>
      <c r="J84" s="3">
        <v>-17037.400000000001</v>
      </c>
      <c r="K84" s="3">
        <v>-16147.12</v>
      </c>
    </row>
    <row r="85" spans="1:12" s="1" customFormat="1" x14ac:dyDescent="0.25">
      <c r="A85" s="2" t="s">
        <v>52</v>
      </c>
      <c r="B85" s="3">
        <v>75.349999999999994</v>
      </c>
      <c r="C85" s="3">
        <v>-165.62</v>
      </c>
      <c r="D85" s="3">
        <v>169.09</v>
      </c>
      <c r="E85" s="3">
        <v>334.16</v>
      </c>
      <c r="F85" s="3">
        <v>-366.88</v>
      </c>
      <c r="G85" s="3">
        <v>-43.48</v>
      </c>
      <c r="H85" s="3">
        <v>139.22999999999999</v>
      </c>
      <c r="I85" s="3">
        <v>190.67</v>
      </c>
      <c r="J85" s="3">
        <v>25.8</v>
      </c>
      <c r="K85" s="3">
        <v>-3.55</v>
      </c>
    </row>
    <row r="90" spans="1:12" s="1" customFormat="1" x14ac:dyDescent="0.25">
      <c r="A90" s="1" t="s">
        <v>53</v>
      </c>
      <c r="B90" s="3">
        <v>262.75</v>
      </c>
      <c r="C90" s="3">
        <v>239.5</v>
      </c>
      <c r="D90" s="3">
        <v>278.64</v>
      </c>
      <c r="E90" s="3">
        <v>160.94999999999999</v>
      </c>
      <c r="F90" s="3">
        <v>204.82</v>
      </c>
      <c r="G90" s="3">
        <v>234.96</v>
      </c>
      <c r="H90" s="3">
        <v>359.49</v>
      </c>
      <c r="I90" s="3">
        <v>401.53</v>
      </c>
      <c r="J90" s="3">
        <v>409.75</v>
      </c>
      <c r="K90" s="3">
        <v>287.7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1214.74</v>
      </c>
      <c r="C93" s="10">
        <v>1220.43</v>
      </c>
      <c r="D93" s="10">
        <v>1225.8599999999999</v>
      </c>
      <c r="E93" s="10">
        <v>1229.22</v>
      </c>
      <c r="F93" s="10">
        <v>1230.8800000000001</v>
      </c>
      <c r="G93" s="10">
        <v>1232.33</v>
      </c>
      <c r="H93" s="10">
        <v>1242.8</v>
      </c>
      <c r="I93" s="10">
        <v>1248.47</v>
      </c>
      <c r="J93" s="10">
        <v>1251.4100000000001</v>
      </c>
      <c r="K93" s="10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B30" sqref="B30"/>
    </sheetView>
  </sheetViews>
  <sheetFormatPr defaultRowHeight="14.4" x14ac:dyDescent="0.3"/>
  <cols>
    <col min="2" max="2" width="28" bestFit="1" customWidth="1"/>
    <col min="3" max="14" width="7.33203125" bestFit="1" customWidth="1"/>
  </cols>
  <sheetData>
    <row r="2" spans="2:14" x14ac:dyDescent="0.3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3">
      <c r="B3" t="s">
        <v>115</v>
      </c>
      <c r="C3" s="29">
        <v>11240</v>
      </c>
      <c r="D3" s="29">
        <v>18384</v>
      </c>
      <c r="E3" s="29">
        <v>22163</v>
      </c>
      <c r="F3" s="29">
        <v>36151</v>
      </c>
      <c r="G3" s="29">
        <v>35531</v>
      </c>
      <c r="H3" s="29">
        <v>37900</v>
      </c>
      <c r="I3" s="29">
        <v>30199</v>
      </c>
      <c r="J3" s="29">
        <v>23857</v>
      </c>
      <c r="K3" s="29">
        <v>18891</v>
      </c>
      <c r="L3" s="29">
        <v>26633</v>
      </c>
      <c r="M3" s="29">
        <v>29001</v>
      </c>
      <c r="N3" s="29">
        <v>14283</v>
      </c>
    </row>
    <row r="4" spans="2:14" x14ac:dyDescent="0.3">
      <c r="B4" t="s">
        <v>88</v>
      </c>
      <c r="C4" s="29">
        <v>16680</v>
      </c>
      <c r="D4" s="29">
        <v>22432</v>
      </c>
      <c r="E4" s="29">
        <v>24406</v>
      </c>
      <c r="F4" s="29">
        <v>36303</v>
      </c>
      <c r="G4" s="29">
        <v>43397</v>
      </c>
      <c r="H4" s="29">
        <v>38626</v>
      </c>
      <c r="I4" s="29">
        <v>28840</v>
      </c>
      <c r="J4" s="29">
        <v>33312</v>
      </c>
      <c r="K4" s="29">
        <v>28771</v>
      </c>
      <c r="L4" s="29">
        <v>23352</v>
      </c>
      <c r="M4" s="29">
        <v>31198</v>
      </c>
      <c r="N4" s="29">
        <v>26666</v>
      </c>
    </row>
    <row r="5" spans="2:14" x14ac:dyDescent="0.3">
      <c r="B5" t="s">
        <v>42</v>
      </c>
      <c r="C5" s="29">
        <v>-1422</v>
      </c>
      <c r="D5" s="29">
        <v>-6659</v>
      </c>
      <c r="E5" s="29">
        <v>-5177</v>
      </c>
      <c r="F5">
        <v>445</v>
      </c>
      <c r="G5" s="29">
        <v>-3179</v>
      </c>
      <c r="H5" s="29">
        <v>-2223</v>
      </c>
      <c r="I5" s="29">
        <v>-4152</v>
      </c>
      <c r="J5" s="29">
        <v>-10688</v>
      </c>
      <c r="K5" s="29">
        <v>-9109</v>
      </c>
      <c r="L5" s="29">
        <v>9950</v>
      </c>
      <c r="M5" s="29">
        <v>-5505</v>
      </c>
      <c r="N5">
        <v>337</v>
      </c>
    </row>
    <row r="6" spans="2:14" x14ac:dyDescent="0.3">
      <c r="B6" t="s">
        <v>43</v>
      </c>
      <c r="C6" s="29">
        <v>-2411</v>
      </c>
      <c r="D6" s="29">
        <v>-2719</v>
      </c>
      <c r="E6" s="29">
        <v>-2656</v>
      </c>
      <c r="F6" s="29">
        <v>-2853</v>
      </c>
      <c r="G6" s="29">
        <v>-3692</v>
      </c>
      <c r="H6" s="29">
        <v>-5743</v>
      </c>
      <c r="I6" s="29">
        <v>-6621</v>
      </c>
      <c r="J6" s="29">
        <v>-3560</v>
      </c>
      <c r="K6" s="29">
        <v>2069</v>
      </c>
      <c r="L6" s="29">
        <v>2326</v>
      </c>
      <c r="M6" s="29">
        <v>3814</v>
      </c>
      <c r="N6">
        <v>597</v>
      </c>
    </row>
    <row r="7" spans="2:14" x14ac:dyDescent="0.3">
      <c r="B7" t="s">
        <v>89</v>
      </c>
      <c r="C7">
        <v>344</v>
      </c>
      <c r="D7" s="29">
        <v>5867</v>
      </c>
      <c r="E7" s="29">
        <v>8132</v>
      </c>
      <c r="F7" s="29">
        <v>4694</v>
      </c>
      <c r="G7" s="29">
        <v>3598</v>
      </c>
      <c r="H7" s="29">
        <v>3947</v>
      </c>
      <c r="I7" s="29">
        <v>9301</v>
      </c>
      <c r="J7" s="29">
        <v>7320</v>
      </c>
      <c r="K7" s="29">
        <v>-4692</v>
      </c>
      <c r="L7" s="29">
        <v>-8085</v>
      </c>
      <c r="M7" s="29">
        <v>5748</v>
      </c>
      <c r="N7" s="29">
        <v>-7012</v>
      </c>
    </row>
    <row r="8" spans="2:14" x14ac:dyDescent="0.3"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91</v>
      </c>
      <c r="C9">
        <v>-559</v>
      </c>
      <c r="D9" s="29">
        <v>1231</v>
      </c>
      <c r="E9">
        <v>-303</v>
      </c>
      <c r="F9" s="29">
        <v>1870</v>
      </c>
      <c r="G9">
        <v>-398</v>
      </c>
      <c r="H9" s="29">
        <v>5852</v>
      </c>
      <c r="I9" s="29">
        <v>4727</v>
      </c>
      <c r="J9">
        <v>494</v>
      </c>
      <c r="K9" s="29">
        <v>4512</v>
      </c>
      <c r="L9">
        <v>875</v>
      </c>
      <c r="M9" s="29">
        <v>-4150</v>
      </c>
      <c r="N9" s="29">
        <v>-4396</v>
      </c>
    </row>
    <row r="10" spans="2:14" x14ac:dyDescent="0.3">
      <c r="B10" t="s">
        <v>92</v>
      </c>
      <c r="C10" s="29">
        <v>-4048</v>
      </c>
      <c r="D10" s="29">
        <v>-2280</v>
      </c>
      <c r="E10">
        <v>-3</v>
      </c>
      <c r="F10" s="29">
        <v>4157</v>
      </c>
      <c r="G10" s="29">
        <v>-3672</v>
      </c>
      <c r="H10" s="29">
        <v>1313</v>
      </c>
      <c r="I10" s="29">
        <v>3254</v>
      </c>
      <c r="J10" s="29">
        <v>-6434</v>
      </c>
      <c r="K10" s="29">
        <v>-7221</v>
      </c>
      <c r="L10" s="29">
        <v>5065</v>
      </c>
      <c r="M10">
        <v>-93</v>
      </c>
      <c r="N10" s="29">
        <v>-10474</v>
      </c>
    </row>
    <row r="11" spans="2:14" x14ac:dyDescent="0.3">
      <c r="B11" t="s">
        <v>93</v>
      </c>
      <c r="C11" s="29">
        <v>-1391</v>
      </c>
      <c r="D11" s="29">
        <v>-1768</v>
      </c>
      <c r="E11" s="29">
        <v>-2240</v>
      </c>
      <c r="F11" s="29">
        <v>-4308</v>
      </c>
      <c r="G11" s="29">
        <v>-4194</v>
      </c>
      <c r="H11" s="29">
        <v>-2040</v>
      </c>
      <c r="I11" s="29">
        <v>-1895</v>
      </c>
      <c r="J11" s="29">
        <v>-3021</v>
      </c>
      <c r="K11" s="29">
        <v>-2659</v>
      </c>
      <c r="L11" s="29">
        <v>-1785</v>
      </c>
      <c r="M11" s="29">
        <v>-2105</v>
      </c>
      <c r="N11" s="29">
        <v>-1910</v>
      </c>
    </row>
    <row r="12" spans="2:14" x14ac:dyDescent="0.3">
      <c r="B12" t="s">
        <v>116</v>
      </c>
      <c r="C12" s="29">
        <v>-7023</v>
      </c>
      <c r="D12" s="29">
        <v>-19464</v>
      </c>
      <c r="E12" s="29">
        <v>-22969</v>
      </c>
      <c r="F12" s="29">
        <v>-27991</v>
      </c>
      <c r="G12" s="29">
        <v>-36232</v>
      </c>
      <c r="H12" s="29">
        <v>-36694</v>
      </c>
      <c r="I12" s="29">
        <v>-39571</v>
      </c>
      <c r="J12" s="29">
        <v>-25139</v>
      </c>
      <c r="K12" s="29">
        <v>-20878</v>
      </c>
      <c r="L12" s="29">
        <v>-33115</v>
      </c>
      <c r="M12" s="29">
        <v>-25672</v>
      </c>
      <c r="N12" s="29">
        <v>-4444</v>
      </c>
    </row>
    <row r="13" spans="2:14" x14ac:dyDescent="0.3">
      <c r="B13" t="s">
        <v>94</v>
      </c>
      <c r="C13" s="29">
        <v>-8124</v>
      </c>
      <c r="D13" s="29">
        <v>-13876</v>
      </c>
      <c r="E13" s="29">
        <v>-18863</v>
      </c>
      <c r="F13" s="29">
        <v>-26975</v>
      </c>
      <c r="G13" s="29">
        <v>-31962</v>
      </c>
      <c r="H13" s="29">
        <v>-31503</v>
      </c>
      <c r="I13" s="29">
        <v>-16072</v>
      </c>
      <c r="J13" s="29">
        <v>-35079</v>
      </c>
      <c r="K13" s="29">
        <v>-35304</v>
      </c>
      <c r="L13" s="29">
        <v>-29702</v>
      </c>
      <c r="M13" s="29">
        <v>-20205</v>
      </c>
      <c r="N13" s="29">
        <v>-15168</v>
      </c>
    </row>
    <row r="14" spans="2:14" x14ac:dyDescent="0.3">
      <c r="B14" t="s">
        <v>95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3">
      <c r="B15" t="s">
        <v>96</v>
      </c>
      <c r="C15">
        <v>-147</v>
      </c>
      <c r="D15" s="29">
        <v>-5857</v>
      </c>
      <c r="E15">
        <v>73</v>
      </c>
      <c r="F15">
        <v>-429</v>
      </c>
      <c r="G15" s="29">
        <v>-5461</v>
      </c>
      <c r="H15" s="29">
        <v>-4728</v>
      </c>
      <c r="I15">
        <v>-6</v>
      </c>
      <c r="J15">
        <v>-329</v>
      </c>
      <c r="K15">
        <v>-130</v>
      </c>
      <c r="L15" s="29">
        <v>-1439</v>
      </c>
      <c r="M15" s="29">
        <v>-7530</v>
      </c>
      <c r="N15" s="29">
        <v>-3008</v>
      </c>
    </row>
    <row r="16" spans="2:14" x14ac:dyDescent="0.3">
      <c r="B16" t="s">
        <v>97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29">
        <v>1965</v>
      </c>
      <c r="J16" s="29">
        <v>2381</v>
      </c>
      <c r="K16" s="29">
        <v>5644</v>
      </c>
      <c r="L16">
        <v>21</v>
      </c>
      <c r="M16">
        <v>226</v>
      </c>
      <c r="N16">
        <v>104</v>
      </c>
    </row>
    <row r="17" spans="2:14" x14ac:dyDescent="0.3">
      <c r="B17" t="s">
        <v>98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29">
        <v>1104</v>
      </c>
      <c r="M17">
        <v>428</v>
      </c>
      <c r="N17">
        <v>653</v>
      </c>
    </row>
    <row r="18" spans="2:14" x14ac:dyDescent="0.3">
      <c r="B18" t="s">
        <v>99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29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3">
      <c r="B19" t="s">
        <v>100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101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3"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3">
      <c r="B22" t="s">
        <v>103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3">
      <c r="B23" t="s">
        <v>104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105</v>
      </c>
      <c r="C24">
        <v>884</v>
      </c>
      <c r="D24">
        <v>-129</v>
      </c>
      <c r="E24" s="29">
        <v>-5103</v>
      </c>
      <c r="F24" s="29">
        <v>-1149</v>
      </c>
      <c r="G24">
        <v>456</v>
      </c>
      <c r="H24" s="29">
        <v>-1289</v>
      </c>
      <c r="I24" s="29">
        <v>-26663</v>
      </c>
      <c r="J24" s="29">
        <v>5360</v>
      </c>
      <c r="K24" s="29">
        <v>7335</v>
      </c>
      <c r="L24" s="29">
        <v>-2659</v>
      </c>
      <c r="M24" s="29">
        <v>1051</v>
      </c>
      <c r="N24" s="29">
        <v>12813</v>
      </c>
    </row>
    <row r="25" spans="2:14" x14ac:dyDescent="0.3">
      <c r="B25" t="s">
        <v>117</v>
      </c>
      <c r="C25" s="29">
        <v>-1401</v>
      </c>
      <c r="D25" s="29">
        <v>6567</v>
      </c>
      <c r="E25" s="29">
        <v>-1692</v>
      </c>
      <c r="F25" s="29">
        <v>-3883</v>
      </c>
      <c r="G25" s="29">
        <v>5201</v>
      </c>
      <c r="H25" s="29">
        <v>-3795</v>
      </c>
      <c r="I25" s="29">
        <v>6205</v>
      </c>
      <c r="J25" s="29">
        <v>2012</v>
      </c>
      <c r="K25" s="29">
        <v>8830</v>
      </c>
      <c r="L25" s="29">
        <v>3390</v>
      </c>
      <c r="M25" s="29">
        <v>9904</v>
      </c>
      <c r="N25" s="29">
        <v>-3380</v>
      </c>
    </row>
    <row r="26" spans="2:14" x14ac:dyDescent="0.3">
      <c r="B26" t="s">
        <v>106</v>
      </c>
      <c r="C26" s="29">
        <v>3258</v>
      </c>
      <c r="D26">
        <v>139</v>
      </c>
      <c r="E26">
        <v>1</v>
      </c>
      <c r="F26">
        <v>0</v>
      </c>
      <c r="G26">
        <v>0</v>
      </c>
      <c r="H26" s="29">
        <v>7433</v>
      </c>
      <c r="I26">
        <v>5</v>
      </c>
      <c r="J26">
        <v>0</v>
      </c>
      <c r="K26">
        <v>0</v>
      </c>
      <c r="L26" s="29">
        <v>3889</v>
      </c>
      <c r="M26" s="29">
        <v>2603</v>
      </c>
      <c r="N26">
        <v>19</v>
      </c>
    </row>
    <row r="27" spans="2:14" x14ac:dyDescent="0.3">
      <c r="B27" t="s">
        <v>107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108</v>
      </c>
      <c r="C28" s="29">
        <v>15530</v>
      </c>
      <c r="D28" s="29">
        <v>27462</v>
      </c>
      <c r="E28" s="29">
        <v>27863</v>
      </c>
      <c r="F28" s="29">
        <v>33258</v>
      </c>
      <c r="G28" s="29">
        <v>36363</v>
      </c>
      <c r="H28" s="29">
        <v>19519</v>
      </c>
      <c r="I28" s="29">
        <v>33390</v>
      </c>
      <c r="J28" s="29">
        <v>37482</v>
      </c>
      <c r="K28" s="29">
        <v>51128</v>
      </c>
      <c r="L28" s="29">
        <v>38297</v>
      </c>
      <c r="M28" s="29">
        <v>46641</v>
      </c>
      <c r="N28" s="29">
        <v>46578</v>
      </c>
    </row>
    <row r="29" spans="2:14" x14ac:dyDescent="0.3">
      <c r="B29" t="s">
        <v>109</v>
      </c>
      <c r="C29" s="29">
        <v>-16641</v>
      </c>
      <c r="D29" s="29">
        <v>-15010</v>
      </c>
      <c r="E29" s="29">
        <v>-20395</v>
      </c>
      <c r="F29" s="29">
        <v>-29141</v>
      </c>
      <c r="G29" s="29">
        <v>-23332</v>
      </c>
      <c r="H29" s="29">
        <v>-24924</v>
      </c>
      <c r="I29" s="29">
        <v>-21732</v>
      </c>
      <c r="J29" s="29">
        <v>-29964</v>
      </c>
      <c r="K29" s="29">
        <v>-35198</v>
      </c>
      <c r="L29" s="29">
        <v>-29847</v>
      </c>
      <c r="M29" s="29">
        <v>-29709</v>
      </c>
      <c r="N29" s="29">
        <v>-42816</v>
      </c>
    </row>
    <row r="30" spans="2:14" x14ac:dyDescent="0.3">
      <c r="B30" t="s">
        <v>110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111</v>
      </c>
      <c r="C31" s="29">
        <v>-2469</v>
      </c>
      <c r="D31" s="29">
        <v>-3374</v>
      </c>
      <c r="E31" s="29">
        <v>-4666</v>
      </c>
      <c r="F31" s="29">
        <v>-6171</v>
      </c>
      <c r="G31" s="29">
        <v>-6307</v>
      </c>
      <c r="H31" s="29">
        <v>-5716</v>
      </c>
      <c r="I31" s="29">
        <v>-5336</v>
      </c>
      <c r="J31" s="29">
        <v>-5411</v>
      </c>
      <c r="K31" s="29">
        <v>-7005</v>
      </c>
      <c r="L31" s="29">
        <v>-7518</v>
      </c>
      <c r="M31" s="29">
        <v>-8123</v>
      </c>
      <c r="N31" s="29">
        <v>-9251</v>
      </c>
    </row>
    <row r="32" spans="2:14" x14ac:dyDescent="0.3">
      <c r="B32" t="s">
        <v>112</v>
      </c>
      <c r="C32" s="29">
        <v>-1020</v>
      </c>
      <c r="D32" s="29">
        <v>-1503</v>
      </c>
      <c r="E32" s="29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3">
      <c r="B33" t="s">
        <v>113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29">
        <v>-1346</v>
      </c>
      <c r="M33" s="29">
        <v>-1477</v>
      </c>
      <c r="N33" s="29">
        <v>-1559</v>
      </c>
    </row>
    <row r="34" spans="2:14" x14ac:dyDescent="0.3">
      <c r="B34" t="s">
        <v>114</v>
      </c>
      <c r="C34">
        <v>-399</v>
      </c>
      <c r="D34" s="29">
        <v>-1147</v>
      </c>
      <c r="E34" s="29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29">
        <v>3750</v>
      </c>
    </row>
    <row r="35" spans="2:14" x14ac:dyDescent="0.3">
      <c r="B35" t="s">
        <v>52</v>
      </c>
      <c r="C35" s="29">
        <v>2815</v>
      </c>
      <c r="D35" s="29">
        <v>5488</v>
      </c>
      <c r="E35" s="29">
        <v>-2499</v>
      </c>
      <c r="F35" s="29">
        <v>4277</v>
      </c>
      <c r="G35" s="29">
        <v>4500</v>
      </c>
      <c r="H35" s="29">
        <v>-2589</v>
      </c>
      <c r="I35" s="29">
        <v>-3167</v>
      </c>
      <c r="J35">
        <v>730</v>
      </c>
      <c r="K35" s="29">
        <v>6843</v>
      </c>
      <c r="L35" s="29">
        <v>-3092</v>
      </c>
      <c r="M35" s="29">
        <v>13232</v>
      </c>
      <c r="N35" s="29">
        <v>6459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6C87-683A-45A0-92DE-A51263A67B73}">
  <sheetPr>
    <tabColor rgb="FF002060"/>
  </sheetPr>
  <dimension ref="A1"/>
  <sheetViews>
    <sheetView workbookViewId="0">
      <selection activeCell="E15" sqref="E15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B047-A962-44A4-81DB-977F4C75D660}">
  <dimension ref="B2:N76"/>
  <sheetViews>
    <sheetView workbookViewId="0">
      <pane ySplit="2" topLeftCell="A3" activePane="bottomLeft" state="frozen"/>
      <selection pane="bottomLeft" activeCell="O59" sqref="O59"/>
    </sheetView>
  </sheetViews>
  <sheetFormatPr defaultRowHeight="14.4" x14ac:dyDescent="0.3"/>
  <cols>
    <col min="1" max="1" width="1.88671875" customWidth="1"/>
    <col min="2" max="2" width="25.77734375" bestFit="1" customWidth="1"/>
    <col min="3" max="3" width="7.109375" bestFit="1" customWidth="1"/>
    <col min="4" max="4" width="8.5546875" bestFit="1" customWidth="1"/>
    <col min="5" max="13" width="7.109375" bestFit="1" customWidth="1"/>
  </cols>
  <sheetData>
    <row r="2" spans="2:13" x14ac:dyDescent="0.3">
      <c r="B2" s="51" t="s">
        <v>226</v>
      </c>
      <c r="C2" s="59">
        <v>42064</v>
      </c>
      <c r="D2" s="59">
        <v>42430</v>
      </c>
      <c r="E2" s="59">
        <v>42795</v>
      </c>
      <c r="F2" s="59">
        <v>43160</v>
      </c>
      <c r="G2" s="59">
        <v>43525</v>
      </c>
      <c r="H2" s="59">
        <v>43891</v>
      </c>
      <c r="I2" s="59">
        <v>44256</v>
      </c>
      <c r="J2" s="59">
        <v>44621</v>
      </c>
      <c r="K2" s="59">
        <v>44986</v>
      </c>
      <c r="L2" s="59">
        <v>45352</v>
      </c>
      <c r="M2" s="59">
        <v>45717</v>
      </c>
    </row>
    <row r="4" spans="2:13" x14ac:dyDescent="0.3">
      <c r="B4" s="15" t="s">
        <v>213</v>
      </c>
      <c r="C4">
        <v>802</v>
      </c>
      <c r="D4">
        <v>805</v>
      </c>
      <c r="E4" s="29">
        <v>1215</v>
      </c>
      <c r="F4" s="29">
        <v>1220</v>
      </c>
      <c r="G4" s="29">
        <v>1226</v>
      </c>
      <c r="H4" s="29">
        <v>1229</v>
      </c>
      <c r="I4" s="29">
        <v>1231</v>
      </c>
      <c r="J4" s="29">
        <v>1232</v>
      </c>
      <c r="K4" s="29">
        <v>1243</v>
      </c>
      <c r="L4" s="29">
        <v>1248</v>
      </c>
      <c r="M4" s="29">
        <v>1251</v>
      </c>
    </row>
    <row r="5" spans="2:13" x14ac:dyDescent="0.3">
      <c r="B5" s="15" t="s">
        <v>34</v>
      </c>
      <c r="C5" s="29">
        <v>30934</v>
      </c>
      <c r="D5" s="29">
        <v>41875</v>
      </c>
      <c r="E5" s="29">
        <v>45198</v>
      </c>
      <c r="F5" s="29">
        <v>51290</v>
      </c>
      <c r="G5" s="29">
        <v>57915</v>
      </c>
      <c r="H5" s="29">
        <v>64044</v>
      </c>
      <c r="I5" s="29">
        <v>59116</v>
      </c>
      <c r="J5" s="29">
        <v>61223</v>
      </c>
      <c r="K5" s="29">
        <v>67912</v>
      </c>
      <c r="L5" s="29">
        <v>73259</v>
      </c>
      <c r="M5" s="29">
        <v>68779</v>
      </c>
    </row>
    <row r="7" spans="2:13" x14ac:dyDescent="0.3">
      <c r="B7" s="15" t="s">
        <v>214</v>
      </c>
    </row>
    <row r="8" spans="2:13" x14ac:dyDescent="0.3">
      <c r="B8" t="s">
        <v>215</v>
      </c>
      <c r="C8">
        <v>61</v>
      </c>
      <c r="D8">
        <v>27</v>
      </c>
      <c r="E8">
        <v>18</v>
      </c>
      <c r="F8">
        <v>12</v>
      </c>
      <c r="G8">
        <v>8</v>
      </c>
      <c r="H8">
        <v>6</v>
      </c>
      <c r="I8">
        <v>6</v>
      </c>
      <c r="J8">
        <v>5</v>
      </c>
      <c r="K8">
        <v>3</v>
      </c>
      <c r="L8">
        <v>2</v>
      </c>
      <c r="M8">
        <v>0</v>
      </c>
    </row>
    <row r="9" spans="2:13" x14ac:dyDescent="0.3">
      <c r="B9" t="s">
        <v>216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</row>
    <row r="10" spans="2:13" x14ac:dyDescent="0.3">
      <c r="B10" t="s">
        <v>217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</row>
    <row r="11" spans="2:13" x14ac:dyDescent="0.3">
      <c r="B11" t="s">
        <v>218</v>
      </c>
      <c r="C11">
        <v>13</v>
      </c>
      <c r="D11">
        <v>13</v>
      </c>
      <c r="E11">
        <v>8</v>
      </c>
      <c r="F11">
        <v>7</v>
      </c>
      <c r="G11">
        <v>3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3" spans="2:13" x14ac:dyDescent="0.3">
      <c r="B13" s="15" t="s">
        <v>219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2:13" x14ac:dyDescent="0.3">
      <c r="B14" t="s">
        <v>220</v>
      </c>
      <c r="C14">
        <v>225</v>
      </c>
      <c r="D14">
        <v>261</v>
      </c>
      <c r="E14">
        <v>295</v>
      </c>
      <c r="F14">
        <v>334</v>
      </c>
      <c r="G14">
        <v>343</v>
      </c>
      <c r="H14">
        <v>377</v>
      </c>
      <c r="I14">
        <v>347</v>
      </c>
      <c r="J14">
        <v>366</v>
      </c>
      <c r="K14">
        <v>384</v>
      </c>
      <c r="L14">
        <v>383</v>
      </c>
      <c r="M14">
        <v>368</v>
      </c>
    </row>
    <row r="15" spans="2:13" x14ac:dyDescent="0.3">
      <c r="B15" t="s">
        <v>189</v>
      </c>
      <c r="C15" s="29">
        <v>2020</v>
      </c>
      <c r="D15" s="29">
        <v>2339</v>
      </c>
      <c r="E15" s="29">
        <v>2659</v>
      </c>
      <c r="F15" s="29">
        <v>3496</v>
      </c>
      <c r="G15" s="29">
        <v>3510</v>
      </c>
      <c r="H15" s="29">
        <v>3630</v>
      </c>
      <c r="I15" s="29">
        <v>4319</v>
      </c>
      <c r="J15" s="29">
        <v>4417</v>
      </c>
      <c r="K15" s="29">
        <v>4659</v>
      </c>
      <c r="L15" s="29">
        <v>4798</v>
      </c>
      <c r="M15" s="29">
        <v>4807</v>
      </c>
    </row>
    <row r="16" spans="2:13" x14ac:dyDescent="0.3">
      <c r="B16" t="s">
        <v>190</v>
      </c>
      <c r="C16">
        <v>0</v>
      </c>
      <c r="D16">
        <v>805</v>
      </c>
      <c r="E16">
        <v>495</v>
      </c>
      <c r="F16">
        <v>461</v>
      </c>
      <c r="G16">
        <v>430</v>
      </c>
      <c r="H16">
        <v>703</v>
      </c>
      <c r="I16">
        <v>811</v>
      </c>
      <c r="J16" s="29">
        <v>1278</v>
      </c>
      <c r="K16" s="29">
        <v>1295</v>
      </c>
      <c r="L16">
        <v>886</v>
      </c>
      <c r="M16" s="29">
        <v>1264</v>
      </c>
    </row>
    <row r="17" spans="2:13" x14ac:dyDescent="0.3">
      <c r="B17" t="s">
        <v>191</v>
      </c>
      <c r="C17" s="29">
        <v>11702</v>
      </c>
      <c r="D17" s="29">
        <v>5483</v>
      </c>
      <c r="E17" s="29">
        <v>5991</v>
      </c>
      <c r="F17" s="29">
        <v>7404</v>
      </c>
      <c r="G17" s="29">
        <v>8301</v>
      </c>
      <c r="H17" s="29">
        <v>7050</v>
      </c>
      <c r="I17" s="29">
        <v>7666</v>
      </c>
      <c r="J17" s="29">
        <v>8429</v>
      </c>
      <c r="K17" s="29">
        <v>10032</v>
      </c>
      <c r="L17" s="29">
        <v>10877</v>
      </c>
      <c r="M17" s="29">
        <v>11249</v>
      </c>
    </row>
    <row r="18" spans="2:13" x14ac:dyDescent="0.3">
      <c r="B18" s="60" t="s">
        <v>82</v>
      </c>
      <c r="C18" s="61">
        <v>45952</v>
      </c>
      <c r="D18" s="61">
        <v>51651</v>
      </c>
      <c r="E18" s="61">
        <v>55898</v>
      </c>
      <c r="F18" s="61">
        <v>64241</v>
      </c>
      <c r="G18" s="61">
        <v>71739</v>
      </c>
      <c r="H18" s="61">
        <v>77311</v>
      </c>
      <c r="I18" s="61">
        <v>73761</v>
      </c>
      <c r="J18" s="61">
        <v>77196</v>
      </c>
      <c r="K18" s="61">
        <v>85831</v>
      </c>
      <c r="L18" s="61">
        <v>91754</v>
      </c>
      <c r="M18" s="61">
        <v>88003</v>
      </c>
    </row>
    <row r="20" spans="2:13" x14ac:dyDescent="0.3">
      <c r="B20" s="15" t="s">
        <v>221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2:13" x14ac:dyDescent="0.3">
      <c r="B21" t="s">
        <v>192</v>
      </c>
      <c r="C21" s="29">
        <v>1717</v>
      </c>
      <c r="D21" s="29">
        <v>1615</v>
      </c>
      <c r="E21" s="29">
        <v>1673</v>
      </c>
      <c r="F21" s="29">
        <v>1685</v>
      </c>
      <c r="G21" s="29">
        <v>2021</v>
      </c>
      <c r="H21" s="29">
        <v>2797</v>
      </c>
      <c r="I21" s="29">
        <v>2889</v>
      </c>
      <c r="J21" s="29">
        <v>2829</v>
      </c>
      <c r="K21" s="29">
        <v>2830</v>
      </c>
      <c r="L21" s="29">
        <v>2865</v>
      </c>
      <c r="M21" s="29">
        <v>1588</v>
      </c>
    </row>
    <row r="22" spans="2:13" x14ac:dyDescent="0.3">
      <c r="B22" t="s">
        <v>193</v>
      </c>
      <c r="C22" s="29">
        <v>4860</v>
      </c>
      <c r="D22" s="29">
        <v>4219</v>
      </c>
      <c r="E22" s="29">
        <v>4716</v>
      </c>
      <c r="F22" s="29">
        <v>5331</v>
      </c>
      <c r="G22" s="29">
        <v>6996</v>
      </c>
      <c r="H22" s="29">
        <v>8161</v>
      </c>
      <c r="I22" s="29">
        <v>8387</v>
      </c>
      <c r="J22" s="29">
        <v>9100</v>
      </c>
      <c r="K22" s="29">
        <v>9789</v>
      </c>
      <c r="L22" s="29">
        <v>10944</v>
      </c>
      <c r="M22" s="29">
        <v>7550</v>
      </c>
    </row>
    <row r="23" spans="2:13" x14ac:dyDescent="0.3">
      <c r="B23" t="s">
        <v>194</v>
      </c>
      <c r="C23" s="29">
        <v>14667</v>
      </c>
      <c r="D23" s="29">
        <v>9112</v>
      </c>
      <c r="E23" s="29">
        <v>10384</v>
      </c>
      <c r="F23" s="29">
        <v>11453</v>
      </c>
      <c r="G23" s="29">
        <v>13316</v>
      </c>
      <c r="H23" s="29">
        <v>14625</v>
      </c>
      <c r="I23" s="29">
        <v>15307</v>
      </c>
      <c r="J23" s="29">
        <v>16912</v>
      </c>
      <c r="K23" s="29">
        <v>18480</v>
      </c>
      <c r="L23" s="29">
        <v>20718</v>
      </c>
      <c r="M23" s="29">
        <v>19423</v>
      </c>
    </row>
    <row r="24" spans="2:13" x14ac:dyDescent="0.3">
      <c r="B24" t="s">
        <v>195</v>
      </c>
      <c r="C24">
        <v>46</v>
      </c>
      <c r="D24">
        <v>27</v>
      </c>
      <c r="E24">
        <v>32</v>
      </c>
      <c r="F24">
        <v>32</v>
      </c>
      <c r="G24">
        <v>34</v>
      </c>
      <c r="H24">
        <v>40</v>
      </c>
      <c r="I24">
        <v>41</v>
      </c>
      <c r="J24">
        <v>44</v>
      </c>
      <c r="K24">
        <v>44</v>
      </c>
      <c r="L24">
        <v>53</v>
      </c>
      <c r="M24">
        <v>63</v>
      </c>
    </row>
    <row r="25" spans="2:13" x14ac:dyDescent="0.3">
      <c r="B25" t="s">
        <v>196</v>
      </c>
      <c r="C25">
        <v>805</v>
      </c>
      <c r="D25">
        <v>413</v>
      </c>
      <c r="E25">
        <v>459</v>
      </c>
      <c r="F25">
        <v>497</v>
      </c>
      <c r="G25">
        <v>644</v>
      </c>
      <c r="H25">
        <v>810</v>
      </c>
      <c r="I25">
        <v>833</v>
      </c>
      <c r="J25">
        <v>907</v>
      </c>
      <c r="K25" s="29">
        <v>1000</v>
      </c>
      <c r="L25" s="29">
        <v>1068</v>
      </c>
      <c r="M25">
        <v>282</v>
      </c>
    </row>
    <row r="26" spans="2:13" x14ac:dyDescent="0.3">
      <c r="B26" t="s">
        <v>222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</row>
    <row r="27" spans="2:13" x14ac:dyDescent="0.3">
      <c r="B27" t="s">
        <v>197</v>
      </c>
      <c r="C27">
        <v>128</v>
      </c>
      <c r="D27">
        <v>107</v>
      </c>
      <c r="E27">
        <v>128</v>
      </c>
      <c r="F27">
        <v>140</v>
      </c>
      <c r="G27">
        <v>161</v>
      </c>
      <c r="H27">
        <v>184</v>
      </c>
      <c r="I27">
        <v>180</v>
      </c>
      <c r="J27">
        <v>179</v>
      </c>
      <c r="K27">
        <v>189</v>
      </c>
      <c r="L27">
        <v>192</v>
      </c>
      <c r="M27">
        <v>141</v>
      </c>
    </row>
    <row r="28" spans="2:13" x14ac:dyDescent="0.3">
      <c r="B28" t="s">
        <v>198</v>
      </c>
      <c r="C28">
        <v>678</v>
      </c>
      <c r="D28">
        <v>563</v>
      </c>
      <c r="E28">
        <v>563</v>
      </c>
      <c r="F28">
        <v>570</v>
      </c>
      <c r="G28">
        <v>684</v>
      </c>
      <c r="H28">
        <v>684</v>
      </c>
      <c r="I28" s="29">
        <v>2734</v>
      </c>
      <c r="J28" s="29">
        <v>2744</v>
      </c>
      <c r="K28" s="29">
        <v>3490</v>
      </c>
      <c r="L28" s="29">
        <v>3505</v>
      </c>
      <c r="M28" s="29">
        <v>3622</v>
      </c>
    </row>
    <row r="29" spans="2:13" x14ac:dyDescent="0.3">
      <c r="B29" t="s">
        <v>199</v>
      </c>
      <c r="C29">
        <v>458</v>
      </c>
      <c r="D29">
        <v>117</v>
      </c>
      <c r="E29">
        <v>138</v>
      </c>
      <c r="F29">
        <v>212</v>
      </c>
      <c r="G29">
        <v>234</v>
      </c>
      <c r="H29">
        <v>663</v>
      </c>
      <c r="I29">
        <v>716</v>
      </c>
      <c r="J29">
        <v>719</v>
      </c>
      <c r="K29">
        <v>786</v>
      </c>
      <c r="L29">
        <v>841</v>
      </c>
      <c r="M29">
        <v>967</v>
      </c>
    </row>
    <row r="30" spans="2:13" x14ac:dyDescent="0.3">
      <c r="B30" s="15" t="s">
        <v>200</v>
      </c>
      <c r="C30" s="29">
        <v>23361</v>
      </c>
      <c r="D30" s="29">
        <v>16176</v>
      </c>
      <c r="E30" s="29">
        <v>18094</v>
      </c>
      <c r="F30" s="29">
        <v>19920</v>
      </c>
      <c r="G30" s="29">
        <v>24090</v>
      </c>
      <c r="H30" s="29">
        <v>27965</v>
      </c>
      <c r="I30" s="29">
        <v>31088</v>
      </c>
      <c r="J30" s="29">
        <v>33435</v>
      </c>
      <c r="K30" s="29">
        <v>36608</v>
      </c>
      <c r="L30" s="29">
        <v>40189</v>
      </c>
      <c r="M30" s="29">
        <v>33638</v>
      </c>
    </row>
    <row r="31" spans="2:13" x14ac:dyDescent="0.3">
      <c r="B31" s="15" t="s">
        <v>201</v>
      </c>
      <c r="C31" s="29">
        <v>8057</v>
      </c>
      <c r="D31" s="29">
        <v>1069</v>
      </c>
      <c r="E31" s="29">
        <v>2201</v>
      </c>
      <c r="F31" s="29">
        <v>3396</v>
      </c>
      <c r="G31" s="29">
        <v>4716</v>
      </c>
      <c r="H31" s="29">
        <v>6252</v>
      </c>
      <c r="I31" s="29">
        <v>7790</v>
      </c>
      <c r="J31" s="29">
        <v>9204</v>
      </c>
      <c r="K31" s="29">
        <v>10757</v>
      </c>
      <c r="L31" s="29">
        <v>12368</v>
      </c>
      <c r="M31" s="29">
        <v>11683</v>
      </c>
    </row>
    <row r="32" spans="2:13" x14ac:dyDescent="0.3">
      <c r="B32" s="60" t="s">
        <v>227</v>
      </c>
      <c r="C32" s="61">
        <f>C30-C31</f>
        <v>15304</v>
      </c>
      <c r="D32" s="61">
        <f t="shared" ref="D32:M32" si="0">D30-D31</f>
        <v>15107</v>
      </c>
      <c r="E32" s="61">
        <f t="shared" si="0"/>
        <v>15893</v>
      </c>
      <c r="F32" s="61">
        <f t="shared" si="0"/>
        <v>16524</v>
      </c>
      <c r="G32" s="61">
        <f t="shared" si="0"/>
        <v>19374</v>
      </c>
      <c r="H32" s="61">
        <f t="shared" si="0"/>
        <v>21713</v>
      </c>
      <c r="I32" s="61">
        <f t="shared" si="0"/>
        <v>23298</v>
      </c>
      <c r="J32" s="61">
        <f t="shared" si="0"/>
        <v>24231</v>
      </c>
      <c r="K32" s="61">
        <f t="shared" si="0"/>
        <v>25851</v>
      </c>
      <c r="L32" s="61">
        <f t="shared" si="0"/>
        <v>27821</v>
      </c>
      <c r="M32" s="61">
        <f t="shared" si="0"/>
        <v>21955</v>
      </c>
    </row>
    <row r="33" spans="2:14" x14ac:dyDescent="0.3">
      <c r="B33" s="15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2:14" x14ac:dyDescent="0.3">
      <c r="B34" s="15" t="s">
        <v>223</v>
      </c>
      <c r="C34" s="29">
        <v>2700</v>
      </c>
      <c r="D34" s="29">
        <v>2560</v>
      </c>
      <c r="E34" s="29">
        <v>3730</v>
      </c>
      <c r="F34" s="29">
        <v>5508</v>
      </c>
      <c r="G34" s="29">
        <v>4136</v>
      </c>
      <c r="H34" s="29">
        <v>3256</v>
      </c>
      <c r="I34" s="29">
        <v>4011</v>
      </c>
      <c r="J34" s="29">
        <v>3226</v>
      </c>
      <c r="K34" s="29">
        <v>3003</v>
      </c>
      <c r="L34" s="29">
        <v>2861</v>
      </c>
      <c r="M34" s="29">
        <v>1091</v>
      </c>
    </row>
    <row r="35" spans="2:14" x14ac:dyDescent="0.3">
      <c r="B35" s="15" t="s">
        <v>40</v>
      </c>
      <c r="C35" s="29">
        <v>6943</v>
      </c>
      <c r="D35" s="29">
        <v>11748</v>
      </c>
      <c r="E35" s="29">
        <v>17581</v>
      </c>
      <c r="F35" s="29">
        <v>22053</v>
      </c>
      <c r="G35" s="29">
        <v>25043</v>
      </c>
      <c r="H35" s="29">
        <v>28663</v>
      </c>
      <c r="I35" s="29">
        <v>24871</v>
      </c>
      <c r="J35" s="29">
        <v>24841</v>
      </c>
      <c r="K35" s="29">
        <v>29415</v>
      </c>
      <c r="L35" s="29">
        <v>31114</v>
      </c>
      <c r="M35" s="29">
        <v>34720</v>
      </c>
    </row>
    <row r="37" spans="2:14" x14ac:dyDescent="0.3">
      <c r="B37" s="15" t="s">
        <v>224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2:14" x14ac:dyDescent="0.3">
      <c r="B38" t="s">
        <v>185</v>
      </c>
      <c r="C38" s="29">
        <v>8587</v>
      </c>
      <c r="D38" s="29">
        <v>9062</v>
      </c>
      <c r="E38" s="29">
        <v>8116</v>
      </c>
      <c r="F38" s="29">
        <v>7495</v>
      </c>
      <c r="G38" s="29">
        <v>7860</v>
      </c>
      <c r="H38" s="29">
        <v>8879</v>
      </c>
      <c r="I38" s="29">
        <v>10397</v>
      </c>
      <c r="J38" s="29">
        <v>10864</v>
      </c>
      <c r="K38" s="29">
        <v>11771</v>
      </c>
      <c r="L38" s="29">
        <v>14153</v>
      </c>
      <c r="M38" s="29">
        <v>15638</v>
      </c>
    </row>
    <row r="39" spans="2:14" x14ac:dyDescent="0.3">
      <c r="B39" t="s">
        <v>186</v>
      </c>
      <c r="C39" s="29">
        <v>1982</v>
      </c>
      <c r="D39" s="29">
        <v>1917</v>
      </c>
      <c r="E39" s="29">
        <v>2474</v>
      </c>
      <c r="F39" s="29">
        <v>2682</v>
      </c>
      <c r="G39" s="29">
        <v>4035</v>
      </c>
      <c r="H39" s="29">
        <v>2562</v>
      </c>
      <c r="I39" s="29">
        <v>2502</v>
      </c>
      <c r="J39" s="29">
        <v>2462</v>
      </c>
      <c r="K39" s="29">
        <v>2956</v>
      </c>
      <c r="L39" s="29">
        <v>4026</v>
      </c>
      <c r="M39" s="29">
        <v>4720</v>
      </c>
    </row>
    <row r="40" spans="2:14" x14ac:dyDescent="0.3">
      <c r="B40" t="s">
        <v>225</v>
      </c>
      <c r="C40" s="29">
        <v>7896</v>
      </c>
      <c r="D40" s="29">
        <v>6063</v>
      </c>
      <c r="E40" s="29">
        <v>2967</v>
      </c>
      <c r="F40" s="29">
        <v>2900</v>
      </c>
      <c r="G40" s="29">
        <v>4152</v>
      </c>
      <c r="H40" s="29">
        <v>7277</v>
      </c>
      <c r="I40" s="29">
        <v>4659</v>
      </c>
      <c r="J40" s="29">
        <v>4654</v>
      </c>
      <c r="K40" s="29">
        <v>4880</v>
      </c>
      <c r="L40" s="29">
        <v>7218</v>
      </c>
      <c r="M40" s="29">
        <v>4012</v>
      </c>
    </row>
    <row r="41" spans="2:14" x14ac:dyDescent="0.3">
      <c r="B41" t="s">
        <v>187</v>
      </c>
      <c r="C41">
        <v>150</v>
      </c>
      <c r="D41">
        <v>14</v>
      </c>
      <c r="E41">
        <v>7</v>
      </c>
      <c r="F41">
        <v>74</v>
      </c>
      <c r="G41">
        <v>67</v>
      </c>
      <c r="H41">
        <v>6</v>
      </c>
      <c r="I41">
        <v>7</v>
      </c>
      <c r="J41">
        <v>11</v>
      </c>
      <c r="K41">
        <v>13</v>
      </c>
      <c r="L41">
        <v>31</v>
      </c>
      <c r="M41">
        <v>10</v>
      </c>
    </row>
    <row r="42" spans="2:14" x14ac:dyDescent="0.3">
      <c r="B42" t="s">
        <v>188</v>
      </c>
      <c r="C42" s="29">
        <v>2391</v>
      </c>
      <c r="D42" s="29">
        <v>5180</v>
      </c>
      <c r="E42" s="29">
        <v>5129</v>
      </c>
      <c r="F42" s="29">
        <v>7004</v>
      </c>
      <c r="G42" s="29">
        <v>7071</v>
      </c>
      <c r="H42" s="29">
        <v>4952</v>
      </c>
      <c r="I42" s="29">
        <v>4015</v>
      </c>
      <c r="J42" s="29">
        <v>6906</v>
      </c>
      <c r="K42" s="29">
        <v>7941</v>
      </c>
      <c r="L42" s="29">
        <v>4531</v>
      </c>
      <c r="M42" s="29">
        <v>5858</v>
      </c>
    </row>
    <row r="43" spans="2:14" x14ac:dyDescent="0.3">
      <c r="B43" s="60" t="s">
        <v>86</v>
      </c>
      <c r="C43" s="61">
        <v>45952</v>
      </c>
      <c r="D43" s="61">
        <v>51651</v>
      </c>
      <c r="E43" s="61">
        <v>55898</v>
      </c>
      <c r="F43" s="61">
        <v>64241</v>
      </c>
      <c r="G43" s="61">
        <v>71739</v>
      </c>
      <c r="H43" s="61">
        <v>77311</v>
      </c>
      <c r="I43" s="61">
        <v>73761</v>
      </c>
      <c r="J43" s="61">
        <v>77196</v>
      </c>
      <c r="K43" s="61">
        <v>85831</v>
      </c>
      <c r="L43" s="61">
        <v>91754</v>
      </c>
      <c r="M43" s="61">
        <v>88003</v>
      </c>
    </row>
    <row r="47" spans="2:14" x14ac:dyDescent="0.3">
      <c r="B47" s="15" t="s">
        <v>240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2:14" x14ac:dyDescent="0.3">
      <c r="B48" t="s">
        <v>115</v>
      </c>
      <c r="C48" s="29">
        <v>9843</v>
      </c>
      <c r="D48" s="29">
        <v>9799</v>
      </c>
      <c r="E48" s="29">
        <v>10627</v>
      </c>
      <c r="F48" s="29">
        <v>13169</v>
      </c>
      <c r="G48" s="29">
        <v>12583</v>
      </c>
      <c r="H48" s="29">
        <v>14690</v>
      </c>
      <c r="I48" s="29">
        <v>12527</v>
      </c>
      <c r="J48" s="29">
        <v>15776</v>
      </c>
      <c r="K48" s="29">
        <v>18878</v>
      </c>
      <c r="L48" s="29">
        <v>17179</v>
      </c>
      <c r="M48" s="29">
        <v>17627</v>
      </c>
      <c r="N48" s="29"/>
    </row>
    <row r="49" spans="2:14" x14ac:dyDescent="0.3">
      <c r="B49" t="s">
        <v>88</v>
      </c>
      <c r="C49" s="29">
        <v>14261</v>
      </c>
      <c r="D49" s="29">
        <v>15154</v>
      </c>
      <c r="E49" s="29">
        <v>16075</v>
      </c>
      <c r="F49" s="29">
        <v>17433</v>
      </c>
      <c r="G49" s="29">
        <v>18862</v>
      </c>
      <c r="H49" s="29">
        <v>19416</v>
      </c>
      <c r="I49" s="29">
        <v>17326</v>
      </c>
      <c r="J49" s="29">
        <v>20857</v>
      </c>
      <c r="K49" s="29">
        <v>26052</v>
      </c>
      <c r="L49" s="29">
        <v>26635</v>
      </c>
      <c r="M49" s="29">
        <v>26719</v>
      </c>
      <c r="N49" s="29"/>
    </row>
    <row r="50" spans="2:14" x14ac:dyDescent="0.3">
      <c r="B50" t="s">
        <v>42</v>
      </c>
      <c r="C50">
        <v>558</v>
      </c>
      <c r="D50">
        <v>-207</v>
      </c>
      <c r="E50">
        <v>-870</v>
      </c>
      <c r="F50">
        <v>-964</v>
      </c>
      <c r="G50">
        <v>-755</v>
      </c>
      <c r="H50" s="29">
        <v>1411</v>
      </c>
      <c r="I50">
        <v>-66</v>
      </c>
      <c r="J50">
        <v>-732</v>
      </c>
      <c r="K50">
        <v>-884</v>
      </c>
      <c r="L50">
        <v>-934</v>
      </c>
      <c r="M50" s="29">
        <v>-1023</v>
      </c>
    </row>
    <row r="51" spans="2:14" x14ac:dyDescent="0.3">
      <c r="B51" t="s">
        <v>43</v>
      </c>
      <c r="C51">
        <v>-505</v>
      </c>
      <c r="D51">
        <v>-693</v>
      </c>
      <c r="E51">
        <v>593</v>
      </c>
      <c r="F51">
        <v>602</v>
      </c>
      <c r="G51">
        <v>-359</v>
      </c>
      <c r="H51">
        <v>-508</v>
      </c>
      <c r="I51" s="29">
        <v>-1460</v>
      </c>
      <c r="J51">
        <v>-466</v>
      </c>
      <c r="K51" s="29">
        <v>-1098</v>
      </c>
      <c r="L51" s="29">
        <v>-2545</v>
      </c>
      <c r="M51" s="29">
        <v>-2975</v>
      </c>
      <c r="N51" s="29"/>
    </row>
    <row r="52" spans="2:14" x14ac:dyDescent="0.3">
      <c r="B52" t="s">
        <v>89</v>
      </c>
      <c r="C52">
        <v>-23</v>
      </c>
      <c r="D52">
        <v>622</v>
      </c>
      <c r="E52">
        <v>321</v>
      </c>
      <c r="F52" s="29">
        <v>2098</v>
      </c>
      <c r="G52">
        <v>639</v>
      </c>
      <c r="H52">
        <v>-607</v>
      </c>
      <c r="I52" s="29">
        <v>1112</v>
      </c>
      <c r="J52" s="29">
        <v>1099</v>
      </c>
      <c r="K52" s="29">
        <v>1058</v>
      </c>
      <c r="L52">
        <v>141</v>
      </c>
      <c r="M52" s="29">
        <v>1256</v>
      </c>
    </row>
    <row r="53" spans="2:14" x14ac:dyDescent="0.3">
      <c r="B53" t="s">
        <v>92</v>
      </c>
      <c r="C53">
        <v>31</v>
      </c>
      <c r="D53">
        <v>-277</v>
      </c>
      <c r="E53">
        <v>44</v>
      </c>
      <c r="F53" s="29">
        <v>1736</v>
      </c>
      <c r="G53">
        <v>-476</v>
      </c>
      <c r="H53">
        <v>296</v>
      </c>
      <c r="I53">
        <v>-413</v>
      </c>
      <c r="J53">
        <v>-100</v>
      </c>
      <c r="K53">
        <v>-924</v>
      </c>
      <c r="L53" s="29">
        <v>-3337</v>
      </c>
      <c r="M53" s="29">
        <v>-2742</v>
      </c>
      <c r="N53" s="29"/>
    </row>
    <row r="54" spans="2:14" x14ac:dyDescent="0.3">
      <c r="B54" t="s">
        <v>93</v>
      </c>
      <c r="C54" s="29">
        <v>-4449</v>
      </c>
      <c r="D54" s="29">
        <v>-5078</v>
      </c>
      <c r="E54" s="29">
        <v>-5492</v>
      </c>
      <c r="F54" s="29">
        <v>-6000</v>
      </c>
      <c r="G54" s="29">
        <v>-5803</v>
      </c>
      <c r="H54" s="29">
        <v>-5023</v>
      </c>
      <c r="I54" s="29">
        <v>-4387</v>
      </c>
      <c r="J54" s="29">
        <v>-4982</v>
      </c>
      <c r="K54" s="29">
        <v>-6250</v>
      </c>
      <c r="L54" s="29">
        <v>-6120</v>
      </c>
      <c r="M54" s="29">
        <v>-6350</v>
      </c>
      <c r="N54" s="29"/>
    </row>
    <row r="55" spans="2:14" x14ac:dyDescent="0.3">
      <c r="B55" t="s">
        <v>116</v>
      </c>
      <c r="C55" s="29">
        <v>-5275</v>
      </c>
      <c r="D55" s="29">
        <v>-3921</v>
      </c>
      <c r="E55" s="29">
        <v>-3251</v>
      </c>
      <c r="F55" s="29">
        <v>-7114</v>
      </c>
      <c r="G55" s="29">
        <v>-5546</v>
      </c>
      <c r="H55" s="29">
        <v>-6174</v>
      </c>
      <c r="I55" s="29">
        <v>5740</v>
      </c>
      <c r="J55" s="29">
        <v>-2238</v>
      </c>
      <c r="K55" s="29">
        <v>-5732</v>
      </c>
      <c r="L55" s="29">
        <v>1563</v>
      </c>
      <c r="M55">
        <v>-564</v>
      </c>
      <c r="N55" s="29"/>
    </row>
    <row r="56" spans="2:14" x14ac:dyDescent="0.3">
      <c r="B56" t="s">
        <v>94</v>
      </c>
      <c r="C56" s="29">
        <v>-3300</v>
      </c>
      <c r="D56" s="29">
        <v>-2348</v>
      </c>
      <c r="E56" s="29">
        <v>-3122</v>
      </c>
      <c r="F56" s="29">
        <v>-2878</v>
      </c>
      <c r="G56" s="29">
        <v>-3169</v>
      </c>
      <c r="H56" s="29">
        <v>-2441</v>
      </c>
      <c r="I56" s="29">
        <v>-1837</v>
      </c>
      <c r="J56" s="29">
        <v>-2142</v>
      </c>
      <c r="K56" s="29">
        <v>-2743</v>
      </c>
      <c r="L56" s="29">
        <v>-3563</v>
      </c>
      <c r="M56" s="29">
        <v>-2279</v>
      </c>
      <c r="N56" s="29"/>
    </row>
    <row r="57" spans="2:14" x14ac:dyDescent="0.3">
      <c r="B57" t="s">
        <v>95</v>
      </c>
      <c r="C57">
        <v>9</v>
      </c>
      <c r="D57">
        <v>8</v>
      </c>
      <c r="E57">
        <v>50</v>
      </c>
      <c r="F57">
        <v>80</v>
      </c>
      <c r="G57">
        <v>28</v>
      </c>
      <c r="H57">
        <v>27</v>
      </c>
      <c r="I57">
        <v>3</v>
      </c>
      <c r="J57">
        <v>133</v>
      </c>
      <c r="K57">
        <v>49</v>
      </c>
      <c r="L57">
        <v>107</v>
      </c>
      <c r="M57">
        <v>175</v>
      </c>
    </row>
    <row r="58" spans="2:14" x14ac:dyDescent="0.3">
      <c r="B58" t="s">
        <v>96</v>
      </c>
      <c r="C58" s="29">
        <v>-98742</v>
      </c>
      <c r="D58" s="29">
        <v>-154081</v>
      </c>
      <c r="E58" s="29">
        <v>-85683</v>
      </c>
      <c r="F58" s="29">
        <v>-98330</v>
      </c>
      <c r="G58" s="29">
        <v>-94187</v>
      </c>
      <c r="H58" s="29">
        <v>-79835</v>
      </c>
      <c r="I58" s="29">
        <v>-57553</v>
      </c>
      <c r="J58" s="29">
        <v>-69776</v>
      </c>
      <c r="K58" s="29">
        <v>-80932</v>
      </c>
      <c r="L58" s="29">
        <v>-75107</v>
      </c>
      <c r="M58" s="29">
        <v>-66373</v>
      </c>
      <c r="N58" s="29"/>
    </row>
    <row r="59" spans="2:14" x14ac:dyDescent="0.3">
      <c r="B59" t="s">
        <v>97</v>
      </c>
      <c r="C59" s="29">
        <v>99658</v>
      </c>
      <c r="D59" s="29">
        <v>150651</v>
      </c>
      <c r="E59" s="29">
        <v>81034</v>
      </c>
      <c r="F59" s="29">
        <v>95017</v>
      </c>
      <c r="G59" s="29">
        <v>92454</v>
      </c>
      <c r="H59" s="29">
        <v>75835</v>
      </c>
      <c r="I59" s="29">
        <v>62797</v>
      </c>
      <c r="J59" s="29">
        <v>70992</v>
      </c>
      <c r="K59" s="29">
        <v>77230</v>
      </c>
      <c r="L59" s="29">
        <v>77830</v>
      </c>
      <c r="M59" s="29">
        <v>67311</v>
      </c>
      <c r="N59" s="29"/>
    </row>
    <row r="60" spans="2:14" x14ac:dyDescent="0.3">
      <c r="B60" t="s">
        <v>98</v>
      </c>
      <c r="C60">
        <v>559</v>
      </c>
      <c r="D60">
        <v>741</v>
      </c>
      <c r="E60">
        <v>756</v>
      </c>
      <c r="F60">
        <v>736</v>
      </c>
      <c r="G60" s="29">
        <v>1184</v>
      </c>
      <c r="H60" s="29">
        <v>1513</v>
      </c>
      <c r="I60" s="29">
        <v>1275</v>
      </c>
      <c r="J60" s="29">
        <v>1035</v>
      </c>
      <c r="K60" s="29">
        <v>1324</v>
      </c>
      <c r="L60" s="29">
        <v>1138</v>
      </c>
      <c r="M60" s="29">
        <v>1072</v>
      </c>
    </row>
    <row r="61" spans="2:14" x14ac:dyDescent="0.3">
      <c r="B61" t="s">
        <v>99</v>
      </c>
      <c r="C61">
        <v>268</v>
      </c>
      <c r="D61">
        <v>64</v>
      </c>
      <c r="E61">
        <v>4</v>
      </c>
      <c r="F61">
        <v>13</v>
      </c>
      <c r="G61">
        <v>13</v>
      </c>
      <c r="H61">
        <v>17</v>
      </c>
      <c r="I61">
        <v>7</v>
      </c>
      <c r="J61">
        <v>16</v>
      </c>
      <c r="K61">
        <v>19</v>
      </c>
      <c r="L61">
        <v>36</v>
      </c>
      <c r="M61">
        <v>38</v>
      </c>
    </row>
    <row r="62" spans="2:14" x14ac:dyDescent="0.3">
      <c r="B62" t="s">
        <v>100</v>
      </c>
      <c r="C62">
        <v>0</v>
      </c>
      <c r="D62">
        <v>-8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2:14" x14ac:dyDescent="0.3">
      <c r="B63" t="s">
        <v>101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-2</v>
      </c>
      <c r="J63">
        <v>-2</v>
      </c>
      <c r="K63">
        <v>-2</v>
      </c>
      <c r="L63">
        <v>-65</v>
      </c>
      <c r="M63">
        <v>-30</v>
      </c>
    </row>
    <row r="64" spans="2:14" x14ac:dyDescent="0.3">
      <c r="B64" t="s">
        <v>102</v>
      </c>
      <c r="C64">
        <v>0</v>
      </c>
      <c r="D64">
        <v>0</v>
      </c>
      <c r="E64">
        <v>129</v>
      </c>
      <c r="F64">
        <v>18</v>
      </c>
      <c r="G64">
        <v>18</v>
      </c>
      <c r="H64">
        <v>0</v>
      </c>
      <c r="I64">
        <v>0</v>
      </c>
      <c r="J64">
        <v>0</v>
      </c>
      <c r="K64">
        <v>56</v>
      </c>
      <c r="L64">
        <v>0</v>
      </c>
      <c r="M64">
        <v>0</v>
      </c>
    </row>
    <row r="65" spans="2:14" x14ac:dyDescent="0.3">
      <c r="B65" t="s">
        <v>105</v>
      </c>
      <c r="C65" s="29">
        <v>-3728</v>
      </c>
      <c r="D65" s="29">
        <v>1052</v>
      </c>
      <c r="E65" s="29">
        <v>3579</v>
      </c>
      <c r="F65" s="29">
        <v>-1769</v>
      </c>
      <c r="G65" s="29">
        <v>-1887</v>
      </c>
      <c r="H65" s="29">
        <v>-1290</v>
      </c>
      <c r="I65" s="29">
        <v>1051</v>
      </c>
      <c r="J65" s="29">
        <v>-2494</v>
      </c>
      <c r="K65">
        <v>-733</v>
      </c>
      <c r="L65" s="29">
        <v>1187</v>
      </c>
      <c r="M65">
        <v>-478</v>
      </c>
      <c r="N65" s="29"/>
    </row>
    <row r="66" spans="2:14" x14ac:dyDescent="0.3">
      <c r="B66" t="s">
        <v>117</v>
      </c>
      <c r="C66" s="29">
        <v>-4661</v>
      </c>
      <c r="D66" s="29">
        <v>-5613</v>
      </c>
      <c r="E66" s="29">
        <v>-7301</v>
      </c>
      <c r="F66" s="29">
        <v>-6221</v>
      </c>
      <c r="G66" s="29">
        <v>-6869</v>
      </c>
      <c r="H66" s="29">
        <v>-8181</v>
      </c>
      <c r="I66" s="29">
        <v>-18634</v>
      </c>
      <c r="J66" s="29">
        <v>-13580</v>
      </c>
      <c r="K66" s="29">
        <v>-13006</v>
      </c>
      <c r="L66" s="29">
        <v>-18551</v>
      </c>
      <c r="M66" s="29">
        <v>-17037</v>
      </c>
      <c r="N66" s="29"/>
    </row>
    <row r="67" spans="2:14" x14ac:dyDescent="0.3">
      <c r="B67" t="s">
        <v>106</v>
      </c>
      <c r="C67">
        <v>979</v>
      </c>
      <c r="D67">
        <v>532</v>
      </c>
      <c r="E67" s="29">
        <v>1067</v>
      </c>
      <c r="F67">
        <v>913</v>
      </c>
      <c r="G67">
        <v>969</v>
      </c>
      <c r="H67">
        <v>625</v>
      </c>
      <c r="I67">
        <v>291</v>
      </c>
      <c r="J67">
        <v>292</v>
      </c>
      <c r="K67" s="29">
        <v>2477</v>
      </c>
      <c r="L67" s="29">
        <v>1443</v>
      </c>
      <c r="M67">
        <v>797</v>
      </c>
    </row>
    <row r="68" spans="2:14" x14ac:dyDescent="0.3">
      <c r="B68" t="s">
        <v>108</v>
      </c>
      <c r="C68">
        <v>7</v>
      </c>
      <c r="D68">
        <v>0</v>
      </c>
      <c r="E68">
        <v>0</v>
      </c>
      <c r="F68">
        <v>11</v>
      </c>
      <c r="G68">
        <v>0</v>
      </c>
      <c r="H68">
        <v>0</v>
      </c>
      <c r="I68">
        <v>0</v>
      </c>
      <c r="J68">
        <v>0</v>
      </c>
      <c r="K68">
        <v>0</v>
      </c>
      <c r="L68">
        <v>8</v>
      </c>
      <c r="M68">
        <v>90</v>
      </c>
      <c r="N68" s="29"/>
    </row>
    <row r="69" spans="2:14" x14ac:dyDescent="0.3">
      <c r="B69" t="s">
        <v>109</v>
      </c>
      <c r="C69">
        <v>-20</v>
      </c>
      <c r="D69">
        <v>-13</v>
      </c>
      <c r="E69">
        <v>-13</v>
      </c>
      <c r="F69">
        <v>-8</v>
      </c>
      <c r="G69">
        <v>-18</v>
      </c>
      <c r="H69">
        <v>-3</v>
      </c>
      <c r="I69">
        <v>-2</v>
      </c>
      <c r="J69">
        <v>-1</v>
      </c>
      <c r="K69">
        <v>-1</v>
      </c>
      <c r="L69">
        <v>-2</v>
      </c>
      <c r="M69">
        <v>-54</v>
      </c>
    </row>
    <row r="70" spans="2:14" x14ac:dyDescent="0.3">
      <c r="B70" t="s">
        <v>111</v>
      </c>
      <c r="C70">
        <v>-16</v>
      </c>
      <c r="D70">
        <v>-28</v>
      </c>
      <c r="E70">
        <v>-25</v>
      </c>
      <c r="F70">
        <v>-49</v>
      </c>
      <c r="G70">
        <v>-98</v>
      </c>
      <c r="H70">
        <v>-44</v>
      </c>
      <c r="I70">
        <v>-41</v>
      </c>
      <c r="J70">
        <v>-40</v>
      </c>
      <c r="K70">
        <v>-41</v>
      </c>
      <c r="L70">
        <v>-46</v>
      </c>
      <c r="M70">
        <v>-50</v>
      </c>
    </row>
    <row r="71" spans="2:14" x14ac:dyDescent="0.3">
      <c r="B71" t="s">
        <v>112</v>
      </c>
      <c r="C71" s="29">
        <v>-4876</v>
      </c>
      <c r="D71" s="29">
        <v>-5133</v>
      </c>
      <c r="E71" s="29">
        <v>-6994</v>
      </c>
      <c r="F71" s="29">
        <v>-5952</v>
      </c>
      <c r="G71" s="29">
        <v>-6519</v>
      </c>
      <c r="H71" s="29">
        <v>-7302</v>
      </c>
      <c r="I71" s="29">
        <v>-18881</v>
      </c>
      <c r="J71" s="29">
        <v>-13788</v>
      </c>
      <c r="K71" s="29">
        <v>-15418</v>
      </c>
      <c r="L71" s="29">
        <v>-19899</v>
      </c>
      <c r="M71" s="29">
        <v>-17782</v>
      </c>
      <c r="N71" s="29"/>
    </row>
    <row r="72" spans="2:14" x14ac:dyDescent="0.3">
      <c r="B72" t="s">
        <v>113</v>
      </c>
      <c r="C72">
        <v>0</v>
      </c>
      <c r="D72">
        <v>0</v>
      </c>
      <c r="E72">
        <v>0</v>
      </c>
      <c r="F72">
        <v>0</v>
      </c>
      <c r="G72">
        <v>0</v>
      </c>
      <c r="H72">
        <v>-49</v>
      </c>
      <c r="I72">
        <v>-55</v>
      </c>
      <c r="J72">
        <v>-59</v>
      </c>
      <c r="K72">
        <v>-59</v>
      </c>
      <c r="L72">
        <v>-67</v>
      </c>
      <c r="M72">
        <v>-66</v>
      </c>
    </row>
    <row r="73" spans="2:14" x14ac:dyDescent="0.3">
      <c r="B73" t="s">
        <v>114</v>
      </c>
      <c r="C73">
        <v>-734</v>
      </c>
      <c r="D73">
        <v>-971</v>
      </c>
      <c r="E73" s="29">
        <v>-1335</v>
      </c>
      <c r="F73" s="29">
        <v>-1136</v>
      </c>
      <c r="G73" s="29">
        <v>-1203</v>
      </c>
      <c r="H73" s="29">
        <v>-1409</v>
      </c>
      <c r="I73">
        <v>55</v>
      </c>
      <c r="J73">
        <v>15</v>
      </c>
      <c r="K73">
        <v>35</v>
      </c>
      <c r="L73">
        <v>12</v>
      </c>
      <c r="M73">
        <v>28</v>
      </c>
    </row>
    <row r="74" spans="2:14" x14ac:dyDescent="0.3">
      <c r="B74" t="s">
        <v>52</v>
      </c>
      <c r="C74">
        <v>-93</v>
      </c>
      <c r="D74">
        <v>266</v>
      </c>
      <c r="E74">
        <v>75</v>
      </c>
      <c r="F74">
        <v>-166</v>
      </c>
      <c r="G74">
        <v>169</v>
      </c>
      <c r="H74">
        <v>334</v>
      </c>
      <c r="I74">
        <v>-367</v>
      </c>
      <c r="J74">
        <v>-43</v>
      </c>
      <c r="K74">
        <v>139</v>
      </c>
      <c r="L74">
        <v>191</v>
      </c>
      <c r="M74">
        <v>26</v>
      </c>
    </row>
    <row r="75" spans="2:14" x14ac:dyDescent="0.3">
      <c r="B75" t="s">
        <v>238</v>
      </c>
      <c r="C75" s="29">
        <v>6552</v>
      </c>
      <c r="D75" s="29">
        <v>7459</v>
      </c>
      <c r="E75" s="29">
        <v>7556</v>
      </c>
      <c r="F75" s="29">
        <v>10371</v>
      </c>
      <c r="G75" s="29">
        <v>9442</v>
      </c>
      <c r="H75" s="29">
        <v>12276</v>
      </c>
      <c r="I75" s="29">
        <v>10693</v>
      </c>
      <c r="J75" s="29">
        <v>13767</v>
      </c>
      <c r="K75" s="29">
        <v>16184</v>
      </c>
      <c r="L75" s="29">
        <v>13724</v>
      </c>
      <c r="M75" s="29">
        <v>15524</v>
      </c>
      <c r="N75" s="29"/>
    </row>
    <row r="76" spans="2:14" x14ac:dyDescent="0.3">
      <c r="B76" t="s">
        <v>239</v>
      </c>
      <c r="C76" s="32">
        <v>1</v>
      </c>
      <c r="D76" s="32">
        <v>1.02</v>
      </c>
      <c r="E76" s="32">
        <v>1.04</v>
      </c>
      <c r="F76" s="32">
        <v>1.1599999999999999</v>
      </c>
      <c r="G76" s="32">
        <v>0.99</v>
      </c>
      <c r="H76" s="32">
        <v>1.02</v>
      </c>
      <c r="I76" s="32">
        <v>0.99</v>
      </c>
      <c r="J76" s="32">
        <v>1.01</v>
      </c>
      <c r="K76" s="32">
        <v>0.98</v>
      </c>
      <c r="L76" s="32">
        <v>0.92</v>
      </c>
      <c r="M76" s="32">
        <v>0.93</v>
      </c>
      <c r="N76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DE2C-92E2-44F8-9E75-BEFEE7D863C1}">
  <dimension ref="B2:U248"/>
  <sheetViews>
    <sheetView tabSelected="1" zoomScale="96" workbookViewId="0">
      <selection activeCell="J19" sqref="J19"/>
    </sheetView>
  </sheetViews>
  <sheetFormatPr defaultRowHeight="14.4" x14ac:dyDescent="0.3"/>
  <cols>
    <col min="1" max="1" width="1.88671875" customWidth="1"/>
    <col min="2" max="2" width="19" customWidth="1"/>
    <col min="3" max="3" width="14.88671875" bestFit="1" customWidth="1"/>
    <col min="4" max="4" width="13.77734375" customWidth="1"/>
    <col min="5" max="5" width="6" bestFit="1" customWidth="1"/>
    <col min="6" max="6" width="13.44140625" bestFit="1" customWidth="1"/>
    <col min="7" max="7" width="9.5546875" customWidth="1"/>
    <col min="8" max="8" width="11.6640625" bestFit="1" customWidth="1"/>
    <col min="9" max="9" width="17.21875" customWidth="1"/>
    <col min="10" max="10" width="18.44140625" customWidth="1"/>
    <col min="11" max="11" width="20" customWidth="1"/>
    <col min="12" max="12" width="11.21875" customWidth="1"/>
    <col min="13" max="16" width="9.109375" bestFit="1" customWidth="1"/>
    <col min="17" max="17" width="12" bestFit="1" customWidth="1"/>
    <col min="18" max="18" width="14.77734375" bestFit="1" customWidth="1"/>
    <col min="19" max="21" width="9" bestFit="1" customWidth="1"/>
  </cols>
  <sheetData>
    <row r="2" spans="2:13" x14ac:dyDescent="0.3">
      <c r="B2" s="15" t="s">
        <v>332</v>
      </c>
    </row>
    <row r="4" spans="2:13" x14ac:dyDescent="0.3">
      <c r="B4" s="122" t="s">
        <v>173</v>
      </c>
      <c r="C4" s="122"/>
      <c r="D4" s="122"/>
      <c r="F4" s="122" t="s">
        <v>174</v>
      </c>
      <c r="G4" s="122"/>
      <c r="I4" s="122" t="s">
        <v>359</v>
      </c>
      <c r="J4" s="122"/>
    </row>
    <row r="6" spans="2:13" x14ac:dyDescent="0.3">
      <c r="B6" s="55" t="s">
        <v>175</v>
      </c>
      <c r="C6" s="56" t="s">
        <v>176</v>
      </c>
      <c r="D6" s="56" t="s">
        <v>177</v>
      </c>
      <c r="F6" s="56" t="s">
        <v>176</v>
      </c>
      <c r="G6" s="56" t="s">
        <v>177</v>
      </c>
      <c r="I6" s="129" t="s">
        <v>360</v>
      </c>
      <c r="J6" s="52">
        <f>M10</f>
        <v>0.59392764718013413</v>
      </c>
    </row>
    <row r="7" spans="2:13" x14ac:dyDescent="0.3">
      <c r="B7" s="123">
        <v>45846.229166666664</v>
      </c>
      <c r="C7">
        <v>417.2</v>
      </c>
      <c r="D7" s="17">
        <v>0</v>
      </c>
      <c r="F7">
        <v>25522.5</v>
      </c>
      <c r="G7" s="17">
        <v>0</v>
      </c>
      <c r="I7" s="130" t="s">
        <v>361</v>
      </c>
      <c r="J7" s="131">
        <v>0.75</v>
      </c>
      <c r="L7" s="124" t="s">
        <v>333</v>
      </c>
      <c r="M7" s="52">
        <f>SLOPE(D8:D248,G8:G248)</f>
        <v>0.59391068953463544</v>
      </c>
    </row>
    <row r="8" spans="2:13" x14ac:dyDescent="0.3">
      <c r="B8" s="123">
        <v>45847.229166666664</v>
      </c>
      <c r="C8">
        <v>419.45</v>
      </c>
      <c r="D8" s="17">
        <f>C8/C7 - 1</f>
        <v>5.3930968360498266E-3</v>
      </c>
      <c r="F8">
        <v>25476.1</v>
      </c>
      <c r="G8" s="17">
        <f>F8/F7-1</f>
        <v>-1.8180037222059742E-3</v>
      </c>
      <c r="I8" s="130"/>
      <c r="J8" s="130"/>
      <c r="L8" s="57" t="s">
        <v>334</v>
      </c>
      <c r="M8" s="52">
        <f>_xlfn.COVARIANCE.S(D7:D248,G7:G248)/_xlfn.VAR.S(G7:G248)</f>
        <v>0.59392764718013458</v>
      </c>
    </row>
    <row r="9" spans="2:13" x14ac:dyDescent="0.3">
      <c r="B9" s="123">
        <v>45848.229166666664</v>
      </c>
      <c r="C9">
        <v>416.85</v>
      </c>
      <c r="D9" s="17">
        <f t="shared" ref="D9:D15" si="0">C9/C8 - 1</f>
        <v>-6.1985933961138384E-3</v>
      </c>
      <c r="F9">
        <v>25355.25</v>
      </c>
      <c r="G9" s="17">
        <f t="shared" ref="G9:G72" si="1">F9/F8-1</f>
        <v>-4.7436617064621212E-3</v>
      </c>
      <c r="I9" s="130" t="s">
        <v>362</v>
      </c>
      <c r="J9" s="52">
        <v>1</v>
      </c>
      <c r="M9" s="52"/>
    </row>
    <row r="10" spans="2:13" x14ac:dyDescent="0.3">
      <c r="B10" s="123">
        <v>45849.229166666664</v>
      </c>
      <c r="C10">
        <v>416.8</v>
      </c>
      <c r="D10" s="17">
        <f t="shared" si="0"/>
        <v>-1.1994722322183904E-4</v>
      </c>
      <c r="F10">
        <v>25149.85</v>
      </c>
      <c r="G10" s="17">
        <f t="shared" si="1"/>
        <v>-8.1008864041963724E-3</v>
      </c>
      <c r="I10" s="130" t="s">
        <v>363</v>
      </c>
      <c r="J10" s="131">
        <v>0.25</v>
      </c>
      <c r="L10" s="57" t="s">
        <v>335</v>
      </c>
      <c r="M10" s="52">
        <f>N32</f>
        <v>0.59392764718013413</v>
      </c>
    </row>
    <row r="11" spans="2:13" x14ac:dyDescent="0.3">
      <c r="B11" s="123">
        <v>45852.229166666664</v>
      </c>
      <c r="C11">
        <v>419.4</v>
      </c>
      <c r="D11" s="17">
        <f t="shared" si="0"/>
        <v>6.2380038387714887E-3</v>
      </c>
      <c r="F11">
        <v>25082.3</v>
      </c>
      <c r="G11" s="17">
        <f t="shared" si="1"/>
        <v>-2.68590071113739E-3</v>
      </c>
      <c r="I11" s="130"/>
      <c r="J11" s="130"/>
    </row>
    <row r="12" spans="2:13" x14ac:dyDescent="0.3">
      <c r="B12" s="123">
        <v>45853.229166666664</v>
      </c>
      <c r="C12">
        <v>422.1</v>
      </c>
      <c r="D12" s="17">
        <f t="shared" si="0"/>
        <v>6.4377682403433667E-3</v>
      </c>
      <c r="F12">
        <v>25195.8</v>
      </c>
      <c r="G12" s="17">
        <f t="shared" si="1"/>
        <v>4.5251033597397683E-3</v>
      </c>
      <c r="I12" s="132" t="s">
        <v>364</v>
      </c>
      <c r="J12" s="133">
        <f>J6*J7+J9*J10</f>
        <v>0.69544573538510057</v>
      </c>
    </row>
    <row r="13" spans="2:13" x14ac:dyDescent="0.3">
      <c r="B13" s="123">
        <v>45854.229166666664</v>
      </c>
      <c r="C13">
        <v>424.6</v>
      </c>
      <c r="D13" s="17">
        <f t="shared" si="0"/>
        <v>5.9227671167969564E-3</v>
      </c>
      <c r="F13">
        <v>25212.05</v>
      </c>
      <c r="G13" s="17">
        <f t="shared" si="1"/>
        <v>6.4494876130138934E-4</v>
      </c>
    </row>
    <row r="14" spans="2:13" x14ac:dyDescent="0.3">
      <c r="B14" s="123">
        <v>45855.229166666664</v>
      </c>
      <c r="C14">
        <v>423.95</v>
      </c>
      <c r="D14" s="17">
        <f t="shared" si="0"/>
        <v>-1.530852567122043E-3</v>
      </c>
      <c r="F14">
        <v>25111.45</v>
      </c>
      <c r="G14" s="17">
        <f t="shared" si="1"/>
        <v>-3.9901555010400935E-3</v>
      </c>
    </row>
    <row r="15" spans="2:13" x14ac:dyDescent="0.3">
      <c r="B15" s="123">
        <v>45856.229166666664</v>
      </c>
      <c r="C15">
        <v>422.75</v>
      </c>
      <c r="D15" s="17">
        <f t="shared" si="0"/>
        <v>-2.8305224672721119E-3</v>
      </c>
      <c r="F15">
        <v>24968.400000000001</v>
      </c>
      <c r="G15" s="17">
        <f t="shared" si="1"/>
        <v>-5.6966045369741813E-3</v>
      </c>
      <c r="M15" t="s">
        <v>336</v>
      </c>
    </row>
    <row r="16" spans="2:13" ht="15" thickBot="1" x14ac:dyDescent="0.35">
      <c r="B16" s="123">
        <v>45859.229166666664</v>
      </c>
      <c r="C16">
        <v>420.1</v>
      </c>
      <c r="D16" s="17">
        <f t="shared" ref="D16:D79" si="2">C16/C15 - 1</f>
        <v>-6.2684801892370912E-3</v>
      </c>
      <c r="F16">
        <v>25090.7</v>
      </c>
      <c r="G16" s="17">
        <f t="shared" si="1"/>
        <v>4.8981913138206323E-3</v>
      </c>
    </row>
    <row r="17" spans="2:21" x14ac:dyDescent="0.3">
      <c r="B17" s="123">
        <v>45860.229166666664</v>
      </c>
      <c r="C17">
        <v>416</v>
      </c>
      <c r="D17" s="17">
        <f t="shared" si="2"/>
        <v>-9.7595810521304838E-3</v>
      </c>
      <c r="F17">
        <v>25060.9</v>
      </c>
      <c r="G17" s="17">
        <f t="shared" si="1"/>
        <v>-1.1876910568456855E-3</v>
      </c>
      <c r="M17" s="128" t="s">
        <v>337</v>
      </c>
      <c r="N17" s="128"/>
    </row>
    <row r="18" spans="2:21" x14ac:dyDescent="0.3">
      <c r="B18" s="123">
        <v>45861.229166666664</v>
      </c>
      <c r="C18">
        <v>414.95</v>
      </c>
      <c r="D18" s="17">
        <f t="shared" si="2"/>
        <v>-2.5240384615384803E-3</v>
      </c>
      <c r="F18">
        <v>25219.9</v>
      </c>
      <c r="G18" s="17">
        <f t="shared" si="1"/>
        <v>6.3445446891372548E-3</v>
      </c>
      <c r="M18" s="125" t="s">
        <v>338</v>
      </c>
      <c r="N18" s="125">
        <v>0.39326211630738911</v>
      </c>
    </row>
    <row r="19" spans="2:21" x14ac:dyDescent="0.3">
      <c r="B19" s="123">
        <v>45862.229166666664</v>
      </c>
      <c r="C19">
        <v>409.95</v>
      </c>
      <c r="D19" s="17">
        <f t="shared" si="2"/>
        <v>-1.2049644535486181E-2</v>
      </c>
      <c r="F19">
        <v>25062.1</v>
      </c>
      <c r="G19" s="17">
        <f t="shared" si="1"/>
        <v>-6.2569637468825601E-3</v>
      </c>
      <c r="M19" s="125" t="s">
        <v>339</v>
      </c>
      <c r="N19" s="125">
        <v>0.15465509212256645</v>
      </c>
    </row>
    <row r="20" spans="2:21" x14ac:dyDescent="0.3">
      <c r="B20" s="123">
        <v>45863.229166666664</v>
      </c>
      <c r="C20">
        <v>409.4</v>
      </c>
      <c r="D20" s="17">
        <f t="shared" si="2"/>
        <v>-1.3416270276863651E-3</v>
      </c>
      <c r="F20">
        <v>24837</v>
      </c>
      <c r="G20" s="17">
        <f t="shared" si="1"/>
        <v>-8.9816894833233407E-3</v>
      </c>
      <c r="M20" s="125" t="s">
        <v>340</v>
      </c>
      <c r="N20" s="125">
        <v>0.15113282167307715</v>
      </c>
    </row>
    <row r="21" spans="2:21" x14ac:dyDescent="0.3">
      <c r="B21" s="123">
        <v>45866.229166666664</v>
      </c>
      <c r="C21">
        <v>409.9</v>
      </c>
      <c r="D21" s="17">
        <f t="shared" si="2"/>
        <v>1.221299462628167E-3</v>
      </c>
      <c r="F21">
        <v>24680.9</v>
      </c>
      <c r="G21" s="17">
        <f t="shared" si="1"/>
        <v>-6.2849780569311786E-3</v>
      </c>
      <c r="M21" s="125" t="s">
        <v>341</v>
      </c>
      <c r="N21" s="125">
        <v>1.1573224465571547E-2</v>
      </c>
    </row>
    <row r="22" spans="2:21" ht="15" thickBot="1" x14ac:dyDescent="0.35">
      <c r="B22" s="123">
        <v>45867.229166666664</v>
      </c>
      <c r="C22">
        <v>408.45</v>
      </c>
      <c r="D22" s="17">
        <f t="shared" si="2"/>
        <v>-3.5374481580873196E-3</v>
      </c>
      <c r="F22">
        <v>24821.1</v>
      </c>
      <c r="G22" s="17">
        <f t="shared" si="1"/>
        <v>5.6805059783069378E-3</v>
      </c>
      <c r="M22" s="126" t="s">
        <v>342</v>
      </c>
      <c r="N22" s="126">
        <v>242</v>
      </c>
    </row>
    <row r="23" spans="2:21" x14ac:dyDescent="0.3">
      <c r="B23" s="123">
        <v>45868.229166666664</v>
      </c>
      <c r="C23">
        <v>407.6</v>
      </c>
      <c r="D23" s="17">
        <f t="shared" si="2"/>
        <v>-2.0810380707552145E-3</v>
      </c>
      <c r="F23">
        <v>24855.05</v>
      </c>
      <c r="G23" s="17">
        <f t="shared" si="1"/>
        <v>1.3677878901419138E-3</v>
      </c>
    </row>
    <row r="24" spans="2:21" ht="15" thickBot="1" x14ac:dyDescent="0.35">
      <c r="B24" s="123">
        <v>45869.229166666664</v>
      </c>
      <c r="C24">
        <v>411.95</v>
      </c>
      <c r="D24" s="17">
        <f t="shared" si="2"/>
        <v>1.0672227674190404E-2</v>
      </c>
      <c r="F24">
        <v>24768.35</v>
      </c>
      <c r="G24" s="17">
        <f t="shared" si="1"/>
        <v>-3.4882247269669708E-3</v>
      </c>
      <c r="M24" t="s">
        <v>343</v>
      </c>
    </row>
    <row r="25" spans="2:21" x14ac:dyDescent="0.3">
      <c r="B25" s="123">
        <v>45870.229166666664</v>
      </c>
      <c r="C25">
        <v>416.45</v>
      </c>
      <c r="D25" s="17">
        <f t="shared" si="2"/>
        <v>1.0923655783468877E-2</v>
      </c>
      <c r="F25">
        <v>24565.35</v>
      </c>
      <c r="G25" s="17">
        <f t="shared" si="1"/>
        <v>-8.195943613522938E-3</v>
      </c>
      <c r="M25" s="127"/>
      <c r="N25" s="127" t="s">
        <v>347</v>
      </c>
      <c r="O25" s="127" t="s">
        <v>348</v>
      </c>
      <c r="P25" s="127" t="s">
        <v>349</v>
      </c>
      <c r="Q25" s="127" t="s">
        <v>350</v>
      </c>
      <c r="R25" s="127" t="s">
        <v>351</v>
      </c>
    </row>
    <row r="26" spans="2:21" x14ac:dyDescent="0.3">
      <c r="B26" s="123">
        <v>45873.229166666664</v>
      </c>
      <c r="C26">
        <v>416.85</v>
      </c>
      <c r="D26" s="17">
        <f t="shared" si="2"/>
        <v>9.6049945971921069E-4</v>
      </c>
      <c r="F26">
        <v>24722.75</v>
      </c>
      <c r="G26" s="17">
        <f t="shared" si="1"/>
        <v>6.4073990397044422E-3</v>
      </c>
      <c r="M26" s="125" t="s">
        <v>344</v>
      </c>
      <c r="N26" s="125">
        <v>1</v>
      </c>
      <c r="O26" s="125">
        <v>5.8809877896006529E-3</v>
      </c>
      <c r="P26" s="125">
        <v>5.8809877896006529E-3</v>
      </c>
      <c r="Q26" s="125">
        <v>43.907784578265385</v>
      </c>
      <c r="R26" s="125">
        <v>2.2462592692851509E-10</v>
      </c>
    </row>
    <row r="27" spans="2:21" x14ac:dyDescent="0.3">
      <c r="B27" s="123">
        <v>45874.229166666664</v>
      </c>
      <c r="C27">
        <v>414.15</v>
      </c>
      <c r="D27" s="17">
        <f t="shared" si="2"/>
        <v>-6.4771500539763105E-3</v>
      </c>
      <c r="F27">
        <v>24649.55</v>
      </c>
      <c r="G27" s="17">
        <f t="shared" si="1"/>
        <v>-2.9608356675532299E-3</v>
      </c>
      <c r="M27" s="125" t="s">
        <v>345</v>
      </c>
      <c r="N27" s="125">
        <v>240</v>
      </c>
      <c r="O27" s="125">
        <v>3.2145485887320913E-2</v>
      </c>
      <c r="P27" s="125">
        <v>1.339395245305038E-4</v>
      </c>
      <c r="Q27" s="125"/>
      <c r="R27" s="125"/>
    </row>
    <row r="28" spans="2:21" ht="15" thickBot="1" x14ac:dyDescent="0.35">
      <c r="B28" s="123">
        <v>45875.229166666664</v>
      </c>
      <c r="C28">
        <v>412</v>
      </c>
      <c r="D28" s="17">
        <f t="shared" si="2"/>
        <v>-5.1913557889653461E-3</v>
      </c>
      <c r="F28">
        <v>24574.2</v>
      </c>
      <c r="G28" s="17">
        <f t="shared" si="1"/>
        <v>-3.0568509364268248E-3</v>
      </c>
      <c r="M28" s="126" t="s">
        <v>37</v>
      </c>
      <c r="N28" s="126">
        <v>241</v>
      </c>
      <c r="O28" s="126">
        <v>3.8026473676921566E-2</v>
      </c>
      <c r="P28" s="126"/>
      <c r="Q28" s="126"/>
      <c r="R28" s="126"/>
    </row>
    <row r="29" spans="2:21" ht="15" thickBot="1" x14ac:dyDescent="0.35">
      <c r="B29" s="123">
        <v>45876.229166666664</v>
      </c>
      <c r="C29">
        <v>413.6</v>
      </c>
      <c r="D29" s="17">
        <f t="shared" si="2"/>
        <v>3.8834951456310218E-3</v>
      </c>
      <c r="F29">
        <v>24596.15</v>
      </c>
      <c r="G29" s="17">
        <f t="shared" si="1"/>
        <v>8.9321320734758736E-4</v>
      </c>
    </row>
    <row r="30" spans="2:21" x14ac:dyDescent="0.3">
      <c r="B30" s="123">
        <v>45877.229166666664</v>
      </c>
      <c r="C30">
        <v>414.5</v>
      </c>
      <c r="D30" s="17">
        <f t="shared" si="2"/>
        <v>2.1760154738876825E-3</v>
      </c>
      <c r="F30">
        <v>24363.3</v>
      </c>
      <c r="G30" s="17">
        <f t="shared" si="1"/>
        <v>-9.4669287673071478E-3</v>
      </c>
      <c r="M30" s="127"/>
      <c r="N30" s="127" t="s">
        <v>352</v>
      </c>
      <c r="O30" s="127" t="s">
        <v>341</v>
      </c>
      <c r="P30" s="127" t="s">
        <v>353</v>
      </c>
      <c r="Q30" s="127" t="s">
        <v>354</v>
      </c>
      <c r="R30" s="127" t="s">
        <v>355</v>
      </c>
      <c r="S30" s="127" t="s">
        <v>356</v>
      </c>
      <c r="T30" s="127" t="s">
        <v>357</v>
      </c>
      <c r="U30" s="127" t="s">
        <v>358</v>
      </c>
    </row>
    <row r="31" spans="2:21" x14ac:dyDescent="0.3">
      <c r="B31" s="123">
        <v>45880.229166666664</v>
      </c>
      <c r="C31">
        <v>416.85</v>
      </c>
      <c r="D31" s="17">
        <f t="shared" si="2"/>
        <v>5.6694813027744484E-3</v>
      </c>
      <c r="F31">
        <v>24585.05</v>
      </c>
      <c r="G31" s="17">
        <f t="shared" si="1"/>
        <v>9.1018047637225763E-3</v>
      </c>
      <c r="M31" s="125" t="s">
        <v>346</v>
      </c>
      <c r="N31" s="125">
        <v>-1.2876604556264115E-3</v>
      </c>
      <c r="O31" s="125">
        <v>7.4421313424409693E-4</v>
      </c>
      <c r="P31" s="125">
        <v>-1.7302307583355114</v>
      </c>
      <c r="Q31" s="125">
        <v>8.4874537244052972E-2</v>
      </c>
      <c r="R31" s="125">
        <v>-2.7536841487668705E-3</v>
      </c>
      <c r="S31" s="125">
        <v>1.7836323751404767E-4</v>
      </c>
      <c r="T31" s="125">
        <v>-2.7536841487668705E-3</v>
      </c>
      <c r="U31" s="125">
        <v>1.7836323751404767E-4</v>
      </c>
    </row>
    <row r="32" spans="2:21" ht="15" thickBot="1" x14ac:dyDescent="0.35">
      <c r="B32" s="123">
        <v>45881.229166666664</v>
      </c>
      <c r="C32">
        <v>416.35</v>
      </c>
      <c r="D32" s="17">
        <f t="shared" si="2"/>
        <v>-1.1994722322178353E-3</v>
      </c>
      <c r="F32">
        <v>24487.4</v>
      </c>
      <c r="G32" s="17">
        <f t="shared" si="1"/>
        <v>-3.9719260282162772E-3</v>
      </c>
      <c r="M32" s="126" t="s">
        <v>177</v>
      </c>
      <c r="N32" s="126">
        <v>0.59392764718013413</v>
      </c>
      <c r="O32" s="126">
        <v>8.9631936537777762E-2</v>
      </c>
      <c r="P32" s="126">
        <v>6.6262949359551939</v>
      </c>
      <c r="Q32" s="126">
        <v>2.2462592692850366E-10</v>
      </c>
      <c r="R32" s="126">
        <v>0.41736190736702161</v>
      </c>
      <c r="S32" s="126">
        <v>0.77049338699324665</v>
      </c>
      <c r="T32" s="126">
        <v>0.41736190736702161</v>
      </c>
      <c r="U32" s="126">
        <v>0.77049338699324665</v>
      </c>
    </row>
    <row r="33" spans="2:7" x14ac:dyDescent="0.3">
      <c r="B33" s="123">
        <v>45882.229166666664</v>
      </c>
      <c r="C33">
        <v>414.1</v>
      </c>
      <c r="D33" s="17">
        <f t="shared" si="2"/>
        <v>-5.4041071214122605E-3</v>
      </c>
      <c r="F33">
        <v>24619.35</v>
      </c>
      <c r="G33" s="17">
        <f t="shared" si="1"/>
        <v>5.3884855068320192E-3</v>
      </c>
    </row>
    <row r="34" spans="2:7" x14ac:dyDescent="0.3">
      <c r="B34" s="123">
        <v>45883.229166666664</v>
      </c>
      <c r="C34">
        <v>411.45</v>
      </c>
      <c r="D34" s="17">
        <f t="shared" si="2"/>
        <v>-6.3994204298479795E-3</v>
      </c>
      <c r="F34">
        <v>24631.3</v>
      </c>
      <c r="G34" s="17">
        <f t="shared" si="1"/>
        <v>4.8539055661511732E-4</v>
      </c>
    </row>
    <row r="35" spans="2:7" x14ac:dyDescent="0.3">
      <c r="B35" s="123">
        <v>45887.229166666664</v>
      </c>
      <c r="C35">
        <v>406.3</v>
      </c>
      <c r="D35" s="17">
        <f t="shared" si="2"/>
        <v>-1.2516709199173581E-2</v>
      </c>
      <c r="F35">
        <v>24876.95</v>
      </c>
      <c r="G35" s="17">
        <f t="shared" si="1"/>
        <v>9.9730830285045258E-3</v>
      </c>
    </row>
    <row r="36" spans="2:7" x14ac:dyDescent="0.3">
      <c r="B36" s="123">
        <v>45888.229166666664</v>
      </c>
      <c r="C36">
        <v>409.1</v>
      </c>
      <c r="D36" s="17">
        <f t="shared" si="2"/>
        <v>6.8914595126754463E-3</v>
      </c>
      <c r="F36">
        <v>24980.65</v>
      </c>
      <c r="G36" s="17">
        <f t="shared" si="1"/>
        <v>4.1685174428538474E-3</v>
      </c>
    </row>
    <row r="37" spans="2:7" x14ac:dyDescent="0.3">
      <c r="B37" s="123">
        <v>45889.229166666664</v>
      </c>
      <c r="C37">
        <v>406.05</v>
      </c>
      <c r="D37" s="17">
        <f t="shared" si="2"/>
        <v>-7.4553898802248719E-3</v>
      </c>
      <c r="F37">
        <v>25050.55</v>
      </c>
      <c r="G37" s="17">
        <f t="shared" si="1"/>
        <v>2.7981657803137772E-3</v>
      </c>
    </row>
    <row r="38" spans="2:7" x14ac:dyDescent="0.3">
      <c r="B38" s="123">
        <v>45890.229166666664</v>
      </c>
      <c r="C38">
        <v>405.55</v>
      </c>
      <c r="D38" s="17">
        <f t="shared" si="2"/>
        <v>-1.2313754463736393E-3</v>
      </c>
      <c r="F38">
        <v>25083.75</v>
      </c>
      <c r="G38" s="17">
        <f t="shared" si="1"/>
        <v>1.3253202025504951E-3</v>
      </c>
    </row>
    <row r="39" spans="2:7" x14ac:dyDescent="0.3">
      <c r="B39" s="123">
        <v>45891.229166666664</v>
      </c>
      <c r="C39">
        <v>398.3</v>
      </c>
      <c r="D39" s="17">
        <f t="shared" si="2"/>
        <v>-1.787695721859206E-2</v>
      </c>
      <c r="F39">
        <v>24870.1</v>
      </c>
      <c r="G39" s="17">
        <f t="shared" si="1"/>
        <v>-8.5174664872676997E-3</v>
      </c>
    </row>
    <row r="40" spans="2:7" x14ac:dyDescent="0.3">
      <c r="B40" s="123">
        <v>45894.229166666664</v>
      </c>
      <c r="C40">
        <v>399.35</v>
      </c>
      <c r="D40" s="17">
        <f t="shared" si="2"/>
        <v>2.6362038664322629E-3</v>
      </c>
      <c r="F40">
        <v>24967.75</v>
      </c>
      <c r="G40" s="17">
        <f t="shared" si="1"/>
        <v>3.9264015826234733E-3</v>
      </c>
    </row>
    <row r="41" spans="2:7" x14ac:dyDescent="0.3">
      <c r="B41" s="123">
        <v>45895.229166666664</v>
      </c>
      <c r="C41">
        <v>403.35</v>
      </c>
      <c r="D41" s="17">
        <f t="shared" si="2"/>
        <v>1.0016276449229977E-2</v>
      </c>
      <c r="F41">
        <v>24712.05</v>
      </c>
      <c r="G41" s="17">
        <f t="shared" si="1"/>
        <v>-1.0241211162399511E-2</v>
      </c>
    </row>
    <row r="42" spans="2:7" x14ac:dyDescent="0.3">
      <c r="B42" s="123">
        <v>45897.229166666664</v>
      </c>
      <c r="C42">
        <v>400.9</v>
      </c>
      <c r="D42" s="17">
        <f t="shared" si="2"/>
        <v>-6.0741291682162579E-3</v>
      </c>
      <c r="F42">
        <v>24500.9</v>
      </c>
      <c r="G42" s="17">
        <f t="shared" si="1"/>
        <v>-8.5444145669824056E-3</v>
      </c>
    </row>
    <row r="43" spans="2:7" x14ac:dyDescent="0.3">
      <c r="B43" s="123">
        <v>45898.229166666664</v>
      </c>
      <c r="C43">
        <v>409.75</v>
      </c>
      <c r="D43" s="17">
        <f t="shared" si="2"/>
        <v>2.2075330506360791E-2</v>
      </c>
      <c r="F43">
        <v>24426.85</v>
      </c>
      <c r="G43" s="17">
        <f t="shared" si="1"/>
        <v>-3.0223379549323415E-3</v>
      </c>
    </row>
    <row r="44" spans="2:7" x14ac:dyDescent="0.3">
      <c r="B44" s="123">
        <v>45901.229166666664</v>
      </c>
      <c r="C44">
        <v>405.85</v>
      </c>
      <c r="D44" s="17">
        <f t="shared" si="2"/>
        <v>-9.517998779743686E-3</v>
      </c>
      <c r="F44">
        <v>24625.05</v>
      </c>
      <c r="G44" s="17">
        <f t="shared" si="1"/>
        <v>8.1140220699762455E-3</v>
      </c>
    </row>
    <row r="45" spans="2:7" x14ac:dyDescent="0.3">
      <c r="B45" s="123">
        <v>45902.229166666664</v>
      </c>
      <c r="C45">
        <v>406.75</v>
      </c>
      <c r="D45" s="17">
        <f t="shared" si="2"/>
        <v>2.2175680670197817E-3</v>
      </c>
      <c r="F45">
        <v>24579.599999999999</v>
      </c>
      <c r="G45" s="17">
        <f t="shared" si="1"/>
        <v>-1.8456815316111319E-3</v>
      </c>
    </row>
    <row r="46" spans="2:7" x14ac:dyDescent="0.3">
      <c r="B46" s="123">
        <v>45903.229166666664</v>
      </c>
      <c r="C46">
        <v>411.75</v>
      </c>
      <c r="D46" s="17">
        <f t="shared" si="2"/>
        <v>1.2292562999385304E-2</v>
      </c>
      <c r="F46">
        <v>24715.05</v>
      </c>
      <c r="G46" s="17">
        <f t="shared" si="1"/>
        <v>5.510667382707668E-3</v>
      </c>
    </row>
    <row r="47" spans="2:7" x14ac:dyDescent="0.3">
      <c r="B47" s="123">
        <v>45904.229166666664</v>
      </c>
      <c r="C47">
        <v>415.9</v>
      </c>
      <c r="D47" s="17">
        <f t="shared" si="2"/>
        <v>1.0078931390406831E-2</v>
      </c>
      <c r="F47">
        <v>24734.3</v>
      </c>
      <c r="G47" s="17">
        <f t="shared" si="1"/>
        <v>7.7887764742534671E-4</v>
      </c>
    </row>
    <row r="48" spans="2:7" x14ac:dyDescent="0.3">
      <c r="B48" s="123">
        <v>45905.229166666664</v>
      </c>
      <c r="C48">
        <v>407.35</v>
      </c>
      <c r="D48" s="17">
        <f t="shared" si="2"/>
        <v>-2.0557826400576906E-2</v>
      </c>
      <c r="F48">
        <v>24741</v>
      </c>
      <c r="G48" s="17">
        <f t="shared" si="1"/>
        <v>2.7087890095933709E-4</v>
      </c>
    </row>
    <row r="49" spans="2:7" x14ac:dyDescent="0.3">
      <c r="B49" s="123">
        <v>45908.229166666664</v>
      </c>
      <c r="C49">
        <v>407.55</v>
      </c>
      <c r="D49" s="17">
        <f t="shared" si="2"/>
        <v>4.9097827421129558E-4</v>
      </c>
      <c r="F49">
        <v>24773.15</v>
      </c>
      <c r="G49" s="17">
        <f t="shared" si="1"/>
        <v>1.2994624307829383E-3</v>
      </c>
    </row>
    <row r="50" spans="2:7" x14ac:dyDescent="0.3">
      <c r="B50" s="123">
        <v>45909.229166666664</v>
      </c>
      <c r="C50">
        <v>410.05</v>
      </c>
      <c r="D50" s="17">
        <f t="shared" si="2"/>
        <v>6.1342166605324877E-3</v>
      </c>
      <c r="F50">
        <v>24868.6</v>
      </c>
      <c r="G50" s="17">
        <f t="shared" si="1"/>
        <v>3.8529617751474898E-3</v>
      </c>
    </row>
    <row r="51" spans="2:7" x14ac:dyDescent="0.3">
      <c r="B51" s="123">
        <v>45910.229166666664</v>
      </c>
      <c r="C51">
        <v>413.05</v>
      </c>
      <c r="D51" s="17">
        <f t="shared" si="2"/>
        <v>7.3161809535422506E-3</v>
      </c>
      <c r="F51">
        <v>24973.1</v>
      </c>
      <c r="G51" s="17">
        <f t="shared" si="1"/>
        <v>4.2020861648826013E-3</v>
      </c>
    </row>
    <row r="52" spans="2:7" x14ac:dyDescent="0.3">
      <c r="B52" s="123">
        <v>45911.229166666664</v>
      </c>
      <c r="C52">
        <v>415.05</v>
      </c>
      <c r="D52" s="17">
        <f t="shared" si="2"/>
        <v>4.8420288100714526E-3</v>
      </c>
      <c r="F52">
        <v>25005.5</v>
      </c>
      <c r="G52" s="17">
        <f t="shared" si="1"/>
        <v>1.2973959980939753E-3</v>
      </c>
    </row>
    <row r="53" spans="2:7" x14ac:dyDescent="0.3">
      <c r="B53" s="123">
        <v>45912.229166666664</v>
      </c>
      <c r="C53">
        <v>413.75</v>
      </c>
      <c r="D53" s="17">
        <f t="shared" si="2"/>
        <v>-3.1321527526804172E-3</v>
      </c>
      <c r="F53">
        <v>25114</v>
      </c>
      <c r="G53" s="17">
        <f t="shared" si="1"/>
        <v>4.3390454100098452E-3</v>
      </c>
    </row>
    <row r="54" spans="2:7" x14ac:dyDescent="0.3">
      <c r="B54" s="123">
        <v>45915.229166666664</v>
      </c>
      <c r="C54">
        <v>412.65</v>
      </c>
      <c r="D54" s="17">
        <f t="shared" si="2"/>
        <v>-2.6586102719033944E-3</v>
      </c>
      <c r="F54">
        <v>25069.200000000001</v>
      </c>
      <c r="G54" s="17">
        <f t="shared" si="1"/>
        <v>-1.7838655729871533E-3</v>
      </c>
    </row>
    <row r="55" spans="2:7" x14ac:dyDescent="0.3">
      <c r="B55" s="123">
        <v>45916.229166666664</v>
      </c>
      <c r="C55">
        <v>413.1</v>
      </c>
      <c r="D55" s="17">
        <f t="shared" si="2"/>
        <v>1.0905125408944283E-3</v>
      </c>
      <c r="F55">
        <v>25239.1</v>
      </c>
      <c r="G55" s="17">
        <f t="shared" si="1"/>
        <v>6.7772405980246475E-3</v>
      </c>
    </row>
    <row r="56" spans="2:7" x14ac:dyDescent="0.3">
      <c r="B56" s="123">
        <v>45917.229166666664</v>
      </c>
      <c r="C56">
        <v>409.3</v>
      </c>
      <c r="D56" s="17">
        <f t="shared" si="2"/>
        <v>-9.1987412248850653E-3</v>
      </c>
      <c r="F56">
        <v>25330.25</v>
      </c>
      <c r="G56" s="17">
        <f t="shared" si="1"/>
        <v>3.6114599965926253E-3</v>
      </c>
    </row>
    <row r="57" spans="2:7" x14ac:dyDescent="0.3">
      <c r="B57" s="123">
        <v>45918.229166666664</v>
      </c>
      <c r="C57">
        <v>411.55</v>
      </c>
      <c r="D57" s="17">
        <f t="shared" si="2"/>
        <v>5.4971903249450005E-3</v>
      </c>
      <c r="F57">
        <v>25423.599999999999</v>
      </c>
      <c r="G57" s="17">
        <f t="shared" si="1"/>
        <v>3.685316962919849E-3</v>
      </c>
    </row>
    <row r="58" spans="2:7" x14ac:dyDescent="0.3">
      <c r="B58" s="123">
        <v>45919.229166666664</v>
      </c>
      <c r="C58">
        <v>410.65</v>
      </c>
      <c r="D58" s="17">
        <f t="shared" si="2"/>
        <v>-2.1868545741708934E-3</v>
      </c>
      <c r="F58">
        <v>25327.05</v>
      </c>
      <c r="G58" s="17">
        <f t="shared" si="1"/>
        <v>-3.7976525747730472E-3</v>
      </c>
    </row>
    <row r="59" spans="2:7" x14ac:dyDescent="0.3">
      <c r="B59" s="123">
        <v>45922.229166666664</v>
      </c>
      <c r="C59">
        <v>406.95</v>
      </c>
      <c r="D59" s="17">
        <f t="shared" si="2"/>
        <v>-9.0101059296237018E-3</v>
      </c>
      <c r="F59">
        <v>25202.35</v>
      </c>
      <c r="G59" s="17">
        <f t="shared" si="1"/>
        <v>-4.9235896008418267E-3</v>
      </c>
    </row>
    <row r="60" spans="2:7" x14ac:dyDescent="0.3">
      <c r="B60" s="123">
        <v>45923.229166666664</v>
      </c>
      <c r="C60">
        <v>403.2</v>
      </c>
      <c r="D60" s="17">
        <f t="shared" si="2"/>
        <v>-9.2148912642830982E-3</v>
      </c>
      <c r="F60">
        <v>25169.5</v>
      </c>
      <c r="G60" s="17">
        <f t="shared" si="1"/>
        <v>-1.3034498766979485E-3</v>
      </c>
    </row>
    <row r="61" spans="2:7" x14ac:dyDescent="0.3">
      <c r="B61" s="123">
        <v>45924.229166666664</v>
      </c>
      <c r="C61">
        <v>401</v>
      </c>
      <c r="D61" s="17">
        <f t="shared" si="2"/>
        <v>-5.456349206349187E-3</v>
      </c>
      <c r="F61">
        <v>25056.9</v>
      </c>
      <c r="G61" s="17">
        <f t="shared" si="1"/>
        <v>-4.4736685273842891E-3</v>
      </c>
    </row>
    <row r="62" spans="2:7" x14ac:dyDescent="0.3">
      <c r="B62" s="123">
        <v>45925.229166666664</v>
      </c>
      <c r="C62">
        <v>400.1</v>
      </c>
      <c r="D62" s="17">
        <f t="shared" si="2"/>
        <v>-2.2443890274314038E-3</v>
      </c>
      <c r="F62">
        <v>24890.85</v>
      </c>
      <c r="G62" s="17">
        <f t="shared" si="1"/>
        <v>-6.6269171365972435E-3</v>
      </c>
    </row>
    <row r="63" spans="2:7" x14ac:dyDescent="0.3">
      <c r="B63" s="123">
        <v>45926.229166666664</v>
      </c>
      <c r="C63">
        <v>405.1</v>
      </c>
      <c r="D63" s="17">
        <f t="shared" si="2"/>
        <v>1.2496875781054628E-2</v>
      </c>
      <c r="F63">
        <v>24654.7</v>
      </c>
      <c r="G63" s="17">
        <f t="shared" si="1"/>
        <v>-9.4874220848222279E-3</v>
      </c>
    </row>
    <row r="64" spans="2:7" x14ac:dyDescent="0.3">
      <c r="B64" s="123">
        <v>45929.229166666664</v>
      </c>
      <c r="C64">
        <v>407.25</v>
      </c>
      <c r="D64" s="17">
        <f t="shared" si="2"/>
        <v>5.3073315230807161E-3</v>
      </c>
      <c r="F64">
        <v>24634.9</v>
      </c>
      <c r="G64" s="17">
        <f t="shared" si="1"/>
        <v>-8.0309231099950917E-4</v>
      </c>
    </row>
    <row r="65" spans="2:7" x14ac:dyDescent="0.3">
      <c r="B65" s="123">
        <v>45930.229166666664</v>
      </c>
      <c r="C65">
        <v>401.55</v>
      </c>
      <c r="D65" s="17">
        <f t="shared" si="2"/>
        <v>-1.3996316758747684E-2</v>
      </c>
      <c r="F65">
        <v>24611.1</v>
      </c>
      <c r="G65" s="17">
        <f t="shared" si="1"/>
        <v>-9.6610905666361102E-4</v>
      </c>
    </row>
    <row r="66" spans="2:7" x14ac:dyDescent="0.3">
      <c r="B66" s="123">
        <v>45931.229166666664</v>
      </c>
      <c r="C66">
        <v>405.6</v>
      </c>
      <c r="D66" s="17">
        <f t="shared" si="2"/>
        <v>1.0085917071348538E-2</v>
      </c>
      <c r="F66">
        <v>24836.3</v>
      </c>
      <c r="G66" s="17">
        <f t="shared" si="1"/>
        <v>9.1503427315318131E-3</v>
      </c>
    </row>
    <row r="67" spans="2:7" x14ac:dyDescent="0.3">
      <c r="B67" s="123">
        <v>45933.229166666664</v>
      </c>
      <c r="C67">
        <v>404.3</v>
      </c>
      <c r="D67" s="17">
        <f t="shared" si="2"/>
        <v>-3.2051282051281937E-3</v>
      </c>
      <c r="F67">
        <v>24894.25</v>
      </c>
      <c r="G67" s="17">
        <f t="shared" si="1"/>
        <v>2.3332783063501061E-3</v>
      </c>
    </row>
    <row r="68" spans="2:7" x14ac:dyDescent="0.3">
      <c r="B68" s="123">
        <v>45936.229166666664</v>
      </c>
      <c r="C68">
        <v>400.75</v>
      </c>
      <c r="D68" s="17">
        <f t="shared" si="2"/>
        <v>-8.7806084590650313E-3</v>
      </c>
      <c r="F68">
        <v>25077.65</v>
      </c>
      <c r="G68" s="17">
        <f t="shared" si="1"/>
        <v>7.3671630999125881E-3</v>
      </c>
    </row>
    <row r="69" spans="2:7" x14ac:dyDescent="0.3">
      <c r="B69" s="123">
        <v>45937.229166666664</v>
      </c>
      <c r="C69">
        <v>399.8</v>
      </c>
      <c r="D69" s="17">
        <f t="shared" si="2"/>
        <v>-2.370555208983105E-3</v>
      </c>
      <c r="F69">
        <v>25108.3</v>
      </c>
      <c r="G69" s="17">
        <f t="shared" si="1"/>
        <v>1.222203834888802E-3</v>
      </c>
    </row>
    <row r="70" spans="2:7" x14ac:dyDescent="0.3">
      <c r="B70" s="123">
        <v>45938.229166666664</v>
      </c>
      <c r="C70">
        <v>399.75</v>
      </c>
      <c r="D70" s="17">
        <f t="shared" si="2"/>
        <v>-1.250625312656517E-4</v>
      </c>
      <c r="F70">
        <v>25046.15</v>
      </c>
      <c r="G70" s="17">
        <f t="shared" si="1"/>
        <v>-2.4752770996043783E-3</v>
      </c>
    </row>
    <row r="71" spans="2:7" x14ac:dyDescent="0.3">
      <c r="B71" s="123">
        <v>45939.229166666664</v>
      </c>
      <c r="C71">
        <v>399.9</v>
      </c>
      <c r="D71" s="17">
        <f t="shared" si="2"/>
        <v>3.7523452157595116E-4</v>
      </c>
      <c r="F71">
        <v>25181.8</v>
      </c>
      <c r="G71" s="17">
        <f t="shared" si="1"/>
        <v>5.4160020601967673E-3</v>
      </c>
    </row>
    <row r="72" spans="2:7" x14ac:dyDescent="0.3">
      <c r="B72" s="123">
        <v>45940.229166666664</v>
      </c>
      <c r="C72">
        <v>402.8</v>
      </c>
      <c r="D72" s="17">
        <f t="shared" si="2"/>
        <v>7.2518129532384012E-3</v>
      </c>
      <c r="F72">
        <v>25285.35</v>
      </c>
      <c r="G72" s="17">
        <f t="shared" si="1"/>
        <v>4.1120968318388851E-3</v>
      </c>
    </row>
    <row r="73" spans="2:7" x14ac:dyDescent="0.3">
      <c r="B73" s="123">
        <v>45943.229166666664</v>
      </c>
      <c r="C73">
        <v>399.25</v>
      </c>
      <c r="D73" s="17">
        <f t="shared" si="2"/>
        <v>-8.8133068520357405E-3</v>
      </c>
      <c r="F73">
        <v>25227.35</v>
      </c>
      <c r="G73" s="17">
        <f t="shared" ref="G73:G136" si="3">F73/F72-1</f>
        <v>-2.2938183572701609E-3</v>
      </c>
    </row>
    <row r="74" spans="2:7" x14ac:dyDescent="0.3">
      <c r="B74" s="123">
        <v>45944.229166666664</v>
      </c>
      <c r="C74">
        <v>396.8</v>
      </c>
      <c r="D74" s="17">
        <f t="shared" si="2"/>
        <v>-6.1365059486536699E-3</v>
      </c>
      <c r="F74">
        <v>25145.5</v>
      </c>
      <c r="G74" s="17">
        <f t="shared" si="3"/>
        <v>-3.2444945664129587E-3</v>
      </c>
    </row>
    <row r="75" spans="2:7" x14ac:dyDescent="0.3">
      <c r="B75" s="123">
        <v>45945.229166666664</v>
      </c>
      <c r="C75">
        <v>399.9</v>
      </c>
      <c r="D75" s="17">
        <f t="shared" si="2"/>
        <v>7.8125E-3</v>
      </c>
      <c r="F75">
        <v>25323.55</v>
      </c>
      <c r="G75" s="17">
        <f t="shared" si="3"/>
        <v>7.0807898033444783E-3</v>
      </c>
    </row>
    <row r="76" spans="2:7" x14ac:dyDescent="0.3">
      <c r="B76" s="123">
        <v>45946.229166666664</v>
      </c>
      <c r="C76">
        <v>405.15</v>
      </c>
      <c r="D76" s="17">
        <f t="shared" si="2"/>
        <v>1.3128282070517638E-2</v>
      </c>
      <c r="F76">
        <v>25585.3</v>
      </c>
      <c r="G76" s="17">
        <f t="shared" si="3"/>
        <v>1.0336228530360092E-2</v>
      </c>
    </row>
    <row r="77" spans="2:7" x14ac:dyDescent="0.3">
      <c r="B77" s="123">
        <v>45947.229166666664</v>
      </c>
      <c r="C77">
        <v>412.15</v>
      </c>
      <c r="D77" s="17">
        <f t="shared" si="2"/>
        <v>1.72775515241268E-2</v>
      </c>
      <c r="F77">
        <v>25709.85</v>
      </c>
      <c r="G77" s="17">
        <f t="shared" si="3"/>
        <v>4.8680296889229702E-3</v>
      </c>
    </row>
    <row r="78" spans="2:7" x14ac:dyDescent="0.3">
      <c r="B78" s="123">
        <v>45950.229166666664</v>
      </c>
      <c r="C78">
        <v>413.05</v>
      </c>
      <c r="D78" s="17">
        <f t="shared" si="2"/>
        <v>2.183670993570308E-3</v>
      </c>
      <c r="F78">
        <v>25843.15</v>
      </c>
      <c r="G78" s="17">
        <f t="shared" si="3"/>
        <v>5.1847832640019575E-3</v>
      </c>
    </row>
    <row r="79" spans="2:7" x14ac:dyDescent="0.3">
      <c r="B79" s="123">
        <v>45951.229166666664</v>
      </c>
      <c r="C79">
        <v>412.85</v>
      </c>
      <c r="D79" s="17">
        <f t="shared" si="2"/>
        <v>-4.8420288100714526E-4</v>
      </c>
      <c r="F79">
        <v>25868.6</v>
      </c>
      <c r="G79" s="17">
        <f t="shared" si="3"/>
        <v>9.8478707123539344E-4</v>
      </c>
    </row>
    <row r="80" spans="2:7" x14ac:dyDescent="0.3">
      <c r="B80" s="123">
        <v>45953.229166666664</v>
      </c>
      <c r="C80">
        <v>415.95</v>
      </c>
      <c r="D80" s="17">
        <f t="shared" ref="D80:D143" si="4">C80/C79 - 1</f>
        <v>7.5087804287270465E-3</v>
      </c>
      <c r="F80">
        <v>25891.4</v>
      </c>
      <c r="G80" s="17">
        <f t="shared" si="3"/>
        <v>8.8137742282157205E-4</v>
      </c>
    </row>
    <row r="81" spans="2:7" x14ac:dyDescent="0.3">
      <c r="B81" s="123">
        <v>45954.229166666664</v>
      </c>
      <c r="C81">
        <v>416.8</v>
      </c>
      <c r="D81" s="17">
        <f t="shared" si="4"/>
        <v>2.0435148455344443E-3</v>
      </c>
      <c r="F81">
        <v>25795.15</v>
      </c>
      <c r="G81" s="17">
        <f t="shared" si="3"/>
        <v>-3.7174505820465331E-3</v>
      </c>
    </row>
    <row r="82" spans="2:7" x14ac:dyDescent="0.3">
      <c r="B82" s="123">
        <v>45957.229166666664</v>
      </c>
      <c r="C82">
        <v>420.65</v>
      </c>
      <c r="D82" s="17">
        <f t="shared" si="4"/>
        <v>9.237044145873341E-3</v>
      </c>
      <c r="F82">
        <v>25966.05</v>
      </c>
      <c r="G82" s="17">
        <f t="shared" si="3"/>
        <v>6.6252764570082778E-3</v>
      </c>
    </row>
    <row r="83" spans="2:7" x14ac:dyDescent="0.3">
      <c r="B83" s="123">
        <v>45958.229166666664</v>
      </c>
      <c r="C83">
        <v>417.9</v>
      </c>
      <c r="D83" s="17">
        <f t="shared" si="4"/>
        <v>-6.5375014857957936E-3</v>
      </c>
      <c r="F83">
        <v>25936.2</v>
      </c>
      <c r="G83" s="17">
        <f t="shared" si="3"/>
        <v>-1.1495780066663741E-3</v>
      </c>
    </row>
    <row r="84" spans="2:7" x14ac:dyDescent="0.3">
      <c r="B84" s="123">
        <v>45959.229166666664</v>
      </c>
      <c r="C84">
        <v>421.6</v>
      </c>
      <c r="D84" s="17">
        <f t="shared" si="4"/>
        <v>8.8537927733909338E-3</v>
      </c>
      <c r="F84">
        <v>26053.9</v>
      </c>
      <c r="G84" s="17">
        <f t="shared" si="3"/>
        <v>4.5380587749941359E-3</v>
      </c>
    </row>
    <row r="85" spans="2:7" x14ac:dyDescent="0.3">
      <c r="B85" s="123">
        <v>45960.229166666664</v>
      </c>
      <c r="C85">
        <v>418.75</v>
      </c>
      <c r="D85" s="17">
        <f t="shared" si="4"/>
        <v>-6.7599620493359325E-3</v>
      </c>
      <c r="F85">
        <v>25877.85</v>
      </c>
      <c r="G85" s="17">
        <f t="shared" si="3"/>
        <v>-6.7571457632064069E-3</v>
      </c>
    </row>
    <row r="86" spans="2:7" x14ac:dyDescent="0.3">
      <c r="B86" s="123">
        <v>45961.229166666664</v>
      </c>
      <c r="C86">
        <v>420.35</v>
      </c>
      <c r="D86" s="17">
        <f t="shared" si="4"/>
        <v>3.8208955223881791E-3</v>
      </c>
      <c r="F86">
        <v>25722.1</v>
      </c>
      <c r="G86" s="17">
        <f t="shared" si="3"/>
        <v>-6.0186607465457787E-3</v>
      </c>
    </row>
    <row r="87" spans="2:7" x14ac:dyDescent="0.3">
      <c r="B87" s="123">
        <v>45964.229166666664</v>
      </c>
      <c r="C87">
        <v>413.95</v>
      </c>
      <c r="D87" s="17">
        <f t="shared" si="4"/>
        <v>-1.5225407398596458E-2</v>
      </c>
      <c r="F87">
        <v>25763.35</v>
      </c>
      <c r="G87" s="17">
        <f t="shared" si="3"/>
        <v>1.6036793263380922E-3</v>
      </c>
    </row>
    <row r="88" spans="2:7" x14ac:dyDescent="0.3">
      <c r="B88" s="123">
        <v>45965.229166666664</v>
      </c>
      <c r="C88">
        <v>408.9</v>
      </c>
      <c r="D88" s="17">
        <f t="shared" si="4"/>
        <v>-1.2199541007368087E-2</v>
      </c>
      <c r="F88">
        <v>25597.65</v>
      </c>
      <c r="G88" s="17">
        <f t="shared" si="3"/>
        <v>-6.4316170063286604E-3</v>
      </c>
    </row>
    <row r="89" spans="2:7" x14ac:dyDescent="0.3">
      <c r="B89" s="123">
        <v>45967.229166666664</v>
      </c>
      <c r="C89">
        <v>407.5</v>
      </c>
      <c r="D89" s="17">
        <f t="shared" si="4"/>
        <v>-3.4238200048911649E-3</v>
      </c>
      <c r="F89">
        <v>25509.7</v>
      </c>
      <c r="G89" s="17">
        <f t="shared" si="3"/>
        <v>-3.4358622764198987E-3</v>
      </c>
    </row>
    <row r="90" spans="2:7" x14ac:dyDescent="0.3">
      <c r="B90" s="123">
        <v>45968.229166666664</v>
      </c>
      <c r="C90">
        <v>404.05</v>
      </c>
      <c r="D90" s="17">
        <f t="shared" si="4"/>
        <v>-8.4662576687116742E-3</v>
      </c>
      <c r="F90">
        <v>25492.3</v>
      </c>
      <c r="G90" s="17">
        <f t="shared" si="3"/>
        <v>-6.8209347816716726E-4</v>
      </c>
    </row>
    <row r="91" spans="2:7" x14ac:dyDescent="0.3">
      <c r="B91" s="123">
        <v>45971.229166666664</v>
      </c>
      <c r="C91">
        <v>405.55</v>
      </c>
      <c r="D91" s="17">
        <f t="shared" si="4"/>
        <v>3.7124118302189757E-3</v>
      </c>
      <c r="F91">
        <v>25574.35</v>
      </c>
      <c r="G91" s="17">
        <f t="shared" si="3"/>
        <v>3.2186189555276634E-3</v>
      </c>
    </row>
    <row r="92" spans="2:7" x14ac:dyDescent="0.3">
      <c r="B92" s="123">
        <v>45972.229166666664</v>
      </c>
      <c r="C92">
        <v>406.85</v>
      </c>
      <c r="D92" s="17">
        <f t="shared" si="4"/>
        <v>3.2055233633336844E-3</v>
      </c>
      <c r="F92">
        <v>25694.95</v>
      </c>
      <c r="G92" s="17">
        <f t="shared" si="3"/>
        <v>4.7156623726507529E-3</v>
      </c>
    </row>
    <row r="93" spans="2:7" x14ac:dyDescent="0.3">
      <c r="B93" s="123">
        <v>45973.229166666664</v>
      </c>
      <c r="C93">
        <v>407</v>
      </c>
      <c r="D93" s="17">
        <f t="shared" si="4"/>
        <v>3.6868624800279193E-4</v>
      </c>
      <c r="F93">
        <v>25875.8</v>
      </c>
      <c r="G93" s="17">
        <f t="shared" si="3"/>
        <v>7.0383480022337963E-3</v>
      </c>
    </row>
    <row r="94" spans="2:7" x14ac:dyDescent="0.3">
      <c r="B94" s="123">
        <v>45974.229166666664</v>
      </c>
      <c r="C94">
        <v>405.7</v>
      </c>
      <c r="D94" s="17">
        <f t="shared" si="4"/>
        <v>-3.1941031941031817E-3</v>
      </c>
      <c r="F94">
        <v>25879.15</v>
      </c>
      <c r="G94" s="17">
        <f t="shared" si="3"/>
        <v>1.2946459626372864E-4</v>
      </c>
    </row>
    <row r="95" spans="2:7" x14ac:dyDescent="0.3">
      <c r="B95" s="123">
        <v>45975.229166666664</v>
      </c>
      <c r="C95">
        <v>408.15</v>
      </c>
      <c r="D95" s="17">
        <f t="shared" si="4"/>
        <v>6.0389450332758443E-3</v>
      </c>
      <c r="F95">
        <v>25910.05</v>
      </c>
      <c r="G95" s="17">
        <f t="shared" si="3"/>
        <v>1.194011395273753E-3</v>
      </c>
    </row>
    <row r="96" spans="2:7" x14ac:dyDescent="0.3">
      <c r="B96" s="123">
        <v>45978.229166666664</v>
      </c>
      <c r="C96">
        <v>407.1</v>
      </c>
      <c r="D96" s="17">
        <f t="shared" si="4"/>
        <v>-2.5725836089671716E-3</v>
      </c>
      <c r="F96">
        <v>26013.45</v>
      </c>
      <c r="G96" s="17">
        <f t="shared" si="3"/>
        <v>3.9907294659795589E-3</v>
      </c>
    </row>
    <row r="97" spans="2:7" x14ac:dyDescent="0.3">
      <c r="B97" s="123">
        <v>45979.229166666664</v>
      </c>
      <c r="C97">
        <v>405.85</v>
      </c>
      <c r="D97" s="17">
        <f t="shared" si="4"/>
        <v>-3.0704986489805686E-3</v>
      </c>
      <c r="F97">
        <v>25910.05</v>
      </c>
      <c r="G97" s="17">
        <f t="shared" si="3"/>
        <v>-3.9748668477268545E-3</v>
      </c>
    </row>
    <row r="98" spans="2:7" x14ac:dyDescent="0.3">
      <c r="B98" s="123">
        <v>45980.229166666664</v>
      </c>
      <c r="C98">
        <v>403.55</v>
      </c>
      <c r="D98" s="17">
        <f t="shared" si="4"/>
        <v>-5.6671183934952074E-3</v>
      </c>
      <c r="F98">
        <v>26052.65</v>
      </c>
      <c r="G98" s="17">
        <f t="shared" si="3"/>
        <v>5.5036559172985111E-3</v>
      </c>
    </row>
    <row r="99" spans="2:7" x14ac:dyDescent="0.3">
      <c r="B99" s="123">
        <v>45981.229166666664</v>
      </c>
      <c r="C99">
        <v>405.45</v>
      </c>
      <c r="D99" s="17">
        <f t="shared" si="4"/>
        <v>4.70821459546511E-3</v>
      </c>
      <c r="F99">
        <v>26192.15</v>
      </c>
      <c r="G99" s="17">
        <f t="shared" si="3"/>
        <v>5.3545416685059077E-3</v>
      </c>
    </row>
    <row r="100" spans="2:7" x14ac:dyDescent="0.3">
      <c r="B100" s="123">
        <v>45982.229166666664</v>
      </c>
      <c r="C100">
        <v>407.85</v>
      </c>
      <c r="D100" s="17">
        <f t="shared" si="4"/>
        <v>5.9193488716242637E-3</v>
      </c>
      <c r="F100">
        <v>26068.15</v>
      </c>
      <c r="G100" s="17">
        <f t="shared" si="3"/>
        <v>-4.7342428933859759E-3</v>
      </c>
    </row>
    <row r="101" spans="2:7" x14ac:dyDescent="0.3">
      <c r="B101" s="123">
        <v>45985.229166666664</v>
      </c>
      <c r="C101">
        <v>403.55</v>
      </c>
      <c r="D101" s="17">
        <f t="shared" si="4"/>
        <v>-1.0543091822974193E-2</v>
      </c>
      <c r="F101">
        <v>25959.5</v>
      </c>
      <c r="G101" s="17">
        <f t="shared" si="3"/>
        <v>-4.1679213906625767E-3</v>
      </c>
    </row>
    <row r="102" spans="2:7" x14ac:dyDescent="0.3">
      <c r="B102" s="123">
        <v>45986.229166666664</v>
      </c>
      <c r="C102">
        <v>400.8</v>
      </c>
      <c r="D102" s="17">
        <f t="shared" si="4"/>
        <v>-6.8145211250154603E-3</v>
      </c>
      <c r="F102">
        <v>25884.799999999999</v>
      </c>
      <c r="G102" s="17">
        <f t="shared" si="3"/>
        <v>-2.8775592750245327E-3</v>
      </c>
    </row>
    <row r="103" spans="2:7" x14ac:dyDescent="0.3">
      <c r="B103" s="123">
        <v>45987.229166666664</v>
      </c>
      <c r="C103">
        <v>402.3</v>
      </c>
      <c r="D103" s="17">
        <f t="shared" si="4"/>
        <v>3.7425149700598404E-3</v>
      </c>
      <c r="F103">
        <v>26205.3</v>
      </c>
      <c r="G103" s="17">
        <f t="shared" si="3"/>
        <v>1.238178390406719E-2</v>
      </c>
    </row>
    <row r="104" spans="2:7" x14ac:dyDescent="0.3">
      <c r="B104" s="123">
        <v>45988.229166666664</v>
      </c>
      <c r="C104">
        <v>404.3</v>
      </c>
      <c r="D104" s="17">
        <f t="shared" si="4"/>
        <v>4.9714143673875721E-3</v>
      </c>
      <c r="F104">
        <v>26215.55</v>
      </c>
      <c r="G104" s="17">
        <f t="shared" si="3"/>
        <v>3.9114224985015156E-4</v>
      </c>
    </row>
    <row r="105" spans="2:7" x14ac:dyDescent="0.3">
      <c r="B105" s="123">
        <v>45989.229166666664</v>
      </c>
      <c r="C105">
        <v>404.25</v>
      </c>
      <c r="D105" s="17">
        <f t="shared" si="4"/>
        <v>-1.2367054167694569E-4</v>
      </c>
      <c r="F105">
        <v>26202.95</v>
      </c>
      <c r="G105" s="17">
        <f t="shared" si="3"/>
        <v>-4.806307706685109E-4</v>
      </c>
    </row>
    <row r="106" spans="2:7" x14ac:dyDescent="0.3">
      <c r="B106" s="123">
        <v>45992.229166666664</v>
      </c>
      <c r="C106">
        <v>404.25</v>
      </c>
      <c r="D106" s="17">
        <f t="shared" si="4"/>
        <v>0</v>
      </c>
      <c r="F106">
        <v>26175.75</v>
      </c>
      <c r="G106" s="17">
        <f t="shared" si="3"/>
        <v>-1.0380510591364578E-3</v>
      </c>
    </row>
    <row r="107" spans="2:7" x14ac:dyDescent="0.3">
      <c r="B107" s="123">
        <v>45993.229166666664</v>
      </c>
      <c r="C107">
        <v>400.95</v>
      </c>
      <c r="D107" s="17">
        <f t="shared" si="4"/>
        <v>-8.1632653061224358E-3</v>
      </c>
      <c r="F107">
        <v>26032.2</v>
      </c>
      <c r="G107" s="17">
        <f t="shared" si="3"/>
        <v>-5.4840835506145824E-3</v>
      </c>
    </row>
    <row r="108" spans="2:7" x14ac:dyDescent="0.3">
      <c r="B108" s="123">
        <v>45994.229166666664</v>
      </c>
      <c r="C108">
        <v>400.5</v>
      </c>
      <c r="D108" s="17">
        <f t="shared" si="4"/>
        <v>-1.1223344556677839E-3</v>
      </c>
      <c r="F108">
        <v>25986</v>
      </c>
      <c r="G108" s="17">
        <f t="shared" si="3"/>
        <v>-1.7747251480858539E-3</v>
      </c>
    </row>
    <row r="109" spans="2:7" x14ac:dyDescent="0.3">
      <c r="B109" s="123">
        <v>45995.229166666664</v>
      </c>
      <c r="C109">
        <v>403.05</v>
      </c>
      <c r="D109" s="17">
        <f t="shared" si="4"/>
        <v>6.3670411985019548E-3</v>
      </c>
      <c r="F109">
        <v>26033.75</v>
      </c>
      <c r="G109" s="17">
        <f t="shared" si="3"/>
        <v>1.8375278996383138E-3</v>
      </c>
    </row>
    <row r="110" spans="2:7" x14ac:dyDescent="0.3">
      <c r="B110" s="123">
        <v>45996.229166666664</v>
      </c>
      <c r="C110">
        <v>404.95</v>
      </c>
      <c r="D110" s="17">
        <f t="shared" si="4"/>
        <v>4.714055328123079E-3</v>
      </c>
      <c r="F110">
        <v>26186.45</v>
      </c>
      <c r="G110" s="17">
        <f t="shared" si="3"/>
        <v>5.8654631007826197E-3</v>
      </c>
    </row>
    <row r="111" spans="2:7" x14ac:dyDescent="0.3">
      <c r="B111" s="123">
        <v>45999.229166666664</v>
      </c>
      <c r="C111">
        <v>402.3</v>
      </c>
      <c r="D111" s="17">
        <f t="shared" si="4"/>
        <v>-6.5440177799728216E-3</v>
      </c>
      <c r="F111">
        <v>25960.55</v>
      </c>
      <c r="G111" s="17">
        <f t="shared" si="3"/>
        <v>-8.626598870790092E-3</v>
      </c>
    </row>
    <row r="112" spans="2:7" x14ac:dyDescent="0.3">
      <c r="B112" s="123">
        <v>46000.229166666664</v>
      </c>
      <c r="C112">
        <v>401.05</v>
      </c>
      <c r="D112" s="17">
        <f t="shared" si="4"/>
        <v>-3.1071339796171493E-3</v>
      </c>
      <c r="F112">
        <v>25839.65</v>
      </c>
      <c r="G112" s="17">
        <f t="shared" si="3"/>
        <v>-4.6570662023723841E-3</v>
      </c>
    </row>
    <row r="113" spans="2:7" x14ac:dyDescent="0.3">
      <c r="B113" s="123">
        <v>46001.229166666664</v>
      </c>
      <c r="C113">
        <v>403.15</v>
      </c>
      <c r="D113" s="17">
        <f t="shared" si="4"/>
        <v>5.2362548310682655E-3</v>
      </c>
      <c r="F113">
        <v>25758</v>
      </c>
      <c r="G113" s="17">
        <f t="shared" si="3"/>
        <v>-3.15987252149319E-3</v>
      </c>
    </row>
    <row r="114" spans="2:7" x14ac:dyDescent="0.3">
      <c r="B114" s="123">
        <v>46002.229166666664</v>
      </c>
      <c r="C114">
        <v>402.9</v>
      </c>
      <c r="D114" s="17">
        <f t="shared" si="4"/>
        <v>-6.2011658191740704E-4</v>
      </c>
      <c r="F114">
        <v>25898.55</v>
      </c>
      <c r="G114" s="17">
        <f t="shared" si="3"/>
        <v>5.4565571861169282E-3</v>
      </c>
    </row>
    <row r="115" spans="2:7" x14ac:dyDescent="0.3">
      <c r="B115" s="123">
        <v>46003.229166666664</v>
      </c>
      <c r="C115">
        <v>400.1</v>
      </c>
      <c r="D115" s="17">
        <f t="shared" si="4"/>
        <v>-6.949615289153499E-3</v>
      </c>
      <c r="F115">
        <v>26046.95</v>
      </c>
      <c r="G115" s="17">
        <f t="shared" si="3"/>
        <v>5.7300505240640565E-3</v>
      </c>
    </row>
    <row r="116" spans="2:7" x14ac:dyDescent="0.3">
      <c r="B116" s="123">
        <v>46006.229166666664</v>
      </c>
      <c r="C116">
        <v>402.3</v>
      </c>
      <c r="D116" s="17">
        <f t="shared" si="4"/>
        <v>5.4986253436639654E-3</v>
      </c>
      <c r="F116">
        <v>26027.3</v>
      </c>
      <c r="G116" s="17">
        <f t="shared" si="3"/>
        <v>-7.5440694591888402E-4</v>
      </c>
    </row>
    <row r="117" spans="2:7" x14ac:dyDescent="0.3">
      <c r="B117" s="123">
        <v>46007.229166666664</v>
      </c>
      <c r="C117">
        <v>401.7</v>
      </c>
      <c r="D117" s="17">
        <f t="shared" si="4"/>
        <v>-1.4914243102163161E-3</v>
      </c>
      <c r="F117">
        <v>25860.1</v>
      </c>
      <c r="G117" s="17">
        <f t="shared" si="3"/>
        <v>-6.4240240055634112E-3</v>
      </c>
    </row>
    <row r="118" spans="2:7" x14ac:dyDescent="0.3">
      <c r="B118" s="123">
        <v>46008.229166666664</v>
      </c>
      <c r="C118">
        <v>399.8</v>
      </c>
      <c r="D118" s="17">
        <f t="shared" si="4"/>
        <v>-4.729897933781424E-3</v>
      </c>
      <c r="F118">
        <v>25818.55</v>
      </c>
      <c r="G118" s="17">
        <f t="shared" si="3"/>
        <v>-1.6067223251263751E-3</v>
      </c>
    </row>
    <row r="119" spans="2:7" x14ac:dyDescent="0.3">
      <c r="B119" s="123">
        <v>46009.229166666664</v>
      </c>
      <c r="C119">
        <v>400.4</v>
      </c>
      <c r="D119" s="17">
        <f t="shared" si="4"/>
        <v>1.5007503751875984E-3</v>
      </c>
      <c r="F119">
        <v>25815.55</v>
      </c>
      <c r="G119" s="17">
        <f t="shared" si="3"/>
        <v>-1.1619552608488348E-4</v>
      </c>
    </row>
    <row r="120" spans="2:7" x14ac:dyDescent="0.3">
      <c r="B120" s="123">
        <v>46010.229166666664</v>
      </c>
      <c r="C120">
        <v>401.05</v>
      </c>
      <c r="D120" s="17">
        <f t="shared" si="4"/>
        <v>1.6233766233766378E-3</v>
      </c>
      <c r="F120">
        <v>25966.400000000001</v>
      </c>
      <c r="G120" s="17">
        <f t="shared" si="3"/>
        <v>5.8433773442752024E-3</v>
      </c>
    </row>
    <row r="121" spans="2:7" x14ac:dyDescent="0.3">
      <c r="B121" s="123">
        <v>46013.229166666664</v>
      </c>
      <c r="C121">
        <v>402.7</v>
      </c>
      <c r="D121" s="17">
        <f t="shared" si="4"/>
        <v>4.11420022441078E-3</v>
      </c>
      <c r="F121">
        <v>26172.400000000001</v>
      </c>
      <c r="G121" s="17">
        <f t="shared" si="3"/>
        <v>7.9333292254606391E-3</v>
      </c>
    </row>
    <row r="122" spans="2:7" x14ac:dyDescent="0.3">
      <c r="B122" s="123">
        <v>46014.229166666664</v>
      </c>
      <c r="C122">
        <v>407.35</v>
      </c>
      <c r="D122" s="17">
        <f t="shared" si="4"/>
        <v>1.154705736280115E-2</v>
      </c>
      <c r="F122">
        <v>26177.15</v>
      </c>
      <c r="G122" s="17">
        <f t="shared" si="3"/>
        <v>1.8148889670044355E-4</v>
      </c>
    </row>
    <row r="123" spans="2:7" x14ac:dyDescent="0.3">
      <c r="B123" s="123">
        <v>46015.229166666664</v>
      </c>
      <c r="C123">
        <v>406.6</v>
      </c>
      <c r="D123" s="17">
        <f t="shared" si="4"/>
        <v>-1.841168528292636E-3</v>
      </c>
      <c r="F123">
        <v>26142.1</v>
      </c>
      <c r="G123" s="17">
        <f t="shared" si="3"/>
        <v>-1.3389540114184806E-3</v>
      </c>
    </row>
    <row r="124" spans="2:7" x14ac:dyDescent="0.3">
      <c r="B124" s="123">
        <v>46017.229166666664</v>
      </c>
      <c r="C124">
        <v>404.15</v>
      </c>
      <c r="D124" s="17">
        <f t="shared" si="4"/>
        <v>-6.0255779636007034E-3</v>
      </c>
      <c r="F124">
        <v>26042.3</v>
      </c>
      <c r="G124" s="17">
        <f t="shared" si="3"/>
        <v>-3.8175969030797008E-3</v>
      </c>
    </row>
    <row r="125" spans="2:7" x14ac:dyDescent="0.3">
      <c r="B125" s="123">
        <v>46020.229166666664</v>
      </c>
      <c r="C125">
        <v>402.6</v>
      </c>
      <c r="D125" s="17">
        <f t="shared" si="4"/>
        <v>-3.8352096993689022E-3</v>
      </c>
      <c r="F125">
        <v>25942.1</v>
      </c>
      <c r="G125" s="17">
        <f t="shared" si="3"/>
        <v>-3.8475864266981352E-3</v>
      </c>
    </row>
    <row r="126" spans="2:7" x14ac:dyDescent="0.3">
      <c r="B126" s="123">
        <v>46021.229166666664</v>
      </c>
      <c r="C126">
        <v>400.6</v>
      </c>
      <c r="D126" s="17">
        <f t="shared" si="4"/>
        <v>-4.9677098857426882E-3</v>
      </c>
      <c r="F126">
        <v>25938.85</v>
      </c>
      <c r="G126" s="17">
        <f t="shared" si="3"/>
        <v>-1.2527898666647719E-4</v>
      </c>
    </row>
    <row r="127" spans="2:7" x14ac:dyDescent="0.3">
      <c r="B127" s="123">
        <v>46022.229166666664</v>
      </c>
      <c r="C127">
        <v>403</v>
      </c>
      <c r="D127" s="17">
        <f t="shared" si="4"/>
        <v>5.9910134797802606E-3</v>
      </c>
      <c r="F127">
        <v>26129.599999999999</v>
      </c>
      <c r="G127" s="17">
        <f t="shared" si="3"/>
        <v>7.3538341136942798E-3</v>
      </c>
    </row>
    <row r="128" spans="2:7" x14ac:dyDescent="0.3">
      <c r="B128" s="123">
        <v>46023.229166666664</v>
      </c>
      <c r="C128">
        <v>363.85</v>
      </c>
      <c r="D128" s="17">
        <f t="shared" si="4"/>
        <v>-9.7146401985111597E-2</v>
      </c>
      <c r="F128">
        <v>26146.55</v>
      </c>
      <c r="G128" s="17">
        <f t="shared" si="3"/>
        <v>6.4868960871966586E-4</v>
      </c>
    </row>
    <row r="129" spans="2:7" x14ac:dyDescent="0.3">
      <c r="B129" s="123">
        <v>46024.229166666664</v>
      </c>
      <c r="C129">
        <v>350.05</v>
      </c>
      <c r="D129" s="17">
        <f t="shared" si="4"/>
        <v>-3.7927717465988775E-2</v>
      </c>
      <c r="F129">
        <v>26328.55</v>
      </c>
      <c r="G129" s="17">
        <f t="shared" si="3"/>
        <v>6.9607653782239876E-3</v>
      </c>
    </row>
    <row r="130" spans="2:7" x14ac:dyDescent="0.3">
      <c r="B130" s="123">
        <v>46027.229166666664</v>
      </c>
      <c r="C130">
        <v>349.7</v>
      </c>
      <c r="D130" s="17">
        <f t="shared" si="4"/>
        <v>-9.99857163262452E-4</v>
      </c>
      <c r="F130">
        <v>26250.3</v>
      </c>
      <c r="G130" s="17">
        <f t="shared" si="3"/>
        <v>-2.9720588486642496E-3</v>
      </c>
    </row>
    <row r="131" spans="2:7" x14ac:dyDescent="0.3">
      <c r="B131" s="123">
        <v>46028.229166666664</v>
      </c>
      <c r="C131">
        <v>342.45</v>
      </c>
      <c r="D131" s="17">
        <f t="shared" si="4"/>
        <v>-2.0732056048041181E-2</v>
      </c>
      <c r="F131">
        <v>26178.7</v>
      </c>
      <c r="G131" s="17">
        <f t="shared" si="3"/>
        <v>-2.7275878751861216E-3</v>
      </c>
    </row>
    <row r="132" spans="2:7" x14ac:dyDescent="0.3">
      <c r="B132" s="123">
        <v>46029.229166666664</v>
      </c>
      <c r="C132">
        <v>341.25</v>
      </c>
      <c r="D132" s="17">
        <f t="shared" si="4"/>
        <v>-3.504161191414723E-3</v>
      </c>
      <c r="F132">
        <v>26140.75</v>
      </c>
      <c r="G132" s="17">
        <f t="shared" si="3"/>
        <v>-1.4496518161711824E-3</v>
      </c>
    </row>
    <row r="133" spans="2:7" x14ac:dyDescent="0.3">
      <c r="B133" s="123">
        <v>46030.229166666664</v>
      </c>
      <c r="C133">
        <v>340.9</v>
      </c>
      <c r="D133" s="17">
        <f t="shared" si="4"/>
        <v>-1.0256410256410664E-3</v>
      </c>
      <c r="F133">
        <v>25876.85</v>
      </c>
      <c r="G133" s="17">
        <f t="shared" si="3"/>
        <v>-1.0095349215305638E-2</v>
      </c>
    </row>
    <row r="134" spans="2:7" x14ac:dyDescent="0.3">
      <c r="B134" s="123">
        <v>46031.229166666664</v>
      </c>
      <c r="C134">
        <v>337.15</v>
      </c>
      <c r="D134" s="17">
        <f t="shared" si="4"/>
        <v>-1.100029334115582E-2</v>
      </c>
      <c r="F134">
        <v>25683.3</v>
      </c>
      <c r="G134" s="17">
        <f t="shared" si="3"/>
        <v>-7.4796584592019544E-3</v>
      </c>
    </row>
    <row r="135" spans="2:7" x14ac:dyDescent="0.3">
      <c r="B135" s="123">
        <v>46034.229166666664</v>
      </c>
      <c r="C135">
        <v>338.4</v>
      </c>
      <c r="D135" s="17">
        <f t="shared" si="4"/>
        <v>3.7075485688862209E-3</v>
      </c>
      <c r="F135">
        <v>25790.25</v>
      </c>
      <c r="G135" s="17">
        <f t="shared" si="3"/>
        <v>4.164184509000135E-3</v>
      </c>
    </row>
    <row r="136" spans="2:7" x14ac:dyDescent="0.3">
      <c r="B136" s="123">
        <v>46035.229166666664</v>
      </c>
      <c r="C136">
        <v>334.7</v>
      </c>
      <c r="D136" s="17">
        <f t="shared" si="4"/>
        <v>-1.0933806146572023E-2</v>
      </c>
      <c r="F136">
        <v>25732.3</v>
      </c>
      <c r="G136" s="17">
        <f t="shared" si="3"/>
        <v>-2.2469731778482771E-3</v>
      </c>
    </row>
    <row r="137" spans="2:7" x14ac:dyDescent="0.3">
      <c r="B137" s="123">
        <v>46036.229166666664</v>
      </c>
      <c r="C137">
        <v>334.75</v>
      </c>
      <c r="D137" s="17">
        <f t="shared" si="4"/>
        <v>1.4938751120419091E-4</v>
      </c>
      <c r="F137">
        <v>25665.599999999999</v>
      </c>
      <c r="G137" s="17">
        <f t="shared" ref="G137:G200" si="5">F137/F136-1</f>
        <v>-2.5920729977498835E-3</v>
      </c>
    </row>
    <row r="138" spans="2:7" x14ac:dyDescent="0.3">
      <c r="B138" s="123">
        <v>46038.229166666664</v>
      </c>
      <c r="C138">
        <v>329.2</v>
      </c>
      <c r="D138" s="17">
        <f t="shared" si="4"/>
        <v>-1.6579536967886499E-2</v>
      </c>
      <c r="F138">
        <v>25694.35</v>
      </c>
      <c r="G138" s="17">
        <f t="shared" si="5"/>
        <v>1.1201764229162858E-3</v>
      </c>
    </row>
    <row r="139" spans="2:7" x14ac:dyDescent="0.3">
      <c r="B139" s="123">
        <v>46041.229166666664</v>
      </c>
      <c r="C139">
        <v>333.2</v>
      </c>
      <c r="D139" s="17">
        <f t="shared" si="4"/>
        <v>1.2150668286755817E-2</v>
      </c>
      <c r="F139">
        <v>25585.5</v>
      </c>
      <c r="G139" s="17">
        <f t="shared" si="5"/>
        <v>-4.2363398957357967E-3</v>
      </c>
    </row>
    <row r="140" spans="2:7" x14ac:dyDescent="0.3">
      <c r="B140" s="123">
        <v>46042.229166666664</v>
      </c>
      <c r="C140">
        <v>326.3</v>
      </c>
      <c r="D140" s="17">
        <f t="shared" si="4"/>
        <v>-2.0708283313325304E-2</v>
      </c>
      <c r="F140">
        <v>25232.5</v>
      </c>
      <c r="G140" s="17">
        <f t="shared" si="5"/>
        <v>-1.3796877137441155E-2</v>
      </c>
    </row>
    <row r="141" spans="2:7" x14ac:dyDescent="0.3">
      <c r="B141" s="123">
        <v>46043.229166666664</v>
      </c>
      <c r="C141">
        <v>324.75</v>
      </c>
      <c r="D141" s="17">
        <f t="shared" si="4"/>
        <v>-4.7502298498315332E-3</v>
      </c>
      <c r="F141">
        <v>25157.5</v>
      </c>
      <c r="G141" s="17">
        <f t="shared" si="5"/>
        <v>-2.9723570791637677E-3</v>
      </c>
    </row>
    <row r="142" spans="2:7" x14ac:dyDescent="0.3">
      <c r="B142" s="123">
        <v>46044.229166666664</v>
      </c>
      <c r="C142">
        <v>324.85000000000002</v>
      </c>
      <c r="D142" s="17">
        <f t="shared" si="4"/>
        <v>3.079291762895231E-4</v>
      </c>
      <c r="F142">
        <v>25289.9</v>
      </c>
      <c r="G142" s="17">
        <f t="shared" si="5"/>
        <v>5.2628440822817257E-3</v>
      </c>
    </row>
    <row r="143" spans="2:7" x14ac:dyDescent="0.3">
      <c r="B143" s="123">
        <v>46045.229166666664</v>
      </c>
      <c r="C143">
        <v>323.39999999999998</v>
      </c>
      <c r="D143" s="17">
        <f t="shared" si="4"/>
        <v>-4.4635985839619474E-3</v>
      </c>
      <c r="F143">
        <v>25048.65</v>
      </c>
      <c r="G143" s="17">
        <f t="shared" si="5"/>
        <v>-9.5393813340503009E-3</v>
      </c>
    </row>
    <row r="144" spans="2:7" x14ac:dyDescent="0.3">
      <c r="B144" s="123">
        <v>46049.229166666664</v>
      </c>
      <c r="C144">
        <v>318.64999999999998</v>
      </c>
      <c r="D144" s="17">
        <f t="shared" ref="D144:D207" si="6">C144/C143 - 1</f>
        <v>-1.4687693259121781E-2</v>
      </c>
      <c r="F144">
        <v>25175.4</v>
      </c>
      <c r="G144" s="17">
        <f t="shared" si="5"/>
        <v>5.0601529423741631E-3</v>
      </c>
    </row>
    <row r="145" spans="2:7" x14ac:dyDescent="0.3">
      <c r="B145" s="123">
        <v>46050.229166666664</v>
      </c>
      <c r="C145">
        <v>321.14999999999998</v>
      </c>
      <c r="D145" s="17">
        <f t="shared" si="6"/>
        <v>7.8455986191745541E-3</v>
      </c>
      <c r="F145">
        <v>25342.75</v>
      </c>
      <c r="G145" s="17">
        <f t="shared" si="5"/>
        <v>6.6473621074540912E-3</v>
      </c>
    </row>
    <row r="146" spans="2:7" x14ac:dyDescent="0.3">
      <c r="B146" s="123">
        <v>46051.229166666664</v>
      </c>
      <c r="C146">
        <v>318.60000000000002</v>
      </c>
      <c r="D146" s="17">
        <f t="shared" si="6"/>
        <v>-7.9402148528723293E-3</v>
      </c>
      <c r="F146">
        <v>25418.9</v>
      </c>
      <c r="G146" s="17">
        <f t="shared" si="5"/>
        <v>3.004804135305017E-3</v>
      </c>
    </row>
    <row r="147" spans="2:7" x14ac:dyDescent="0.3">
      <c r="B147" s="123">
        <v>46052.229166666664</v>
      </c>
      <c r="C147">
        <v>322.14999999999998</v>
      </c>
      <c r="D147" s="17">
        <f t="shared" si="6"/>
        <v>1.1142498430633863E-2</v>
      </c>
      <c r="F147">
        <v>25320.65</v>
      </c>
      <c r="G147" s="17">
        <f t="shared" si="5"/>
        <v>-3.8652341368037302E-3</v>
      </c>
    </row>
    <row r="148" spans="2:7" x14ac:dyDescent="0.3">
      <c r="B148" s="123">
        <v>46054.229166666664</v>
      </c>
      <c r="C148">
        <v>309.45</v>
      </c>
      <c r="D148" s="17">
        <f t="shared" si="6"/>
        <v>-3.9422629209995286E-2</v>
      </c>
      <c r="F148">
        <v>24825.45</v>
      </c>
      <c r="G148" s="17">
        <f t="shared" si="5"/>
        <v>-1.955715986753892E-2</v>
      </c>
    </row>
    <row r="149" spans="2:7" x14ac:dyDescent="0.3">
      <c r="B149" s="123">
        <v>46055.229166666664</v>
      </c>
      <c r="C149">
        <v>314.7</v>
      </c>
      <c r="D149" s="17">
        <f t="shared" si="6"/>
        <v>1.6965584100824049E-2</v>
      </c>
      <c r="F149">
        <v>25088.400000000001</v>
      </c>
      <c r="G149" s="17">
        <f t="shared" si="5"/>
        <v>1.05919530159575E-2</v>
      </c>
    </row>
    <row r="150" spans="2:7" x14ac:dyDescent="0.3">
      <c r="B150" s="123">
        <v>46056.229166666664</v>
      </c>
      <c r="C150">
        <v>316.64999999999998</v>
      </c>
      <c r="D150" s="17">
        <f t="shared" si="6"/>
        <v>6.1963775023832213E-3</v>
      </c>
      <c r="F150">
        <v>25727.55</v>
      </c>
      <c r="G150" s="17">
        <f t="shared" si="5"/>
        <v>2.5475917156932981E-2</v>
      </c>
    </row>
    <row r="151" spans="2:7" x14ac:dyDescent="0.3">
      <c r="B151" s="123">
        <v>46057.229166666664</v>
      </c>
      <c r="C151">
        <v>313.85000000000002</v>
      </c>
      <c r="D151" s="17">
        <f t="shared" si="6"/>
        <v>-8.8425706616136468E-3</v>
      </c>
      <c r="F151">
        <v>25776</v>
      </c>
      <c r="G151" s="17">
        <f t="shared" si="5"/>
        <v>1.8831952517825989E-3</v>
      </c>
    </row>
    <row r="152" spans="2:7" x14ac:dyDescent="0.3">
      <c r="B152" s="123">
        <v>46058.229166666664</v>
      </c>
      <c r="C152">
        <v>310.2</v>
      </c>
      <c r="D152" s="17">
        <f t="shared" si="6"/>
        <v>-1.162975943922262E-2</v>
      </c>
      <c r="F152">
        <v>25642.799999999999</v>
      </c>
      <c r="G152" s="17">
        <f t="shared" si="5"/>
        <v>-5.16759776536313E-3</v>
      </c>
    </row>
    <row r="153" spans="2:7" x14ac:dyDescent="0.3">
      <c r="B153" s="123">
        <v>46059.229166666664</v>
      </c>
      <c r="C153">
        <v>325.8</v>
      </c>
      <c r="D153" s="17">
        <f t="shared" si="6"/>
        <v>5.0290135396518387E-2</v>
      </c>
      <c r="F153">
        <v>25693.7</v>
      </c>
      <c r="G153" s="17">
        <f t="shared" si="5"/>
        <v>1.9849626405852305E-3</v>
      </c>
    </row>
    <row r="154" spans="2:7" x14ac:dyDescent="0.3">
      <c r="B154" s="123">
        <v>46062.229166666664</v>
      </c>
      <c r="C154">
        <v>322.8</v>
      </c>
      <c r="D154" s="17">
        <f t="shared" si="6"/>
        <v>-9.2081031307550409E-3</v>
      </c>
      <c r="F154">
        <v>25867.3</v>
      </c>
      <c r="G154" s="17">
        <f t="shared" si="5"/>
        <v>6.7565200807979675E-3</v>
      </c>
    </row>
    <row r="155" spans="2:7" x14ac:dyDescent="0.3">
      <c r="B155" s="123">
        <v>46063.229166666664</v>
      </c>
      <c r="C155">
        <v>321.39999999999998</v>
      </c>
      <c r="D155" s="17">
        <f t="shared" si="6"/>
        <v>-4.3370508054524359E-3</v>
      </c>
      <c r="F155">
        <v>25935.15</v>
      </c>
      <c r="G155" s="17">
        <f t="shared" si="5"/>
        <v>2.6230027873028749E-3</v>
      </c>
    </row>
    <row r="156" spans="2:7" x14ac:dyDescent="0.3">
      <c r="B156" s="123">
        <v>46064.229166666664</v>
      </c>
      <c r="C156">
        <v>318.25</v>
      </c>
      <c r="D156" s="17">
        <f t="shared" si="6"/>
        <v>-9.8008711885499977E-3</v>
      </c>
      <c r="F156">
        <v>25953.85</v>
      </c>
      <c r="G156" s="17">
        <f t="shared" si="5"/>
        <v>7.2102918240291025E-4</v>
      </c>
    </row>
    <row r="157" spans="2:7" x14ac:dyDescent="0.3">
      <c r="B157" s="123">
        <v>46065.229166666664</v>
      </c>
      <c r="C157">
        <v>317.45</v>
      </c>
      <c r="D157" s="17">
        <f t="shared" si="6"/>
        <v>-2.5137470542027085E-3</v>
      </c>
      <c r="F157">
        <v>25807.200000000001</v>
      </c>
      <c r="G157" s="17">
        <f t="shared" si="5"/>
        <v>-5.6504141004127817E-3</v>
      </c>
    </row>
    <row r="158" spans="2:7" x14ac:dyDescent="0.3">
      <c r="B158" s="123">
        <v>46066.229166666664</v>
      </c>
      <c r="C158">
        <v>313.75</v>
      </c>
      <c r="D158" s="17">
        <f t="shared" si="6"/>
        <v>-1.1655378799810934E-2</v>
      </c>
      <c r="F158">
        <v>25471.1</v>
      </c>
      <c r="G158" s="17">
        <f t="shared" si="5"/>
        <v>-1.3023497318577881E-2</v>
      </c>
    </row>
    <row r="159" spans="2:7" x14ac:dyDescent="0.3">
      <c r="B159" s="123">
        <v>46069.229166666664</v>
      </c>
      <c r="C159">
        <v>317.95</v>
      </c>
      <c r="D159" s="17">
        <f t="shared" si="6"/>
        <v>1.3386454183266894E-2</v>
      </c>
      <c r="F159">
        <v>25682.75</v>
      </c>
      <c r="G159" s="17">
        <f t="shared" si="5"/>
        <v>8.3094173396516258E-3</v>
      </c>
    </row>
    <row r="160" spans="2:7" x14ac:dyDescent="0.3">
      <c r="B160" s="123">
        <v>46070.229166666664</v>
      </c>
      <c r="C160">
        <v>325.45</v>
      </c>
      <c r="D160" s="17">
        <f t="shared" si="6"/>
        <v>2.358861456203809E-2</v>
      </c>
      <c r="F160">
        <v>25725.4</v>
      </c>
      <c r="G160" s="17">
        <f t="shared" si="5"/>
        <v>1.6606477110123752E-3</v>
      </c>
    </row>
    <row r="161" spans="2:7" x14ac:dyDescent="0.3">
      <c r="B161" s="123">
        <v>46071.229166666664</v>
      </c>
      <c r="C161">
        <v>332.45</v>
      </c>
      <c r="D161" s="17">
        <f t="shared" si="6"/>
        <v>2.1508680288830906E-2</v>
      </c>
      <c r="F161">
        <v>25819.35</v>
      </c>
      <c r="G161" s="17">
        <f t="shared" si="5"/>
        <v>3.6520326214557475E-3</v>
      </c>
    </row>
    <row r="162" spans="2:7" x14ac:dyDescent="0.3">
      <c r="B162" s="123">
        <v>46072.229166666664</v>
      </c>
      <c r="C162">
        <v>326</v>
      </c>
      <c r="D162" s="17">
        <f t="shared" si="6"/>
        <v>-1.9401413746428009E-2</v>
      </c>
      <c r="F162">
        <v>25454.35</v>
      </c>
      <c r="G162" s="17">
        <f t="shared" si="5"/>
        <v>-1.4136684308474035E-2</v>
      </c>
    </row>
    <row r="163" spans="2:7" x14ac:dyDescent="0.3">
      <c r="B163" s="123">
        <v>46073.229166666664</v>
      </c>
      <c r="C163">
        <v>327</v>
      </c>
      <c r="D163" s="17">
        <f t="shared" si="6"/>
        <v>3.0674846625766694E-3</v>
      </c>
      <c r="F163">
        <v>25571.25</v>
      </c>
      <c r="G163" s="17">
        <f t="shared" si="5"/>
        <v>4.5925352641100758E-3</v>
      </c>
    </row>
    <row r="164" spans="2:7" x14ac:dyDescent="0.3">
      <c r="B164" s="123">
        <v>46076.229166666664</v>
      </c>
      <c r="C164">
        <v>325.39999999999998</v>
      </c>
      <c r="D164" s="17">
        <f t="shared" si="6"/>
        <v>-4.8929663608563434E-3</v>
      </c>
      <c r="F164">
        <v>25713</v>
      </c>
      <c r="G164" s="17">
        <f t="shared" si="5"/>
        <v>5.5433347998239402E-3</v>
      </c>
    </row>
    <row r="165" spans="2:7" x14ac:dyDescent="0.3">
      <c r="B165" s="123">
        <v>46077.229166666664</v>
      </c>
      <c r="C165">
        <v>323.5</v>
      </c>
      <c r="D165" s="17">
        <f t="shared" si="6"/>
        <v>-5.8389674247080192E-3</v>
      </c>
      <c r="F165">
        <v>25424.65</v>
      </c>
      <c r="G165" s="17">
        <f t="shared" si="5"/>
        <v>-1.1214171819702079E-2</v>
      </c>
    </row>
    <row r="166" spans="2:7" x14ac:dyDescent="0.3">
      <c r="B166" s="123">
        <v>46078.229166666664</v>
      </c>
      <c r="C166">
        <v>319.75</v>
      </c>
      <c r="D166" s="17">
        <f t="shared" si="6"/>
        <v>-1.1591962905718733E-2</v>
      </c>
      <c r="F166">
        <v>25482.5</v>
      </c>
      <c r="G166" s="17">
        <f t="shared" si="5"/>
        <v>2.275350889786143E-3</v>
      </c>
    </row>
    <row r="167" spans="2:7" x14ac:dyDescent="0.3">
      <c r="B167" s="123">
        <v>46079.229166666664</v>
      </c>
      <c r="C167">
        <v>318.3</v>
      </c>
      <c r="D167" s="17">
        <f t="shared" si="6"/>
        <v>-4.5347928068802945E-3</v>
      </c>
      <c r="F167">
        <v>25496.55</v>
      </c>
      <c r="G167" s="17">
        <f t="shared" si="5"/>
        <v>5.5135877563028401E-4</v>
      </c>
    </row>
    <row r="168" spans="2:7" x14ac:dyDescent="0.3">
      <c r="B168" s="123">
        <v>46080.229166666664</v>
      </c>
      <c r="C168">
        <v>313.60000000000002</v>
      </c>
      <c r="D168" s="17">
        <f t="shared" si="6"/>
        <v>-1.4765944077913873E-2</v>
      </c>
      <c r="F168">
        <v>25178.65</v>
      </c>
      <c r="G168" s="17">
        <f t="shared" si="5"/>
        <v>-1.2468353561560175E-2</v>
      </c>
    </row>
    <row r="169" spans="2:7" x14ac:dyDescent="0.3">
      <c r="B169" s="123">
        <v>46083.229166666664</v>
      </c>
      <c r="C169">
        <v>314.89999999999998</v>
      </c>
      <c r="D169" s="17">
        <f t="shared" si="6"/>
        <v>4.1454081632652517E-3</v>
      </c>
      <c r="F169">
        <v>24865.7</v>
      </c>
      <c r="G169" s="17">
        <f t="shared" si="5"/>
        <v>-1.2429181072059148E-2</v>
      </c>
    </row>
    <row r="170" spans="2:7" x14ac:dyDescent="0.3">
      <c r="B170" s="123">
        <v>46085.229166666664</v>
      </c>
      <c r="C170">
        <v>311.95</v>
      </c>
      <c r="D170" s="17">
        <f t="shared" si="6"/>
        <v>-9.3680533502699115E-3</v>
      </c>
      <c r="F170">
        <v>24480.5</v>
      </c>
      <c r="G170" s="17">
        <f t="shared" si="5"/>
        <v>-1.5491218827541564E-2</v>
      </c>
    </row>
    <row r="171" spans="2:7" x14ac:dyDescent="0.3">
      <c r="B171" s="123">
        <v>46086.229166666664</v>
      </c>
      <c r="C171">
        <v>311.5</v>
      </c>
      <c r="D171" s="17">
        <f t="shared" si="6"/>
        <v>-1.442538868408394E-3</v>
      </c>
      <c r="F171">
        <v>24765.9</v>
      </c>
      <c r="G171" s="17">
        <f t="shared" si="5"/>
        <v>1.1658258613999051E-2</v>
      </c>
    </row>
    <row r="172" spans="2:7" x14ac:dyDescent="0.3">
      <c r="B172" s="123">
        <v>46087.229166666664</v>
      </c>
      <c r="C172">
        <v>309.7</v>
      </c>
      <c r="D172" s="17">
        <f t="shared" si="6"/>
        <v>-5.7784911717496668E-3</v>
      </c>
      <c r="F172">
        <v>24450.45</v>
      </c>
      <c r="G172" s="17">
        <f t="shared" si="5"/>
        <v>-1.2737271813259343E-2</v>
      </c>
    </row>
    <row r="173" spans="2:7" x14ac:dyDescent="0.3">
      <c r="B173" s="123">
        <v>46090.229166666664</v>
      </c>
      <c r="C173">
        <v>306</v>
      </c>
      <c r="D173" s="17">
        <f t="shared" si="6"/>
        <v>-1.1947045527930245E-2</v>
      </c>
      <c r="F173">
        <v>24028.05</v>
      </c>
      <c r="G173" s="17">
        <f t="shared" si="5"/>
        <v>-1.7275755660938863E-2</v>
      </c>
    </row>
    <row r="174" spans="2:7" x14ac:dyDescent="0.3">
      <c r="B174" s="123">
        <v>46091.229166666664</v>
      </c>
      <c r="C174">
        <v>309.05</v>
      </c>
      <c r="D174" s="17">
        <f t="shared" si="6"/>
        <v>9.9673202614378731E-3</v>
      </c>
      <c r="F174">
        <v>24261.599999999999</v>
      </c>
      <c r="G174" s="17">
        <f t="shared" si="5"/>
        <v>9.7198898787043131E-3</v>
      </c>
    </row>
    <row r="175" spans="2:7" x14ac:dyDescent="0.3">
      <c r="B175" s="123">
        <v>46092.229166666664</v>
      </c>
      <c r="C175">
        <v>309</v>
      </c>
      <c r="D175" s="17">
        <f t="shared" si="6"/>
        <v>-1.6178611875106164E-4</v>
      </c>
      <c r="F175">
        <v>23866.85</v>
      </c>
      <c r="G175" s="17">
        <f t="shared" si="5"/>
        <v>-1.6270567481122433E-2</v>
      </c>
    </row>
    <row r="176" spans="2:7" x14ac:dyDescent="0.3">
      <c r="B176" s="123">
        <v>46093.229166666664</v>
      </c>
      <c r="C176">
        <v>304.10000000000002</v>
      </c>
      <c r="D176" s="17">
        <f t="shared" si="6"/>
        <v>-1.5857605177993506E-2</v>
      </c>
      <c r="F176">
        <v>23639.15</v>
      </c>
      <c r="G176" s="17">
        <f t="shared" si="5"/>
        <v>-9.5404295078738155E-3</v>
      </c>
    </row>
    <row r="177" spans="2:7" x14ac:dyDescent="0.3">
      <c r="B177" s="123">
        <v>46094.229166666664</v>
      </c>
      <c r="C177">
        <v>301.45</v>
      </c>
      <c r="D177" s="17">
        <f t="shared" si="6"/>
        <v>-8.7142387372576291E-3</v>
      </c>
      <c r="F177">
        <v>23151.1</v>
      </c>
      <c r="G177" s="17">
        <f t="shared" si="5"/>
        <v>-2.0645835404403456E-2</v>
      </c>
    </row>
    <row r="178" spans="2:7" x14ac:dyDescent="0.3">
      <c r="B178" s="123">
        <v>46097.229166666664</v>
      </c>
      <c r="C178">
        <v>308.25</v>
      </c>
      <c r="D178" s="17">
        <f t="shared" si="6"/>
        <v>2.2557638082600695E-2</v>
      </c>
      <c r="F178">
        <v>23408.799999999999</v>
      </c>
      <c r="G178" s="17">
        <f t="shared" si="5"/>
        <v>1.1131220546755971E-2</v>
      </c>
    </row>
    <row r="179" spans="2:7" x14ac:dyDescent="0.3">
      <c r="B179" s="123">
        <v>46098.229166666664</v>
      </c>
      <c r="C179">
        <v>304.85000000000002</v>
      </c>
      <c r="D179" s="17">
        <f t="shared" si="6"/>
        <v>-1.1030008110299971E-2</v>
      </c>
      <c r="F179">
        <v>23581.15</v>
      </c>
      <c r="G179" s="17">
        <f t="shared" si="5"/>
        <v>7.3626157684290039E-3</v>
      </c>
    </row>
    <row r="180" spans="2:7" x14ac:dyDescent="0.3">
      <c r="B180" s="123">
        <v>46099.229166666664</v>
      </c>
      <c r="C180">
        <v>304.05</v>
      </c>
      <c r="D180" s="17">
        <f t="shared" si="6"/>
        <v>-2.6242414302116712E-3</v>
      </c>
      <c r="F180">
        <v>23777.8</v>
      </c>
      <c r="G180" s="17">
        <f t="shared" si="5"/>
        <v>8.3392879482127036E-3</v>
      </c>
    </row>
    <row r="181" spans="2:7" x14ac:dyDescent="0.3">
      <c r="B181" s="123">
        <v>46100.229166666664</v>
      </c>
      <c r="C181">
        <v>298</v>
      </c>
      <c r="D181" s="17">
        <f t="shared" si="6"/>
        <v>-1.9898043085018968E-2</v>
      </c>
      <c r="F181">
        <v>23002.15</v>
      </c>
      <c r="G181" s="17">
        <f t="shared" si="5"/>
        <v>-3.2620763905828021E-2</v>
      </c>
    </row>
    <row r="182" spans="2:7" x14ac:dyDescent="0.3">
      <c r="B182" s="123">
        <v>46101.229166666664</v>
      </c>
      <c r="C182">
        <v>299.95</v>
      </c>
      <c r="D182" s="17">
        <f t="shared" si="6"/>
        <v>6.5436241610736801E-3</v>
      </c>
      <c r="F182">
        <v>23114.5</v>
      </c>
      <c r="G182" s="17">
        <f t="shared" si="5"/>
        <v>4.8843260303927938E-3</v>
      </c>
    </row>
    <row r="183" spans="2:7" x14ac:dyDescent="0.3">
      <c r="B183" s="123">
        <v>46104.229166666664</v>
      </c>
      <c r="C183">
        <v>290.45</v>
      </c>
      <c r="D183" s="17">
        <f t="shared" si="6"/>
        <v>-3.1671945324220685E-2</v>
      </c>
      <c r="F183">
        <v>22512.65</v>
      </c>
      <c r="G183" s="17">
        <f t="shared" si="5"/>
        <v>-2.6037768500291936E-2</v>
      </c>
    </row>
    <row r="184" spans="2:7" x14ac:dyDescent="0.3">
      <c r="B184" s="123">
        <v>46105.229166666664</v>
      </c>
      <c r="C184">
        <v>291.25</v>
      </c>
      <c r="D184" s="17">
        <f t="shared" si="6"/>
        <v>2.7543467033912528E-3</v>
      </c>
      <c r="F184">
        <v>22912.400000000001</v>
      </c>
      <c r="G184" s="17">
        <f t="shared" si="5"/>
        <v>1.7756683464629885E-2</v>
      </c>
    </row>
    <row r="185" spans="2:7" x14ac:dyDescent="0.3">
      <c r="B185" s="123">
        <v>46106.229166666664</v>
      </c>
      <c r="C185">
        <v>295.7</v>
      </c>
      <c r="D185" s="17">
        <f t="shared" si="6"/>
        <v>1.5278969957081445E-2</v>
      </c>
      <c r="F185">
        <v>23306.45</v>
      </c>
      <c r="G185" s="17">
        <f t="shared" si="5"/>
        <v>1.7198111066496713E-2</v>
      </c>
    </row>
    <row r="186" spans="2:7" x14ac:dyDescent="0.3">
      <c r="B186" s="123">
        <v>46108.229166666664</v>
      </c>
      <c r="C186">
        <v>294.7</v>
      </c>
      <c r="D186" s="17">
        <f t="shared" si="6"/>
        <v>-3.3818058843422261E-3</v>
      </c>
      <c r="F186">
        <v>22819.599999999999</v>
      </c>
      <c r="G186" s="17">
        <f t="shared" si="5"/>
        <v>-2.0889067189554966E-2</v>
      </c>
    </row>
    <row r="187" spans="2:7" x14ac:dyDescent="0.3">
      <c r="B187" s="123">
        <v>46111.229166666664</v>
      </c>
      <c r="C187">
        <v>287.7</v>
      </c>
      <c r="D187" s="17">
        <f t="shared" si="6"/>
        <v>-2.3752969121140111E-2</v>
      </c>
      <c r="F187">
        <v>22331.4</v>
      </c>
      <c r="G187" s="17">
        <f t="shared" si="5"/>
        <v>-2.1393889463443561E-2</v>
      </c>
    </row>
    <row r="188" spans="2:7" x14ac:dyDescent="0.3">
      <c r="B188" s="123">
        <v>46113.229166666664</v>
      </c>
      <c r="C188">
        <v>291.7</v>
      </c>
      <c r="D188" s="17">
        <f t="shared" si="6"/>
        <v>1.3903371567605127E-2</v>
      </c>
      <c r="F188">
        <v>22679.4</v>
      </c>
      <c r="G188" s="17">
        <f t="shared" si="5"/>
        <v>1.5583438566323604E-2</v>
      </c>
    </row>
    <row r="189" spans="2:7" x14ac:dyDescent="0.3">
      <c r="B189" s="123">
        <v>46114.229166666664</v>
      </c>
      <c r="C189">
        <v>292.85000000000002</v>
      </c>
      <c r="D189" s="17">
        <f t="shared" si="6"/>
        <v>3.9424065821049847E-3</v>
      </c>
      <c r="F189">
        <v>22713.1</v>
      </c>
      <c r="G189" s="17">
        <f t="shared" si="5"/>
        <v>1.4859299628737777E-3</v>
      </c>
    </row>
    <row r="190" spans="2:7" x14ac:dyDescent="0.3">
      <c r="B190" s="123">
        <v>46118.229166666664</v>
      </c>
      <c r="C190">
        <v>294.85000000000002</v>
      </c>
      <c r="D190" s="17">
        <f t="shared" si="6"/>
        <v>6.829434864265016E-3</v>
      </c>
      <c r="F190">
        <v>22968.25</v>
      </c>
      <c r="G190" s="17">
        <f t="shared" si="5"/>
        <v>1.123360527625028E-2</v>
      </c>
    </row>
    <row r="191" spans="2:7" x14ac:dyDescent="0.3">
      <c r="B191" s="123">
        <v>46119.229166666664</v>
      </c>
      <c r="C191">
        <v>298.45</v>
      </c>
      <c r="D191" s="17">
        <f t="shared" si="6"/>
        <v>1.220959810072908E-2</v>
      </c>
      <c r="F191">
        <v>23123.65</v>
      </c>
      <c r="G191" s="17">
        <f t="shared" si="5"/>
        <v>6.7658615697756552E-3</v>
      </c>
    </row>
    <row r="192" spans="2:7" x14ac:dyDescent="0.3">
      <c r="B192" s="123">
        <v>46120.229166666664</v>
      </c>
      <c r="C192">
        <v>302.45</v>
      </c>
      <c r="D192" s="17">
        <f t="shared" si="6"/>
        <v>1.3402579996649289E-2</v>
      </c>
      <c r="F192">
        <v>23997.35</v>
      </c>
      <c r="G192" s="17">
        <f t="shared" si="5"/>
        <v>3.7783827380192925E-2</v>
      </c>
    </row>
    <row r="193" spans="2:7" x14ac:dyDescent="0.3">
      <c r="B193" s="123">
        <v>46121.229166666664</v>
      </c>
      <c r="C193">
        <v>303</v>
      </c>
      <c r="D193" s="17">
        <f t="shared" si="6"/>
        <v>1.8184823937841266E-3</v>
      </c>
      <c r="F193">
        <v>23775.1</v>
      </c>
      <c r="G193" s="17">
        <f t="shared" si="5"/>
        <v>-9.2614392839209803E-3</v>
      </c>
    </row>
    <row r="194" spans="2:7" x14ac:dyDescent="0.3">
      <c r="B194" s="123">
        <v>46122.229166666664</v>
      </c>
      <c r="C194">
        <v>304.25</v>
      </c>
      <c r="D194" s="17">
        <f t="shared" si="6"/>
        <v>4.1254125412542031E-3</v>
      </c>
      <c r="F194">
        <v>24050.6</v>
      </c>
      <c r="G194" s="17">
        <f t="shared" si="5"/>
        <v>1.1587753574117565E-2</v>
      </c>
    </row>
    <row r="195" spans="2:7" x14ac:dyDescent="0.3">
      <c r="B195" s="123">
        <v>46125.229166666664</v>
      </c>
      <c r="C195">
        <v>298.64999999999998</v>
      </c>
      <c r="D195" s="17">
        <f t="shared" si="6"/>
        <v>-1.8405916187345994E-2</v>
      </c>
      <c r="F195">
        <v>23842.65</v>
      </c>
      <c r="G195" s="17">
        <f t="shared" si="5"/>
        <v>-8.6463539371157694E-3</v>
      </c>
    </row>
    <row r="196" spans="2:7" x14ac:dyDescent="0.3">
      <c r="B196" s="123">
        <v>46127.229166666664</v>
      </c>
      <c r="C196">
        <v>302.05</v>
      </c>
      <c r="D196" s="17">
        <f t="shared" si="6"/>
        <v>1.1384563870751929E-2</v>
      </c>
      <c r="F196">
        <v>24231.3</v>
      </c>
      <c r="G196" s="17">
        <f t="shared" si="5"/>
        <v>1.6300620946077649E-2</v>
      </c>
    </row>
    <row r="197" spans="2:7" x14ac:dyDescent="0.3">
      <c r="B197" s="123">
        <v>46128.229166666664</v>
      </c>
      <c r="C197">
        <v>303.39999999999998</v>
      </c>
      <c r="D197" s="17">
        <f t="shared" si="6"/>
        <v>4.4694586988907048E-3</v>
      </c>
      <c r="F197">
        <v>24196.75</v>
      </c>
      <c r="G197" s="17">
        <f t="shared" si="5"/>
        <v>-1.4258417831481962E-3</v>
      </c>
    </row>
    <row r="198" spans="2:7" x14ac:dyDescent="0.3">
      <c r="B198" s="123">
        <v>46129.229166666664</v>
      </c>
      <c r="C198">
        <v>306.8</v>
      </c>
      <c r="D198" s="17">
        <f t="shared" si="6"/>
        <v>1.1206328279499189E-2</v>
      </c>
      <c r="F198">
        <v>24353.55</v>
      </c>
      <c r="G198" s="17">
        <f t="shared" si="5"/>
        <v>6.4802091189932742E-3</v>
      </c>
    </row>
    <row r="199" spans="2:7" x14ac:dyDescent="0.3">
      <c r="B199" s="123">
        <v>46132.229166666664</v>
      </c>
      <c r="C199">
        <v>305</v>
      </c>
      <c r="D199" s="17">
        <f t="shared" si="6"/>
        <v>-5.8670143415906484E-3</v>
      </c>
      <c r="F199">
        <v>24364.85</v>
      </c>
      <c r="G199" s="17">
        <f t="shared" si="5"/>
        <v>4.6399806188412995E-4</v>
      </c>
    </row>
    <row r="200" spans="2:7" x14ac:dyDescent="0.3">
      <c r="B200" s="123">
        <v>46133.229166666664</v>
      </c>
      <c r="C200">
        <v>309.64999999999998</v>
      </c>
      <c r="D200" s="17">
        <f t="shared" si="6"/>
        <v>1.524590163934425E-2</v>
      </c>
      <c r="F200">
        <v>24576.6</v>
      </c>
      <c r="G200" s="17">
        <f t="shared" si="5"/>
        <v>8.690798424779933E-3</v>
      </c>
    </row>
    <row r="201" spans="2:7" x14ac:dyDescent="0.3">
      <c r="B201" s="123">
        <v>46134.229166666664</v>
      </c>
      <c r="C201">
        <v>305.5</v>
      </c>
      <c r="D201" s="17">
        <f t="shared" si="6"/>
        <v>-1.3402228322299314E-2</v>
      </c>
      <c r="F201">
        <v>24378.1</v>
      </c>
      <c r="G201" s="17">
        <f t="shared" ref="G201:G248" si="7">F201/F200-1</f>
        <v>-8.0767884898643727E-3</v>
      </c>
    </row>
    <row r="202" spans="2:7" x14ac:dyDescent="0.3">
      <c r="B202" s="123">
        <v>46135.229166666664</v>
      </c>
      <c r="C202">
        <v>305.3</v>
      </c>
      <c r="D202" s="17">
        <f t="shared" si="6"/>
        <v>-6.5466448445172798E-4</v>
      </c>
      <c r="F202">
        <v>24173.05</v>
      </c>
      <c r="G202" s="17">
        <f t="shared" si="7"/>
        <v>-8.4112379553779038E-3</v>
      </c>
    </row>
    <row r="203" spans="2:7" x14ac:dyDescent="0.3">
      <c r="B203" s="123">
        <v>46136.229166666664</v>
      </c>
      <c r="C203">
        <v>301.60000000000002</v>
      </c>
      <c r="D203" s="17">
        <f t="shared" si="6"/>
        <v>-1.2119226989846021E-2</v>
      </c>
      <c r="F203">
        <v>23897.95</v>
      </c>
      <c r="G203" s="17">
        <f t="shared" si="7"/>
        <v>-1.1380442269386726E-2</v>
      </c>
    </row>
    <row r="204" spans="2:7" x14ac:dyDescent="0.3">
      <c r="B204" s="123">
        <v>46139.229166666664</v>
      </c>
      <c r="C204">
        <v>303.85000000000002</v>
      </c>
      <c r="D204" s="17">
        <f t="shared" si="6"/>
        <v>7.4602122015914318E-3</v>
      </c>
      <c r="F204">
        <v>24092.7</v>
      </c>
      <c r="G204" s="17">
        <f t="shared" si="7"/>
        <v>8.1492345577758307E-3</v>
      </c>
    </row>
    <row r="205" spans="2:7" x14ac:dyDescent="0.3">
      <c r="B205" s="123">
        <v>46140.229166666664</v>
      </c>
      <c r="C205">
        <v>304.45</v>
      </c>
      <c r="D205" s="17">
        <f t="shared" si="6"/>
        <v>1.9746585486257739E-3</v>
      </c>
      <c r="F205">
        <v>23995.7</v>
      </c>
      <c r="G205" s="17">
        <f t="shared" si="7"/>
        <v>-4.0261157944107007E-3</v>
      </c>
    </row>
    <row r="206" spans="2:7" x14ac:dyDescent="0.3">
      <c r="B206" s="123">
        <v>46141.229166666664</v>
      </c>
      <c r="C206">
        <v>316.25</v>
      </c>
      <c r="D206" s="17">
        <f t="shared" si="6"/>
        <v>3.8758416817211483E-2</v>
      </c>
      <c r="F206">
        <v>24177.65</v>
      </c>
      <c r="G206" s="17">
        <f t="shared" si="7"/>
        <v>7.5826085506986995E-3</v>
      </c>
    </row>
    <row r="207" spans="2:7" x14ac:dyDescent="0.3">
      <c r="B207" s="123">
        <v>46142.229166666664</v>
      </c>
      <c r="C207">
        <v>314.89999999999998</v>
      </c>
      <c r="D207" s="17">
        <f t="shared" si="6"/>
        <v>-4.2687747035573542E-3</v>
      </c>
      <c r="F207">
        <v>23997.55</v>
      </c>
      <c r="G207" s="17">
        <f t="shared" si="7"/>
        <v>-7.4490283381554168E-3</v>
      </c>
    </row>
    <row r="208" spans="2:7" x14ac:dyDescent="0.3">
      <c r="B208" s="123">
        <v>46146.229166666664</v>
      </c>
      <c r="C208">
        <v>311.10000000000002</v>
      </c>
      <c r="D208" s="17">
        <f t="shared" ref="D208:D248" si="8">C208/C207 - 1</f>
        <v>-1.2067322959669613E-2</v>
      </c>
      <c r="F208">
        <v>24119.3</v>
      </c>
      <c r="G208" s="17">
        <f t="shared" si="7"/>
        <v>5.0734345797800451E-3</v>
      </c>
    </row>
    <row r="209" spans="2:7" x14ac:dyDescent="0.3">
      <c r="B209" s="123">
        <v>46147.229166666664</v>
      </c>
      <c r="C209">
        <v>311.45</v>
      </c>
      <c r="D209" s="17">
        <f t="shared" si="8"/>
        <v>1.1250401800062537E-3</v>
      </c>
      <c r="F209">
        <v>24032.799999999999</v>
      </c>
      <c r="G209" s="17">
        <f t="shared" si="7"/>
        <v>-3.5863395703855661E-3</v>
      </c>
    </row>
    <row r="210" spans="2:7" x14ac:dyDescent="0.3">
      <c r="B210" s="123">
        <v>46148.229166666664</v>
      </c>
      <c r="C210">
        <v>310.7</v>
      </c>
      <c r="D210" s="17">
        <f t="shared" si="8"/>
        <v>-2.4080911863862964E-3</v>
      </c>
      <c r="F210">
        <v>24330.95</v>
      </c>
      <c r="G210" s="17">
        <f t="shared" si="7"/>
        <v>1.2405961852135494E-2</v>
      </c>
    </row>
    <row r="211" spans="2:7" x14ac:dyDescent="0.3">
      <c r="B211" s="123">
        <v>46149.229166666664</v>
      </c>
      <c r="C211">
        <v>307.39999999999998</v>
      </c>
      <c r="D211" s="17">
        <f t="shared" si="8"/>
        <v>-1.0621177985194796E-2</v>
      </c>
      <c r="F211">
        <v>24326.65</v>
      </c>
      <c r="G211" s="17">
        <f t="shared" si="7"/>
        <v>-1.7672963858783586E-4</v>
      </c>
    </row>
    <row r="212" spans="2:7" x14ac:dyDescent="0.3">
      <c r="B212" s="123">
        <v>46150.229166666664</v>
      </c>
      <c r="C212">
        <v>307.45</v>
      </c>
      <c r="D212" s="17">
        <f t="shared" si="8"/>
        <v>1.6265452179564655E-4</v>
      </c>
      <c r="F212">
        <v>24176.15</v>
      </c>
      <c r="G212" s="17">
        <f t="shared" si="7"/>
        <v>-6.1866307115858721E-3</v>
      </c>
    </row>
    <row r="213" spans="2:7" x14ac:dyDescent="0.3">
      <c r="B213" s="123">
        <v>46153.229166666664</v>
      </c>
      <c r="C213">
        <v>305.85000000000002</v>
      </c>
      <c r="D213" s="17">
        <f t="shared" si="8"/>
        <v>-5.2040982273539038E-3</v>
      </c>
      <c r="F213">
        <v>23815.85</v>
      </c>
      <c r="G213" s="17">
        <f t="shared" si="7"/>
        <v>-1.4903117328441629E-2</v>
      </c>
    </row>
    <row r="214" spans="2:7" x14ac:dyDescent="0.3">
      <c r="B214" s="123">
        <v>46154.229166666664</v>
      </c>
      <c r="C214">
        <v>300.7</v>
      </c>
      <c r="D214" s="17">
        <f t="shared" si="8"/>
        <v>-1.683831943763292E-2</v>
      </c>
      <c r="F214">
        <v>23379.55</v>
      </c>
      <c r="G214" s="17">
        <f t="shared" si="7"/>
        <v>-1.8319732447088732E-2</v>
      </c>
    </row>
    <row r="215" spans="2:7" x14ac:dyDescent="0.3">
      <c r="B215" s="123">
        <v>46155.229166666664</v>
      </c>
      <c r="C215">
        <v>304.45</v>
      </c>
      <c r="D215" s="17">
        <f t="shared" si="8"/>
        <v>1.2470901230462239E-2</v>
      </c>
      <c r="F215">
        <v>23412.6</v>
      </c>
      <c r="G215" s="17">
        <f t="shared" si="7"/>
        <v>1.4136285771111368E-3</v>
      </c>
    </row>
    <row r="216" spans="2:7" x14ac:dyDescent="0.3">
      <c r="B216" s="123">
        <v>46156.229166666664</v>
      </c>
      <c r="C216">
        <v>307.2</v>
      </c>
      <c r="D216" s="17">
        <f t="shared" si="8"/>
        <v>9.0326818853669888E-3</v>
      </c>
      <c r="F216">
        <v>23689.599999999999</v>
      </c>
      <c r="G216" s="17">
        <f t="shared" si="7"/>
        <v>1.1831236171975679E-2</v>
      </c>
    </row>
    <row r="217" spans="2:7" x14ac:dyDescent="0.3">
      <c r="B217" s="123">
        <v>46157.229166666664</v>
      </c>
      <c r="C217">
        <v>309.45</v>
      </c>
      <c r="D217" s="17">
        <f t="shared" si="8"/>
        <v>7.32421875E-3</v>
      </c>
      <c r="F217">
        <v>23643.5</v>
      </c>
      <c r="G217" s="17">
        <f t="shared" si="7"/>
        <v>-1.946001620964366E-3</v>
      </c>
    </row>
    <row r="218" spans="2:7" x14ac:dyDescent="0.3">
      <c r="B218" s="123">
        <v>46160.229166666664</v>
      </c>
      <c r="C218">
        <v>310.14999999999998</v>
      </c>
      <c r="D218" s="17">
        <f t="shared" si="8"/>
        <v>2.2620778801099028E-3</v>
      </c>
      <c r="F218">
        <v>23649.95</v>
      </c>
      <c r="G218" s="17">
        <f t="shared" si="7"/>
        <v>2.7280225008996517E-4</v>
      </c>
    </row>
    <row r="219" spans="2:7" x14ac:dyDescent="0.3">
      <c r="B219" s="123">
        <v>46161.229166666664</v>
      </c>
      <c r="C219">
        <v>310.3</v>
      </c>
      <c r="D219" s="17">
        <f t="shared" si="8"/>
        <v>4.8363694986308658E-4</v>
      </c>
      <c r="F219">
        <v>23618</v>
      </c>
      <c r="G219" s="17">
        <f t="shared" si="7"/>
        <v>-1.3509542303472566E-3</v>
      </c>
    </row>
    <row r="220" spans="2:7" x14ac:dyDescent="0.3">
      <c r="B220" s="123">
        <v>46162.229166666664</v>
      </c>
      <c r="C220">
        <v>307.55</v>
      </c>
      <c r="D220" s="17">
        <f t="shared" si="8"/>
        <v>-8.8623912342894462E-3</v>
      </c>
      <c r="F220">
        <v>23659</v>
      </c>
      <c r="G220" s="17">
        <f t="shared" si="7"/>
        <v>1.7359640951817301E-3</v>
      </c>
    </row>
    <row r="221" spans="2:7" x14ac:dyDescent="0.3">
      <c r="B221" s="123">
        <v>46163.229166666664</v>
      </c>
      <c r="C221">
        <v>308.05</v>
      </c>
      <c r="D221" s="17">
        <f t="shared" si="8"/>
        <v>1.6257519102584883E-3</v>
      </c>
      <c r="F221">
        <v>23654.7</v>
      </c>
      <c r="G221" s="17">
        <f t="shared" si="7"/>
        <v>-1.8174901728729154E-4</v>
      </c>
    </row>
    <row r="222" spans="2:7" x14ac:dyDescent="0.3">
      <c r="B222" s="123">
        <v>46164.229166666664</v>
      </c>
      <c r="C222">
        <v>301.7</v>
      </c>
      <c r="D222" s="17">
        <f t="shared" si="8"/>
        <v>-2.0613536763512519E-2</v>
      </c>
      <c r="F222">
        <v>23719.3</v>
      </c>
      <c r="G222" s="17">
        <f t="shared" si="7"/>
        <v>2.7309583296342144E-3</v>
      </c>
    </row>
    <row r="223" spans="2:7" x14ac:dyDescent="0.3">
      <c r="B223" s="123">
        <v>46167.229166666664</v>
      </c>
      <c r="C223">
        <v>303.95</v>
      </c>
      <c r="D223" s="17">
        <f t="shared" si="8"/>
        <v>7.4577394763009064E-3</v>
      </c>
      <c r="F223">
        <v>24031.7</v>
      </c>
      <c r="G223" s="17">
        <f t="shared" si="7"/>
        <v>1.3170709085006838E-2</v>
      </c>
    </row>
    <row r="224" spans="2:7" x14ac:dyDescent="0.3">
      <c r="B224" s="123">
        <v>46168.229166666664</v>
      </c>
      <c r="C224">
        <v>301.64999999999998</v>
      </c>
      <c r="D224" s="17">
        <f t="shared" si="8"/>
        <v>-7.5670340516532653E-3</v>
      </c>
      <c r="F224">
        <v>23913.7</v>
      </c>
      <c r="G224" s="17">
        <f t="shared" si="7"/>
        <v>-4.9101811357498137E-3</v>
      </c>
    </row>
    <row r="225" spans="2:7" x14ac:dyDescent="0.3">
      <c r="B225" s="123">
        <v>46169.229166666664</v>
      </c>
      <c r="C225">
        <v>291.95</v>
      </c>
      <c r="D225" s="17">
        <f t="shared" si="8"/>
        <v>-3.2156472733300134E-2</v>
      </c>
      <c r="F225">
        <v>23907.15</v>
      </c>
      <c r="G225" s="17">
        <f t="shared" si="7"/>
        <v>-2.7390157106588209E-4</v>
      </c>
    </row>
    <row r="226" spans="2:7" x14ac:dyDescent="0.3">
      <c r="B226" s="123">
        <v>46171.229166666664</v>
      </c>
      <c r="C226">
        <v>286.89999999999998</v>
      </c>
      <c r="D226" s="17">
        <f t="shared" si="8"/>
        <v>-1.7297482445624235E-2</v>
      </c>
      <c r="F226">
        <v>23547.75</v>
      </c>
      <c r="G226" s="17">
        <f t="shared" si="7"/>
        <v>-1.5033159535954743E-2</v>
      </c>
    </row>
    <row r="227" spans="2:7" x14ac:dyDescent="0.3">
      <c r="B227" s="123">
        <v>46174.229166666664</v>
      </c>
      <c r="C227">
        <v>279.64999999999998</v>
      </c>
      <c r="D227" s="17">
        <f t="shared" si="8"/>
        <v>-2.5270128964796079E-2</v>
      </c>
      <c r="F227">
        <v>23382.6</v>
      </c>
      <c r="G227" s="17">
        <f t="shared" si="7"/>
        <v>-7.0134089244195952E-3</v>
      </c>
    </row>
    <row r="228" spans="2:7" x14ac:dyDescent="0.3">
      <c r="B228" s="123">
        <v>46175.229166666664</v>
      </c>
      <c r="C228">
        <v>283.25</v>
      </c>
      <c r="D228" s="17">
        <f t="shared" si="8"/>
        <v>1.2873234400143208E-2</v>
      </c>
      <c r="F228">
        <v>23483.55</v>
      </c>
      <c r="G228" s="17">
        <f t="shared" si="7"/>
        <v>4.3173128736753164E-3</v>
      </c>
    </row>
    <row r="229" spans="2:7" x14ac:dyDescent="0.3">
      <c r="B229" s="123">
        <v>46176.229166666664</v>
      </c>
      <c r="C229">
        <v>277</v>
      </c>
      <c r="D229" s="17">
        <f t="shared" si="8"/>
        <v>-2.206531332744921E-2</v>
      </c>
      <c r="F229">
        <v>23405.599999999999</v>
      </c>
      <c r="G229" s="17">
        <f t="shared" si="7"/>
        <v>-3.3193448179683616E-3</v>
      </c>
    </row>
    <row r="230" spans="2:7" x14ac:dyDescent="0.3">
      <c r="B230" s="123">
        <v>46177.229166666664</v>
      </c>
      <c r="C230">
        <v>280.3</v>
      </c>
      <c r="D230" s="17">
        <f t="shared" si="8"/>
        <v>1.1913357400721969E-2</v>
      </c>
      <c r="F230">
        <v>23416.55</v>
      </c>
      <c r="G230" s="17">
        <f t="shared" si="7"/>
        <v>4.6783675701544958E-4</v>
      </c>
    </row>
    <row r="231" spans="2:7" x14ac:dyDescent="0.3">
      <c r="B231" s="123">
        <v>46178.229166666664</v>
      </c>
      <c r="C231">
        <v>280.7</v>
      </c>
      <c r="D231" s="17">
        <f t="shared" si="8"/>
        <v>1.4270424545128613E-3</v>
      </c>
      <c r="F231">
        <v>23366.7</v>
      </c>
      <c r="G231" s="17">
        <f t="shared" si="7"/>
        <v>-2.1288362290772245E-3</v>
      </c>
    </row>
    <row r="232" spans="2:7" x14ac:dyDescent="0.3">
      <c r="B232" s="123">
        <v>46181.229166666664</v>
      </c>
      <c r="C232">
        <v>279.45</v>
      </c>
      <c r="D232" s="17">
        <f t="shared" si="8"/>
        <v>-4.4531528322051539E-3</v>
      </c>
      <c r="F232">
        <v>23123</v>
      </c>
      <c r="G232" s="17">
        <f t="shared" si="7"/>
        <v>-1.0429371712736502E-2</v>
      </c>
    </row>
    <row r="233" spans="2:7" x14ac:dyDescent="0.3">
      <c r="B233" s="123">
        <v>46182.229166666664</v>
      </c>
      <c r="C233">
        <v>280</v>
      </c>
      <c r="D233" s="17">
        <f t="shared" si="8"/>
        <v>1.9681517266059156E-3</v>
      </c>
      <c r="F233">
        <v>23242.1</v>
      </c>
      <c r="G233" s="17">
        <f t="shared" si="7"/>
        <v>5.1507157375771939E-3</v>
      </c>
    </row>
    <row r="234" spans="2:7" x14ac:dyDescent="0.3">
      <c r="B234" s="123">
        <v>46183.229166666664</v>
      </c>
      <c r="C234">
        <v>283.64999999999998</v>
      </c>
      <c r="D234" s="17">
        <f t="shared" si="8"/>
        <v>1.3035714285714262E-2</v>
      </c>
      <c r="F234">
        <v>23214.95</v>
      </c>
      <c r="G234" s="17">
        <f t="shared" si="7"/>
        <v>-1.1681388514805935E-3</v>
      </c>
    </row>
    <row r="235" spans="2:7" x14ac:dyDescent="0.3">
      <c r="B235" s="123">
        <v>46184.229166666664</v>
      </c>
      <c r="C235">
        <v>282.39999999999998</v>
      </c>
      <c r="D235" s="17">
        <f t="shared" si="8"/>
        <v>-4.4068394147717127E-3</v>
      </c>
      <c r="F235">
        <v>23161.599999999999</v>
      </c>
      <c r="G235" s="17">
        <f t="shared" si="7"/>
        <v>-2.2980880854794883E-3</v>
      </c>
    </row>
    <row r="236" spans="2:7" x14ac:dyDescent="0.3">
      <c r="B236" s="123">
        <v>46185.229166666664</v>
      </c>
      <c r="C236">
        <v>285.10000000000002</v>
      </c>
      <c r="D236" s="17">
        <f t="shared" si="8"/>
        <v>9.5609065155808359E-3</v>
      </c>
      <c r="F236">
        <v>23622.9</v>
      </c>
      <c r="G236" s="17">
        <f t="shared" si="7"/>
        <v>1.9916586073501108E-2</v>
      </c>
    </row>
    <row r="237" spans="2:7" x14ac:dyDescent="0.3">
      <c r="B237" s="123">
        <v>46188.229166666664</v>
      </c>
      <c r="C237">
        <v>287.89999999999998</v>
      </c>
      <c r="D237" s="17">
        <f t="shared" si="8"/>
        <v>9.8211153981058175E-3</v>
      </c>
      <c r="F237">
        <v>23853.9</v>
      </c>
      <c r="G237" s="17">
        <f t="shared" si="7"/>
        <v>9.7786469908436313E-3</v>
      </c>
    </row>
    <row r="238" spans="2:7" x14ac:dyDescent="0.3">
      <c r="B238" s="123">
        <v>46189.229166666664</v>
      </c>
      <c r="C238">
        <v>291.64999999999998</v>
      </c>
      <c r="D238" s="17">
        <f t="shared" si="8"/>
        <v>1.3025356026397983E-2</v>
      </c>
      <c r="F238">
        <v>23989.15</v>
      </c>
      <c r="G238" s="17">
        <f t="shared" si="7"/>
        <v>5.6699323800299961E-3</v>
      </c>
    </row>
    <row r="239" spans="2:7" x14ac:dyDescent="0.3">
      <c r="B239" s="123">
        <v>46190.229166666664</v>
      </c>
      <c r="C239">
        <v>290.75</v>
      </c>
      <c r="D239" s="17">
        <f t="shared" si="8"/>
        <v>-3.0858906223212301E-3</v>
      </c>
      <c r="F239">
        <v>24085.7</v>
      </c>
      <c r="G239" s="17">
        <f t="shared" si="7"/>
        <v>4.0247361828158468E-3</v>
      </c>
    </row>
    <row r="240" spans="2:7" x14ac:dyDescent="0.3">
      <c r="B240" s="123">
        <v>46191.229166666664</v>
      </c>
      <c r="C240">
        <v>291.14999999999998</v>
      </c>
      <c r="D240" s="17">
        <f t="shared" si="8"/>
        <v>1.375752364574323E-3</v>
      </c>
      <c r="F240">
        <v>24168</v>
      </c>
      <c r="G240" s="17">
        <f t="shared" si="7"/>
        <v>3.4169652532414219E-3</v>
      </c>
    </row>
    <row r="241" spans="2:7" x14ac:dyDescent="0.3">
      <c r="B241" s="123">
        <v>46192.229166666664</v>
      </c>
      <c r="C241">
        <v>292.5</v>
      </c>
      <c r="D241" s="17">
        <f t="shared" si="8"/>
        <v>4.6367851622874934E-3</v>
      </c>
      <c r="F241">
        <v>24013.1</v>
      </c>
      <c r="G241" s="17">
        <f t="shared" si="7"/>
        <v>-6.4093015557763477E-3</v>
      </c>
    </row>
    <row r="242" spans="2:7" x14ac:dyDescent="0.3">
      <c r="B242" s="123">
        <v>46195.229166666664</v>
      </c>
      <c r="C242">
        <v>291.25</v>
      </c>
      <c r="D242" s="17">
        <f t="shared" si="8"/>
        <v>-4.2735042735042583E-3</v>
      </c>
      <c r="F242">
        <v>24102.9</v>
      </c>
      <c r="G242" s="17">
        <f t="shared" si="7"/>
        <v>3.7396254544395102E-3</v>
      </c>
    </row>
    <row r="243" spans="2:7" x14ac:dyDescent="0.3">
      <c r="B243" s="123">
        <v>46196.229166666664</v>
      </c>
      <c r="C243">
        <v>290</v>
      </c>
      <c r="D243" s="17">
        <f t="shared" si="8"/>
        <v>-4.2918454935622075E-3</v>
      </c>
      <c r="F243">
        <v>23824.1</v>
      </c>
      <c r="G243" s="17">
        <f t="shared" si="7"/>
        <v>-1.1567072841857318E-2</v>
      </c>
    </row>
    <row r="244" spans="2:7" x14ac:dyDescent="0.3">
      <c r="B244" s="123">
        <v>46197.229166666664</v>
      </c>
      <c r="C244">
        <v>290.35000000000002</v>
      </c>
      <c r="D244" s="17">
        <f t="shared" si="8"/>
        <v>1.2068965517242347E-3</v>
      </c>
      <c r="F244">
        <v>24021.65</v>
      </c>
      <c r="G244" s="17">
        <f t="shared" si="7"/>
        <v>8.2920236231380784E-3</v>
      </c>
    </row>
    <row r="245" spans="2:7" x14ac:dyDescent="0.3">
      <c r="B245" s="123">
        <v>46198.229166666664</v>
      </c>
      <c r="C245">
        <v>290</v>
      </c>
      <c r="D245" s="17">
        <f t="shared" si="8"/>
        <v>-1.2054417082831836E-3</v>
      </c>
      <c r="F245">
        <v>24056</v>
      </c>
      <c r="G245" s="17">
        <f t="shared" si="7"/>
        <v>1.4299600568652426E-3</v>
      </c>
    </row>
    <row r="246" spans="2:7" x14ac:dyDescent="0.3">
      <c r="B246" s="123">
        <v>46202.229166666664</v>
      </c>
      <c r="C246">
        <v>290.7</v>
      </c>
      <c r="D246" s="17">
        <f t="shared" si="8"/>
        <v>2.4137931034482474E-3</v>
      </c>
      <c r="F246">
        <v>23946.25</v>
      </c>
      <c r="G246" s="17">
        <f t="shared" si="7"/>
        <v>-4.5622713668107551E-3</v>
      </c>
    </row>
    <row r="247" spans="2:7" x14ac:dyDescent="0.3">
      <c r="B247" s="123">
        <v>46203.229166666664</v>
      </c>
      <c r="C247">
        <v>286.95</v>
      </c>
      <c r="D247" s="17">
        <f t="shared" si="8"/>
        <v>-1.2899896800825594E-2</v>
      </c>
      <c r="F247">
        <v>23865.75</v>
      </c>
      <c r="G247" s="17">
        <f t="shared" si="7"/>
        <v>-3.3616954637991636E-3</v>
      </c>
    </row>
    <row r="248" spans="2:7" x14ac:dyDescent="0.3">
      <c r="B248" s="123">
        <v>46204.229166666664</v>
      </c>
      <c r="C248">
        <v>290.3</v>
      </c>
      <c r="D248" s="17">
        <f t="shared" si="8"/>
        <v>1.167450775396417E-2</v>
      </c>
      <c r="F248">
        <v>24005.85</v>
      </c>
      <c r="G248" s="17">
        <f t="shared" si="7"/>
        <v>5.8703371987052222E-3</v>
      </c>
    </row>
  </sheetData>
  <autoFilter ref="F6:G248" xr:uid="{4FD0DE2C-92E2-44F8-9E75-BEFEE7D863C1}"/>
  <mergeCells count="3">
    <mergeCell ref="F4:G4"/>
    <mergeCell ref="I4:J4"/>
    <mergeCell ref="B4:D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CD47-703C-4E2A-8573-FF4836D9132A}">
  <dimension ref="B2:N23"/>
  <sheetViews>
    <sheetView workbookViewId="0">
      <selection activeCell="H15" sqref="H15"/>
    </sheetView>
  </sheetViews>
  <sheetFormatPr defaultRowHeight="14.4" x14ac:dyDescent="0.3"/>
  <cols>
    <col min="1" max="1" width="1.88671875" customWidth="1"/>
    <col min="5" max="5" width="16.77734375" customWidth="1"/>
  </cols>
  <sheetData>
    <row r="2" spans="2:14" x14ac:dyDescent="0.3">
      <c r="B2" s="121" t="s">
        <v>180</v>
      </c>
      <c r="C2" s="121"/>
      <c r="D2" s="121"/>
    </row>
    <row r="3" spans="2:14" x14ac:dyDescent="0.3">
      <c r="B3" s="57" t="s">
        <v>178</v>
      </c>
      <c r="C3" s="57" t="s">
        <v>179</v>
      </c>
    </row>
    <row r="4" spans="2:14" x14ac:dyDescent="0.3">
      <c r="B4">
        <v>2025</v>
      </c>
      <c r="C4" s="37">
        <v>0.1051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x14ac:dyDescent="0.3">
      <c r="B5">
        <v>2024</v>
      </c>
      <c r="C5" s="37">
        <v>8.7499999999999994E-2</v>
      </c>
      <c r="D5" s="37"/>
      <c r="E5" s="37" t="s">
        <v>181</v>
      </c>
      <c r="F5" s="37">
        <f>AVERAGE(C4:C23)</f>
        <v>0.15126999999999999</v>
      </c>
      <c r="G5" s="37"/>
      <c r="H5" s="37"/>
      <c r="I5" s="37"/>
      <c r="J5" s="37"/>
      <c r="K5" s="37"/>
      <c r="L5" s="37"/>
      <c r="M5" s="37"/>
      <c r="N5" s="37"/>
    </row>
    <row r="6" spans="2:14" ht="15" thickBot="1" x14ac:dyDescent="0.35">
      <c r="B6">
        <v>2023</v>
      </c>
      <c r="C6" s="37">
        <v>0.19420000000000001</v>
      </c>
      <c r="D6" s="37"/>
      <c r="E6" s="37" t="s">
        <v>182</v>
      </c>
      <c r="F6" s="37">
        <v>1.2999999999999999E-2</v>
      </c>
      <c r="G6" s="37"/>
      <c r="H6" s="37"/>
      <c r="I6" s="37"/>
      <c r="J6" s="37"/>
      <c r="K6" s="37"/>
      <c r="L6" s="37"/>
      <c r="M6" s="37"/>
      <c r="N6" s="37"/>
    </row>
    <row r="7" spans="2:14" ht="15" thickBot="1" x14ac:dyDescent="0.35">
      <c r="B7">
        <v>2022</v>
      </c>
      <c r="C7" s="37">
        <v>4.3200000000000002E-2</v>
      </c>
      <c r="D7" s="37"/>
      <c r="E7" s="58"/>
      <c r="F7" s="58">
        <f>SUM(F5:F6)</f>
        <v>0.16427</v>
      </c>
      <c r="G7" s="37"/>
      <c r="H7" s="37"/>
      <c r="I7" s="37"/>
      <c r="J7" s="37"/>
      <c r="K7" s="37"/>
      <c r="L7" s="37"/>
      <c r="M7" s="37"/>
      <c r="N7" s="37"/>
    </row>
    <row r="8" spans="2:14" ht="15" thickTop="1" x14ac:dyDescent="0.3">
      <c r="B8">
        <v>2021</v>
      </c>
      <c r="C8" s="37">
        <v>0.2412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2:14" x14ac:dyDescent="0.3">
      <c r="B9">
        <v>2020</v>
      </c>
      <c r="C9" s="37">
        <v>0.14899999999999999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2:14" x14ac:dyDescent="0.3">
      <c r="B10">
        <v>2019</v>
      </c>
      <c r="C10" s="37">
        <v>0.1202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2:14" x14ac:dyDescent="0.3">
      <c r="B11">
        <v>2018</v>
      </c>
      <c r="C11" s="37">
        <v>3.15E-2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2:14" x14ac:dyDescent="0.3">
      <c r="B12">
        <v>2017</v>
      </c>
      <c r="C12" s="37">
        <v>0.28649999999999998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2:14" x14ac:dyDescent="0.3">
      <c r="B13">
        <v>2016</v>
      </c>
      <c r="C13" s="37">
        <v>3.0099999999999998E-2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2:14" x14ac:dyDescent="0.3">
      <c r="B14">
        <v>2015</v>
      </c>
      <c r="C14" s="37">
        <v>-4.0599999999999997E-2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2:14" x14ac:dyDescent="0.3">
      <c r="B15">
        <v>2014</v>
      </c>
      <c r="C15" s="37">
        <v>0.31390000000000001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2:14" x14ac:dyDescent="0.3">
      <c r="B16">
        <v>2013</v>
      </c>
      <c r="C16" s="37">
        <v>6.7599999999999993E-2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2:14" x14ac:dyDescent="0.3">
      <c r="B17">
        <v>2012</v>
      </c>
      <c r="C17" s="37">
        <v>0.27700000000000002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2:14" x14ac:dyDescent="0.3">
      <c r="B18">
        <v>2011</v>
      </c>
      <c r="C18" s="37">
        <v>-0.2462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2:14" x14ac:dyDescent="0.3">
      <c r="B19">
        <v>2010</v>
      </c>
      <c r="C19" s="37">
        <v>0.17949999999999999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2:14" x14ac:dyDescent="0.3">
      <c r="B20">
        <v>2009</v>
      </c>
      <c r="C20" s="37">
        <v>0.75760000000000005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2:14" x14ac:dyDescent="0.3">
      <c r="B21">
        <v>2008</v>
      </c>
      <c r="C21" s="37">
        <v>-0.51790000000000003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2:14" x14ac:dyDescent="0.3">
      <c r="B22">
        <v>2007</v>
      </c>
      <c r="C22" s="37">
        <v>0.54769999999999996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2:14" x14ac:dyDescent="0.3">
      <c r="B23">
        <v>2006</v>
      </c>
      <c r="C23" s="37">
        <v>0.39829999999999999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C65A-3199-4A4A-872E-4E8FBFA0A586}">
  <dimension ref="B3:L63"/>
  <sheetViews>
    <sheetView topLeftCell="A41" workbookViewId="0">
      <selection activeCell="I49" sqref="I49"/>
    </sheetView>
  </sheetViews>
  <sheetFormatPr defaultRowHeight="14.4" x14ac:dyDescent="0.3"/>
  <cols>
    <col min="1" max="1" width="1.88671875" customWidth="1"/>
    <col min="2" max="2" width="28.5546875" bestFit="1" customWidth="1"/>
    <col min="7" max="9" width="9.5546875" bestFit="1" customWidth="1"/>
    <col min="10" max="10" width="13.21875" bestFit="1" customWidth="1"/>
    <col min="11" max="12" width="10.5546875" bestFit="1" customWidth="1"/>
  </cols>
  <sheetData>
    <row r="3" spans="2:12" x14ac:dyDescent="0.3">
      <c r="B3" s="51" t="s">
        <v>183</v>
      </c>
      <c r="C3" s="51"/>
      <c r="D3" s="51"/>
      <c r="E3" s="51"/>
      <c r="F3" s="51"/>
      <c r="G3" s="59">
        <v>43891</v>
      </c>
      <c r="H3" s="59">
        <v>44256</v>
      </c>
      <c r="I3" s="59">
        <v>44621</v>
      </c>
      <c r="J3" s="59">
        <v>44986</v>
      </c>
      <c r="K3" s="59">
        <v>45352</v>
      </c>
      <c r="L3" s="59">
        <v>45717</v>
      </c>
    </row>
    <row r="5" spans="2:12" x14ac:dyDescent="0.3">
      <c r="B5" s="15" t="s">
        <v>184</v>
      </c>
      <c r="G5" s="63"/>
      <c r="H5" s="63"/>
      <c r="I5" s="63"/>
      <c r="J5" s="63"/>
      <c r="K5" s="63"/>
      <c r="L5" s="63"/>
    </row>
    <row r="6" spans="2:12" x14ac:dyDescent="0.3">
      <c r="B6" t="s">
        <v>185</v>
      </c>
      <c r="G6" s="63">
        <f>'Raw FS '!H38</f>
        <v>8879</v>
      </c>
      <c r="H6" s="63">
        <f>'Raw FS '!I38</f>
        <v>10397</v>
      </c>
      <c r="I6" s="63">
        <f>'Raw FS '!J38</f>
        <v>10864</v>
      </c>
      <c r="J6" s="63">
        <f>'Raw FS '!K38</f>
        <v>11771</v>
      </c>
      <c r="K6" s="63">
        <f>'Raw FS '!L38</f>
        <v>14153</v>
      </c>
      <c r="L6" s="63">
        <f>'Raw FS '!M38</f>
        <v>15638</v>
      </c>
    </row>
    <row r="7" spans="2:12" x14ac:dyDescent="0.3">
      <c r="B7" t="s">
        <v>186</v>
      </c>
      <c r="G7" s="63">
        <f>'Raw FS '!H39</f>
        <v>2562</v>
      </c>
      <c r="H7" s="63">
        <f>'Raw FS '!I39</f>
        <v>2502</v>
      </c>
      <c r="I7" s="63">
        <f>'Raw FS '!J39</f>
        <v>2462</v>
      </c>
      <c r="J7" s="63">
        <f>'Raw FS '!K39</f>
        <v>2956</v>
      </c>
      <c r="K7" s="63">
        <f>'Raw FS '!L39</f>
        <v>4026</v>
      </c>
      <c r="L7" s="63">
        <f>'Raw FS '!M39</f>
        <v>4720</v>
      </c>
    </row>
    <row r="8" spans="2:12" x14ac:dyDescent="0.3">
      <c r="B8" t="s">
        <v>187</v>
      </c>
      <c r="G8" s="63">
        <f>'Raw FS '!H41</f>
        <v>6</v>
      </c>
      <c r="H8" s="63">
        <f>'Raw FS '!I41</f>
        <v>7</v>
      </c>
      <c r="I8" s="63">
        <f>'Raw FS '!J41</f>
        <v>11</v>
      </c>
      <c r="J8" s="63">
        <f>'Raw FS '!K41</f>
        <v>13</v>
      </c>
      <c r="K8" s="63">
        <f>'Raw FS '!L41</f>
        <v>31</v>
      </c>
      <c r="L8" s="63">
        <f>'Raw FS '!M41</f>
        <v>10</v>
      </c>
    </row>
    <row r="9" spans="2:12" x14ac:dyDescent="0.3">
      <c r="B9" t="s">
        <v>188</v>
      </c>
      <c r="G9" s="63">
        <f>'Raw FS '!H42</f>
        <v>4952</v>
      </c>
      <c r="H9" s="63">
        <f>'Raw FS '!I42</f>
        <v>4015</v>
      </c>
      <c r="I9" s="63">
        <f>'Raw FS '!J42</f>
        <v>6906</v>
      </c>
      <c r="J9" s="63">
        <f>'Raw FS '!K42</f>
        <v>7941</v>
      </c>
      <c r="K9" s="63">
        <f>'Raw FS '!L42</f>
        <v>4531</v>
      </c>
      <c r="L9" s="63">
        <f>'Raw FS '!M42</f>
        <v>5858</v>
      </c>
    </row>
    <row r="10" spans="2:12" x14ac:dyDescent="0.3">
      <c r="B10" s="60" t="s">
        <v>85</v>
      </c>
      <c r="C10" s="60"/>
      <c r="D10" s="60"/>
      <c r="E10" s="60"/>
      <c r="F10" s="60"/>
      <c r="G10" s="64">
        <f t="shared" ref="G10:L10" si="0">SUM(G6:G9)</f>
        <v>16399</v>
      </c>
      <c r="H10" s="64">
        <f t="shared" si="0"/>
        <v>16921</v>
      </c>
      <c r="I10" s="64">
        <f t="shared" si="0"/>
        <v>20243</v>
      </c>
      <c r="J10" s="64">
        <f t="shared" si="0"/>
        <v>22681</v>
      </c>
      <c r="K10" s="64">
        <f t="shared" si="0"/>
        <v>22741</v>
      </c>
      <c r="L10" s="64">
        <f t="shared" si="0"/>
        <v>26226</v>
      </c>
    </row>
    <row r="11" spans="2:12" x14ac:dyDescent="0.3">
      <c r="G11" s="63"/>
      <c r="H11" s="63"/>
      <c r="I11" s="63"/>
      <c r="J11" s="63"/>
      <c r="K11" s="63"/>
      <c r="L11" s="63"/>
    </row>
    <row r="12" spans="2:12" x14ac:dyDescent="0.3">
      <c r="B12" s="15" t="s">
        <v>228</v>
      </c>
      <c r="G12" s="63"/>
      <c r="H12" s="63"/>
      <c r="I12" s="63"/>
      <c r="J12" s="63"/>
      <c r="K12" s="63"/>
      <c r="L12" s="63"/>
    </row>
    <row r="13" spans="2:12" x14ac:dyDescent="0.3">
      <c r="B13" t="s">
        <v>189</v>
      </c>
      <c r="G13" s="63">
        <f>'Raw FS '!H15</f>
        <v>3630</v>
      </c>
      <c r="H13" s="63">
        <f>'Raw FS '!I15</f>
        <v>4319</v>
      </c>
      <c r="I13" s="63">
        <f>'Raw FS '!J15</f>
        <v>4417</v>
      </c>
      <c r="J13" s="63">
        <f>'Raw FS '!K15</f>
        <v>4659</v>
      </c>
      <c r="K13" s="63">
        <f>'Raw FS '!L15</f>
        <v>4798</v>
      </c>
      <c r="L13" s="63">
        <f>'Raw FS '!M15</f>
        <v>4807</v>
      </c>
    </row>
    <row r="14" spans="2:12" x14ac:dyDescent="0.3">
      <c r="B14" t="s">
        <v>190</v>
      </c>
      <c r="G14" s="63">
        <f>'Raw FS '!H16</f>
        <v>703</v>
      </c>
      <c r="H14" s="63">
        <f>'Raw FS '!I16</f>
        <v>811</v>
      </c>
      <c r="I14" s="63">
        <f>'Raw FS '!J16</f>
        <v>1278</v>
      </c>
      <c r="J14" s="63">
        <f>'Raw FS '!K16</f>
        <v>1295</v>
      </c>
      <c r="K14" s="63">
        <f>'Raw FS '!L16</f>
        <v>886</v>
      </c>
      <c r="L14" s="63">
        <f>'Raw FS '!M16</f>
        <v>1264</v>
      </c>
    </row>
    <row r="15" spans="2:12" x14ac:dyDescent="0.3">
      <c r="B15" t="s">
        <v>191</v>
      </c>
      <c r="G15" s="63">
        <f>'Raw FS '!H17</f>
        <v>7050</v>
      </c>
      <c r="H15" s="63">
        <f>'Raw FS '!I17</f>
        <v>7666</v>
      </c>
      <c r="I15" s="63">
        <f>'Raw FS '!J17</f>
        <v>8429</v>
      </c>
      <c r="J15" s="63">
        <f>'Raw FS '!K17</f>
        <v>10032</v>
      </c>
      <c r="K15" s="63">
        <f>'Raw FS '!L17</f>
        <v>10877</v>
      </c>
      <c r="L15" s="63">
        <f>'Raw FS '!M17</f>
        <v>11249</v>
      </c>
    </row>
    <row r="16" spans="2:12" x14ac:dyDescent="0.3">
      <c r="B16" s="60" t="s">
        <v>229</v>
      </c>
      <c r="C16" s="60"/>
      <c r="D16" s="60"/>
      <c r="E16" s="60"/>
      <c r="F16" s="60"/>
      <c r="G16" s="64">
        <f t="shared" ref="G16:L16" si="1">SUM(G13:G15)</f>
        <v>11383</v>
      </c>
      <c r="H16" s="64">
        <f t="shared" si="1"/>
        <v>12796</v>
      </c>
      <c r="I16" s="64">
        <f t="shared" si="1"/>
        <v>14124</v>
      </c>
      <c r="J16" s="64">
        <f t="shared" si="1"/>
        <v>15986</v>
      </c>
      <c r="K16" s="64">
        <f t="shared" si="1"/>
        <v>16561</v>
      </c>
      <c r="L16" s="64">
        <f t="shared" si="1"/>
        <v>17320</v>
      </c>
    </row>
    <row r="17" spans="2:12" x14ac:dyDescent="0.3">
      <c r="G17" s="63"/>
      <c r="H17" s="63"/>
      <c r="I17" s="63"/>
      <c r="J17" s="63"/>
      <c r="K17" s="63"/>
      <c r="L17" s="63"/>
    </row>
    <row r="18" spans="2:12" ht="15" thickBot="1" x14ac:dyDescent="0.35">
      <c r="B18" s="41" t="s">
        <v>230</v>
      </c>
      <c r="C18" s="41"/>
      <c r="D18" s="41"/>
      <c r="E18" s="41"/>
      <c r="F18" s="41"/>
      <c r="G18" s="65">
        <f t="shared" ref="G18:L18" si="2">G10-G16</f>
        <v>5016</v>
      </c>
      <c r="H18" s="65">
        <f t="shared" si="2"/>
        <v>4125</v>
      </c>
      <c r="I18" s="65">
        <f t="shared" si="2"/>
        <v>6119</v>
      </c>
      <c r="J18" s="65">
        <f t="shared" si="2"/>
        <v>6695</v>
      </c>
      <c r="K18" s="65">
        <f t="shared" si="2"/>
        <v>6180</v>
      </c>
      <c r="L18" s="65">
        <f t="shared" si="2"/>
        <v>8906</v>
      </c>
    </row>
    <row r="19" spans="2:12" ht="15" thickTop="1" x14ac:dyDescent="0.3">
      <c r="G19" s="63"/>
      <c r="H19" s="63"/>
      <c r="I19" s="63"/>
      <c r="J19" s="63"/>
      <c r="K19" s="63"/>
      <c r="L19" s="63"/>
    </row>
    <row r="20" spans="2:12" x14ac:dyDescent="0.3">
      <c r="B20" s="15" t="s">
        <v>231</v>
      </c>
      <c r="G20" s="63"/>
      <c r="H20" s="63"/>
      <c r="I20" s="63"/>
      <c r="J20" s="63"/>
      <c r="K20" s="63"/>
      <c r="L20" s="63"/>
    </row>
    <row r="21" spans="2:12" x14ac:dyDescent="0.3">
      <c r="B21" t="s">
        <v>192</v>
      </c>
      <c r="G21" s="63">
        <f>'Raw FS '!H21</f>
        <v>2797</v>
      </c>
      <c r="H21" s="63">
        <f>'Raw FS '!I21</f>
        <v>2889</v>
      </c>
      <c r="I21" s="63">
        <f>'Raw FS '!J21</f>
        <v>2829</v>
      </c>
      <c r="J21" s="63">
        <f>'Raw FS '!K21</f>
        <v>2830</v>
      </c>
      <c r="K21" s="63">
        <f>'Raw FS '!L21</f>
        <v>2865</v>
      </c>
      <c r="L21" s="63">
        <f>'Raw FS '!M21</f>
        <v>1588</v>
      </c>
    </row>
    <row r="22" spans="2:12" x14ac:dyDescent="0.3">
      <c r="B22" t="s">
        <v>193</v>
      </c>
      <c r="G22" s="63">
        <f>'Raw FS '!H22</f>
        <v>8161</v>
      </c>
      <c r="H22" s="63">
        <f>'Raw FS '!I22</f>
        <v>8387</v>
      </c>
      <c r="I22" s="63">
        <f>'Raw FS '!J22</f>
        <v>9100</v>
      </c>
      <c r="J22" s="63">
        <f>'Raw FS '!K22</f>
        <v>9789</v>
      </c>
      <c r="K22" s="63">
        <f>'Raw FS '!L22</f>
        <v>10944</v>
      </c>
      <c r="L22" s="63">
        <f>'Raw FS '!M22</f>
        <v>7550</v>
      </c>
    </row>
    <row r="23" spans="2:12" x14ac:dyDescent="0.3">
      <c r="B23" t="s">
        <v>194</v>
      </c>
      <c r="G23" s="63">
        <f>'Raw FS '!H23</f>
        <v>14625</v>
      </c>
      <c r="H23" s="63">
        <f>'Raw FS '!I23</f>
        <v>15307</v>
      </c>
      <c r="I23" s="63">
        <f>'Raw FS '!J23</f>
        <v>16912</v>
      </c>
      <c r="J23" s="63">
        <f>'Raw FS '!K23</f>
        <v>18480</v>
      </c>
      <c r="K23" s="63">
        <f>'Raw FS '!L23</f>
        <v>20718</v>
      </c>
      <c r="L23" s="63">
        <f>'Raw FS '!M23</f>
        <v>19423</v>
      </c>
    </row>
    <row r="24" spans="2:12" x14ac:dyDescent="0.3">
      <c r="B24" t="s">
        <v>195</v>
      </c>
      <c r="G24" s="63">
        <f>'Raw FS '!H24</f>
        <v>40</v>
      </c>
      <c r="H24" s="63">
        <f>'Raw FS '!I24</f>
        <v>41</v>
      </c>
      <c r="I24" s="63">
        <f>'Raw FS '!J24</f>
        <v>44</v>
      </c>
      <c r="J24" s="63">
        <f>'Raw FS '!K24</f>
        <v>44</v>
      </c>
      <c r="K24" s="63">
        <f>'Raw FS '!L24</f>
        <v>53</v>
      </c>
      <c r="L24" s="63">
        <f>'Raw FS '!M24</f>
        <v>63</v>
      </c>
    </row>
    <row r="25" spans="2:12" x14ac:dyDescent="0.3">
      <c r="B25" t="s">
        <v>196</v>
      </c>
      <c r="G25" s="63">
        <f>'Raw FS '!H25</f>
        <v>810</v>
      </c>
      <c r="H25" s="63">
        <f>'Raw FS '!I25</f>
        <v>833</v>
      </c>
      <c r="I25" s="63">
        <f>'Raw FS '!J25</f>
        <v>907</v>
      </c>
      <c r="J25" s="63">
        <f>'Raw FS '!K25</f>
        <v>1000</v>
      </c>
      <c r="K25" s="63">
        <f>'Raw FS '!L25</f>
        <v>1068</v>
      </c>
      <c r="L25" s="63">
        <f>'Raw FS '!M25</f>
        <v>282</v>
      </c>
    </row>
    <row r="26" spans="2:12" x14ac:dyDescent="0.3">
      <c r="B26" t="s">
        <v>222</v>
      </c>
      <c r="G26" s="63">
        <f>'Raw FS '!H26</f>
        <v>2</v>
      </c>
      <c r="H26" s="63">
        <f>'Raw FS '!I26</f>
        <v>2</v>
      </c>
      <c r="I26" s="63">
        <f>'Raw FS '!J26</f>
        <v>2</v>
      </c>
      <c r="J26" s="63">
        <f>'Raw FS '!K26</f>
        <v>2</v>
      </c>
      <c r="K26" s="63">
        <f>'Raw FS '!L26</f>
        <v>2</v>
      </c>
      <c r="L26" s="63">
        <f>'Raw FS '!M26</f>
        <v>2</v>
      </c>
    </row>
    <row r="27" spans="2:12" x14ac:dyDescent="0.3">
      <c r="B27" t="s">
        <v>197</v>
      </c>
      <c r="G27" s="63">
        <f>'Raw FS '!H27</f>
        <v>184</v>
      </c>
      <c r="H27" s="63">
        <f>'Raw FS '!I27</f>
        <v>180</v>
      </c>
      <c r="I27" s="63">
        <f>'Raw FS '!J27</f>
        <v>179</v>
      </c>
      <c r="J27" s="63">
        <f>'Raw FS '!K27</f>
        <v>189</v>
      </c>
      <c r="K27" s="63">
        <f>'Raw FS '!L27</f>
        <v>192</v>
      </c>
      <c r="L27" s="63">
        <f>'Raw FS '!M27</f>
        <v>141</v>
      </c>
    </row>
    <row r="28" spans="2:12" x14ac:dyDescent="0.3">
      <c r="B28" t="s">
        <v>198</v>
      </c>
      <c r="G28" s="63">
        <f>'Raw FS '!H28</f>
        <v>684</v>
      </c>
      <c r="H28" s="63">
        <f>'Raw FS '!I28</f>
        <v>2734</v>
      </c>
      <c r="I28" s="63">
        <f>'Raw FS '!J28</f>
        <v>2744</v>
      </c>
      <c r="J28" s="63">
        <f>'Raw FS '!K28</f>
        <v>3490</v>
      </c>
      <c r="K28" s="63">
        <f>'Raw FS '!L28</f>
        <v>3505</v>
      </c>
      <c r="L28" s="63">
        <f>'Raw FS '!M28</f>
        <v>3622</v>
      </c>
    </row>
    <row r="29" spans="2:12" x14ac:dyDescent="0.3">
      <c r="B29" t="s">
        <v>199</v>
      </c>
      <c r="G29" s="63">
        <f>'Raw FS '!H29</f>
        <v>663</v>
      </c>
      <c r="H29" s="63">
        <f>'Raw FS '!I29</f>
        <v>716</v>
      </c>
      <c r="I29" s="63">
        <f>'Raw FS '!J29</f>
        <v>719</v>
      </c>
      <c r="J29" s="63">
        <f>'Raw FS '!K29</f>
        <v>786</v>
      </c>
      <c r="K29" s="63">
        <f>'Raw FS '!L29</f>
        <v>841</v>
      </c>
      <c r="L29" s="63">
        <f>'Raw FS '!M29</f>
        <v>967</v>
      </c>
    </row>
    <row r="30" spans="2:12" x14ac:dyDescent="0.3">
      <c r="B30" s="15" t="s">
        <v>232</v>
      </c>
      <c r="G30" s="63">
        <f t="shared" ref="G30:L30" si="3">SUM(G21:G29)</f>
        <v>27966</v>
      </c>
      <c r="H30" s="63">
        <f t="shared" si="3"/>
        <v>31089</v>
      </c>
      <c r="I30" s="63">
        <f t="shared" si="3"/>
        <v>33436</v>
      </c>
      <c r="J30" s="63">
        <f t="shared" si="3"/>
        <v>36610</v>
      </c>
      <c r="K30" s="63">
        <f t="shared" si="3"/>
        <v>40188</v>
      </c>
      <c r="L30" s="63">
        <f t="shared" si="3"/>
        <v>33638</v>
      </c>
    </row>
    <row r="31" spans="2:12" x14ac:dyDescent="0.3">
      <c r="B31" t="s">
        <v>233</v>
      </c>
      <c r="G31" s="63">
        <f xml:space="preserve"> -'Raw FS '!H31</f>
        <v>-6252</v>
      </c>
      <c r="H31" s="63">
        <f xml:space="preserve"> -'Raw FS '!I31</f>
        <v>-7790</v>
      </c>
      <c r="I31" s="63">
        <f xml:space="preserve"> -'Raw FS '!J31</f>
        <v>-9204</v>
      </c>
      <c r="J31" s="63">
        <f xml:space="preserve"> -'Raw FS '!K31</f>
        <v>-10757</v>
      </c>
      <c r="K31" s="63">
        <f xml:space="preserve"> -'Raw FS '!L31</f>
        <v>-12368</v>
      </c>
      <c r="L31" s="63">
        <f xml:space="preserve"> -'Raw FS '!M31</f>
        <v>-11683</v>
      </c>
    </row>
    <row r="32" spans="2:12" x14ac:dyDescent="0.3">
      <c r="B32" s="60" t="s">
        <v>234</v>
      </c>
      <c r="C32" s="60"/>
      <c r="D32" s="60"/>
      <c r="E32" s="60"/>
      <c r="F32" s="60"/>
      <c r="G32" s="64">
        <f t="shared" ref="G32:L32" si="4">SUM(G30:G31)</f>
        <v>21714</v>
      </c>
      <c r="H32" s="64">
        <f t="shared" si="4"/>
        <v>23299</v>
      </c>
      <c r="I32" s="64">
        <f t="shared" si="4"/>
        <v>24232</v>
      </c>
      <c r="J32" s="64">
        <f t="shared" si="4"/>
        <v>25853</v>
      </c>
      <c r="K32" s="64">
        <f t="shared" si="4"/>
        <v>27820</v>
      </c>
      <c r="L32" s="64">
        <f t="shared" si="4"/>
        <v>21955</v>
      </c>
    </row>
    <row r="33" spans="2:12" x14ac:dyDescent="0.3">
      <c r="G33" s="63"/>
      <c r="H33" s="63"/>
      <c r="I33" s="63"/>
      <c r="J33" s="63"/>
      <c r="K33" s="63"/>
      <c r="L33" s="63"/>
    </row>
    <row r="34" spans="2:12" x14ac:dyDescent="0.3">
      <c r="B34" s="15" t="s">
        <v>235</v>
      </c>
      <c r="G34" s="66">
        <f>G32+G18</f>
        <v>26730</v>
      </c>
      <c r="H34" s="66">
        <f t="shared" ref="H34:L34" si="5">H32+H18</f>
        <v>27424</v>
      </c>
      <c r="I34" s="66">
        <f t="shared" si="5"/>
        <v>30351</v>
      </c>
      <c r="J34" s="66">
        <f t="shared" si="5"/>
        <v>32548</v>
      </c>
      <c r="K34" s="66">
        <f t="shared" si="5"/>
        <v>34000</v>
      </c>
      <c r="L34" s="66">
        <f t="shared" si="5"/>
        <v>30861</v>
      </c>
    </row>
    <row r="35" spans="2:12" x14ac:dyDescent="0.3">
      <c r="B35" s="15" t="s">
        <v>236</v>
      </c>
      <c r="G35" s="66">
        <f>HistoricalFS!C18-HistoricalFS!C24</f>
        <v>14316.720000000001</v>
      </c>
      <c r="H35" s="66">
        <f>HistoricalFS!D18-HistoricalFS!D24</f>
        <v>15284.310000000003</v>
      </c>
      <c r="I35" s="66">
        <f>HistoricalFS!E18-HistoricalFS!E24</f>
        <v>17140.78</v>
      </c>
      <c r="J35" s="66">
        <f>HistoricalFS!F18-HistoricalFS!F24</f>
        <v>17698.63</v>
      </c>
      <c r="K35" s="66">
        <f>HistoricalFS!G18-HistoricalFS!G24</f>
        <v>15419.189999999999</v>
      </c>
      <c r="L35" s="66">
        <f>HistoricalFS!H18-HistoricalFS!H24</f>
        <v>18890.739999999994</v>
      </c>
    </row>
    <row r="37" spans="2:12" ht="15" thickBot="1" x14ac:dyDescent="0.35">
      <c r="B37" s="41" t="s">
        <v>237</v>
      </c>
      <c r="C37" s="41"/>
      <c r="D37" s="41"/>
      <c r="E37" s="41"/>
      <c r="F37" s="41"/>
      <c r="G37" s="62">
        <f t="shared" ref="G37:L37" si="6">G35/G34</f>
        <v>0.53560493827160494</v>
      </c>
      <c r="H37" s="62">
        <f t="shared" si="6"/>
        <v>0.55733335764294056</v>
      </c>
      <c r="I37" s="62">
        <f t="shared" si="6"/>
        <v>0.56475173799874789</v>
      </c>
      <c r="J37" s="62">
        <f t="shared" si="6"/>
        <v>0.5437701241243702</v>
      </c>
      <c r="K37" s="62">
        <f t="shared" si="6"/>
        <v>0.45350558823529408</v>
      </c>
      <c r="L37" s="62">
        <f t="shared" si="6"/>
        <v>0.61212339198340926</v>
      </c>
    </row>
    <row r="38" spans="2:12" ht="15" thickTop="1" x14ac:dyDescent="0.3"/>
    <row r="39" spans="2:12" x14ac:dyDescent="0.3">
      <c r="B39" s="59" t="s">
        <v>204</v>
      </c>
      <c r="C39" s="59"/>
      <c r="D39" s="59"/>
      <c r="E39" s="59"/>
      <c r="F39" s="59"/>
      <c r="G39" s="59">
        <v>43891</v>
      </c>
      <c r="H39" s="59">
        <v>44256</v>
      </c>
      <c r="I39" s="59">
        <v>44621</v>
      </c>
      <c r="J39" s="59">
        <v>44986</v>
      </c>
      <c r="K39" s="59">
        <v>45352</v>
      </c>
      <c r="L39" s="59">
        <v>45717</v>
      </c>
    </row>
    <row r="41" spans="2:12" x14ac:dyDescent="0.3">
      <c r="B41" t="s">
        <v>205</v>
      </c>
      <c r="G41" s="63">
        <f>-SUM('Raw FS '!H56:H57)</f>
        <v>2414</v>
      </c>
      <c r="H41" s="63">
        <f>-SUM('Raw FS '!I56:I57)</f>
        <v>1834</v>
      </c>
      <c r="I41" s="63">
        <f>-SUM('Raw FS '!J56:J57)</f>
        <v>2009</v>
      </c>
      <c r="J41" s="63">
        <f>-SUM('Raw FS '!K56:K57)</f>
        <v>2694</v>
      </c>
      <c r="K41" s="63">
        <f>-SUM('Raw FS '!L56:L57)</f>
        <v>3456</v>
      </c>
      <c r="L41" s="63">
        <f>-SUM('Raw FS '!M56:M57)</f>
        <v>2104</v>
      </c>
    </row>
    <row r="42" spans="2:12" x14ac:dyDescent="0.3">
      <c r="B42" t="s">
        <v>206</v>
      </c>
      <c r="G42" s="63"/>
      <c r="H42" s="63">
        <f>H18-G18</f>
        <v>-891</v>
      </c>
      <c r="I42" s="63">
        <f>I18-H18</f>
        <v>1994</v>
      </c>
      <c r="J42" s="63">
        <f>J18-I18</f>
        <v>576</v>
      </c>
      <c r="K42" s="63">
        <f>K18-J18</f>
        <v>-515</v>
      </c>
      <c r="L42" s="63">
        <f>L18-K18</f>
        <v>2726</v>
      </c>
    </row>
    <row r="43" spans="2:12" x14ac:dyDescent="0.3">
      <c r="G43" s="63"/>
      <c r="H43" s="63"/>
      <c r="I43" s="63"/>
      <c r="J43" s="63"/>
      <c r="K43" s="63"/>
      <c r="L43" s="63"/>
    </row>
    <row r="44" spans="2:12" x14ac:dyDescent="0.3">
      <c r="B44" t="s">
        <v>202</v>
      </c>
      <c r="G44" s="63">
        <f t="shared" ref="G44:L44" si="7">G35</f>
        <v>14316.720000000001</v>
      </c>
      <c r="H44" s="63">
        <f t="shared" si="7"/>
        <v>15284.310000000003</v>
      </c>
      <c r="I44" s="63">
        <f t="shared" si="7"/>
        <v>17140.78</v>
      </c>
      <c r="J44" s="63">
        <f t="shared" si="7"/>
        <v>17698.63</v>
      </c>
      <c r="K44" s="63">
        <f t="shared" si="7"/>
        <v>15419.189999999999</v>
      </c>
      <c r="L44" s="63">
        <f t="shared" si="7"/>
        <v>18890.739999999994</v>
      </c>
    </row>
    <row r="45" spans="2:12" x14ac:dyDescent="0.3">
      <c r="B45" t="s">
        <v>207</v>
      </c>
      <c r="G45" s="37">
        <v>0.25</v>
      </c>
      <c r="H45" s="37">
        <v>0.25</v>
      </c>
      <c r="I45" s="37">
        <v>0.25</v>
      </c>
      <c r="J45" s="37">
        <v>0.25</v>
      </c>
      <c r="K45" s="37">
        <v>0.25</v>
      </c>
      <c r="L45" s="37">
        <v>0.25</v>
      </c>
    </row>
    <row r="46" spans="2:12" x14ac:dyDescent="0.3">
      <c r="B46" t="s">
        <v>208</v>
      </c>
      <c r="G46" s="63">
        <f t="shared" ref="G46:L46" si="8">G44*(1-G45)</f>
        <v>10737.54</v>
      </c>
      <c r="H46" s="63">
        <f t="shared" si="8"/>
        <v>11463.232500000002</v>
      </c>
      <c r="I46" s="63">
        <f t="shared" si="8"/>
        <v>12855.584999999999</v>
      </c>
      <c r="J46" s="63">
        <f t="shared" si="8"/>
        <v>13273.9725</v>
      </c>
      <c r="K46" s="63">
        <f t="shared" si="8"/>
        <v>11564.392499999998</v>
      </c>
      <c r="L46" s="63">
        <f t="shared" si="8"/>
        <v>14168.054999999997</v>
      </c>
    </row>
    <row r="47" spans="2:12" x14ac:dyDescent="0.3">
      <c r="G47" s="63"/>
      <c r="H47" s="63"/>
      <c r="I47" s="63"/>
      <c r="J47" s="63"/>
      <c r="K47" s="63"/>
      <c r="L47" s="63"/>
    </row>
    <row r="48" spans="2:12" x14ac:dyDescent="0.3">
      <c r="B48" t="s">
        <v>209</v>
      </c>
      <c r="G48" s="63"/>
      <c r="H48" s="63">
        <f>SUM(H41:H42)</f>
        <v>943</v>
      </c>
      <c r="I48" s="63">
        <f>SUM(I41:I42)</f>
        <v>4003</v>
      </c>
      <c r="J48" s="63">
        <f>SUM(J41:J42)</f>
        <v>3270</v>
      </c>
      <c r="K48" s="63">
        <f>SUM(K41:K42)</f>
        <v>2941</v>
      </c>
      <c r="L48" s="63">
        <f>SUM(L41:L42)</f>
        <v>4830</v>
      </c>
    </row>
    <row r="50" spans="2:12" x14ac:dyDescent="0.3">
      <c r="B50" s="60" t="s">
        <v>210</v>
      </c>
      <c r="C50" s="60"/>
      <c r="D50" s="60"/>
      <c r="E50" s="60"/>
      <c r="F50" s="60"/>
      <c r="G50" s="60"/>
      <c r="H50" s="67">
        <f>H48/H46</f>
        <v>8.2263009146852764E-2</v>
      </c>
      <c r="I50" s="67">
        <f>I48/I46</f>
        <v>0.31138217358447712</v>
      </c>
      <c r="J50" s="67">
        <f>J48/J46</f>
        <v>0.24634675113271479</v>
      </c>
      <c r="K50" s="67">
        <f>K48/K46</f>
        <v>0.25431513155576485</v>
      </c>
      <c r="L50" s="67">
        <f>L48/L46</f>
        <v>0.34090776750937241</v>
      </c>
    </row>
    <row r="52" spans="2:12" x14ac:dyDescent="0.3">
      <c r="J52" t="s">
        <v>250</v>
      </c>
      <c r="K52" s="37">
        <f>AVERAGE(I50:L50)</f>
        <v>0.28823795594558227</v>
      </c>
    </row>
    <row r="53" spans="2:12" x14ac:dyDescent="0.3">
      <c r="J53" t="s">
        <v>249</v>
      </c>
      <c r="K53" s="37">
        <f>MEDIAN(I50:L50)</f>
        <v>0.28284865257012098</v>
      </c>
    </row>
    <row r="55" spans="2:12" x14ac:dyDescent="0.3">
      <c r="B55" s="59" t="s">
        <v>211</v>
      </c>
      <c r="C55" s="59"/>
      <c r="D55" s="59"/>
      <c r="E55" s="59"/>
      <c r="F55" s="59"/>
      <c r="G55" s="59">
        <v>43891</v>
      </c>
      <c r="H55" s="59">
        <v>44256</v>
      </c>
      <c r="I55" s="59">
        <v>44621</v>
      </c>
      <c r="J55" s="59">
        <v>44986</v>
      </c>
      <c r="K55" s="59">
        <v>45352</v>
      </c>
      <c r="L55" s="59">
        <v>45717</v>
      </c>
    </row>
    <row r="57" spans="2:12" x14ac:dyDescent="0.3">
      <c r="B57" t="s">
        <v>210</v>
      </c>
      <c r="H57" s="37">
        <f>H50</f>
        <v>8.2263009146852764E-2</v>
      </c>
      <c r="I57" s="37">
        <f>I50</f>
        <v>0.31138217358447712</v>
      </c>
      <c r="J57" s="37">
        <f>J50</f>
        <v>0.24634675113271479</v>
      </c>
      <c r="K57" s="37">
        <f>K50</f>
        <v>0.25431513155576485</v>
      </c>
      <c r="L57" s="37">
        <f>L50</f>
        <v>0.34090776750937241</v>
      </c>
    </row>
    <row r="58" spans="2:12" x14ac:dyDescent="0.3">
      <c r="B58" t="s">
        <v>203</v>
      </c>
      <c r="H58" s="37">
        <f>G37</f>
        <v>0.53560493827160494</v>
      </c>
      <c r="I58" s="37">
        <f>H37</f>
        <v>0.55733335764294056</v>
      </c>
      <c r="J58" s="37">
        <f>I37</f>
        <v>0.56475173799874789</v>
      </c>
      <c r="K58" s="37">
        <f>J37</f>
        <v>0.5437701241243702</v>
      </c>
      <c r="L58" s="37">
        <f>K37</f>
        <v>0.45350558823529408</v>
      </c>
    </row>
    <row r="60" spans="2:12" ht="15" thickBot="1" x14ac:dyDescent="0.35">
      <c r="B60" s="41" t="s">
        <v>212</v>
      </c>
      <c r="C60" s="41"/>
      <c r="D60" s="41"/>
      <c r="E60" s="41"/>
      <c r="F60" s="41"/>
      <c r="G60" s="41"/>
      <c r="H60" s="68">
        <f>H57*H58</f>
        <v>4.4060473936136546E-2</v>
      </c>
      <c r="I60" s="68">
        <f>I57*I58</f>
        <v>0.17354367231399359</v>
      </c>
      <c r="J60" s="68">
        <f>J57*J58</f>
        <v>0.13912475585254569</v>
      </c>
      <c r="K60" s="68">
        <f>K57*K58</f>
        <v>0.13828897065278378</v>
      </c>
      <c r="L60" s="68">
        <f>L57*L58</f>
        <v>0.15460357763831881</v>
      </c>
    </row>
    <row r="61" spans="2:12" ht="15" thickTop="1" x14ac:dyDescent="0.3"/>
    <row r="62" spans="2:12" x14ac:dyDescent="0.3">
      <c r="J62" t="s">
        <v>250</v>
      </c>
      <c r="K62" s="37">
        <f>AVERAGE(I60:L60)</f>
        <v>0.15139024411441046</v>
      </c>
    </row>
    <row r="63" spans="2:12" x14ac:dyDescent="0.3">
      <c r="J63" t="s">
        <v>249</v>
      </c>
      <c r="K63" s="37">
        <f>MEDIAN(I60:L60)</f>
        <v>0.14686416674543223</v>
      </c>
    </row>
  </sheetData>
  <pageMargins left="0.7" right="0.7" top="0.75" bottom="0.75" header="0.3" footer="0.3"/>
  <ignoredErrors>
    <ignoredError sqref="G41:L4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2AE2-9BF3-4E3B-9364-2E3ECBC3193D}">
  <dimension ref="B2:J41"/>
  <sheetViews>
    <sheetView showGridLines="0" topLeftCell="D1" zoomScale="73" workbookViewId="0">
      <pane ySplit="2" topLeftCell="A18" activePane="bottomLeft" state="frozen"/>
      <selection pane="bottomLeft" activeCell="K38" sqref="K38"/>
    </sheetView>
  </sheetViews>
  <sheetFormatPr defaultRowHeight="14.4" x14ac:dyDescent="0.3"/>
  <cols>
    <col min="1" max="1" width="1.88671875" customWidth="1"/>
    <col min="2" max="2" width="18.5546875" customWidth="1"/>
    <col min="3" max="3" width="15.5546875" customWidth="1"/>
    <col min="7" max="7" width="8.88671875" customWidth="1"/>
    <col min="9" max="9" width="15.109375" customWidth="1"/>
    <col min="10" max="10" width="21.21875" bestFit="1" customWidth="1"/>
  </cols>
  <sheetData>
    <row r="2" spans="2:10" ht="23.4" x14ac:dyDescent="0.45">
      <c r="B2" s="31" t="s">
        <v>125</v>
      </c>
      <c r="C2" s="30"/>
      <c r="D2" s="30"/>
      <c r="E2" s="30"/>
      <c r="F2" s="30"/>
      <c r="G2" s="30"/>
      <c r="H2" s="30"/>
      <c r="I2" s="30"/>
      <c r="J2" s="30"/>
    </row>
    <row r="4" spans="2:10" x14ac:dyDescent="0.3">
      <c r="B4" s="15" t="s">
        <v>126</v>
      </c>
    </row>
    <row r="5" spans="2:10" x14ac:dyDescent="0.3">
      <c r="B5" s="33"/>
      <c r="C5" s="33"/>
      <c r="D5" s="33"/>
      <c r="E5" s="33"/>
      <c r="F5" s="35"/>
      <c r="G5" s="35" t="s">
        <v>127</v>
      </c>
      <c r="H5" s="35" t="s">
        <v>127</v>
      </c>
      <c r="I5" s="35" t="s">
        <v>128</v>
      </c>
      <c r="J5" s="35" t="s">
        <v>129</v>
      </c>
    </row>
    <row r="6" spans="2:10" ht="16.2" x14ac:dyDescent="0.3">
      <c r="B6" s="34" t="s">
        <v>130</v>
      </c>
      <c r="C6" s="34" t="s">
        <v>131</v>
      </c>
      <c r="D6" s="36" t="s">
        <v>132</v>
      </c>
      <c r="E6" s="36" t="s">
        <v>133</v>
      </c>
      <c r="F6" s="36" t="s">
        <v>134</v>
      </c>
      <c r="G6" s="36" t="s">
        <v>135</v>
      </c>
      <c r="H6" s="36" t="s">
        <v>136</v>
      </c>
      <c r="I6" s="36" t="s">
        <v>137</v>
      </c>
      <c r="J6" s="36" t="s">
        <v>138</v>
      </c>
    </row>
    <row r="8" spans="2:10" x14ac:dyDescent="0.3">
      <c r="B8" s="39" t="s">
        <v>139</v>
      </c>
      <c r="C8" s="39" t="s">
        <v>144</v>
      </c>
      <c r="D8" s="39">
        <v>2185.1999999999998</v>
      </c>
      <c r="E8" s="39">
        <v>513432.69</v>
      </c>
      <c r="F8" s="40">
        <v>0.25</v>
      </c>
      <c r="G8" s="17">
        <f>D8/E8</f>
        <v>4.2560593483052271E-3</v>
      </c>
      <c r="H8" s="17">
        <f>D8/(E8+D8)</f>
        <v>4.2380220748353004E-3</v>
      </c>
      <c r="I8" s="50">
        <v>0.56399999999999995</v>
      </c>
      <c r="J8" s="52">
        <f>I8/(1+(1-F8)*G8)</f>
        <v>0.5622054152899405</v>
      </c>
    </row>
    <row r="9" spans="2:10" x14ac:dyDescent="0.3">
      <c r="B9" s="39" t="s">
        <v>140</v>
      </c>
      <c r="C9" s="39" t="s">
        <v>144</v>
      </c>
      <c r="D9" s="39">
        <v>289.85000000000002</v>
      </c>
      <c r="E9" s="39">
        <v>363166.62</v>
      </c>
      <c r="F9" s="40">
        <v>0.25</v>
      </c>
      <c r="G9" s="17">
        <f>D9/E9</f>
        <v>7.9811850549480574E-4</v>
      </c>
      <c r="H9" s="17">
        <f>D9/(E9+D9)</f>
        <v>7.9748202033657581E-4</v>
      </c>
      <c r="I9" s="50">
        <v>0.49099999999999999</v>
      </c>
      <c r="J9" s="52">
        <f>I9/(1+(1-F9)*G9)</f>
        <v>0.49070626868465034</v>
      </c>
    </row>
    <row r="10" spans="2:10" x14ac:dyDescent="0.3">
      <c r="B10" s="39" t="s">
        <v>141</v>
      </c>
      <c r="C10" s="39" t="s">
        <v>144</v>
      </c>
      <c r="D10" s="39">
        <v>560</v>
      </c>
      <c r="E10" s="39">
        <v>6785.09</v>
      </c>
      <c r="F10" s="40">
        <v>0.25</v>
      </c>
      <c r="G10" s="17">
        <f>D10/E10</f>
        <v>8.2533908909093318E-2</v>
      </c>
      <c r="H10" s="17">
        <f>D10/(E10+D10)</f>
        <v>7.6241407525299218E-2</v>
      </c>
      <c r="I10" s="50">
        <v>0.97699999999999998</v>
      </c>
      <c r="J10" s="52">
        <f>I10/(1+(1-F10)*G10)</f>
        <v>0.92004859481283374</v>
      </c>
    </row>
    <row r="11" spans="2:10" x14ac:dyDescent="0.3">
      <c r="B11" s="39" t="s">
        <v>142</v>
      </c>
      <c r="C11" s="39" t="s">
        <v>144</v>
      </c>
      <c r="D11" s="39">
        <v>294.64999999999998</v>
      </c>
      <c r="E11" s="39">
        <v>1507.92</v>
      </c>
      <c r="F11" s="40">
        <v>0.25</v>
      </c>
      <c r="G11" s="17">
        <f>D11/E11</f>
        <v>0.19540161281765608</v>
      </c>
      <c r="H11" s="17">
        <f>D11/(E11+D11)</f>
        <v>0.16346105837776062</v>
      </c>
      <c r="I11" s="50">
        <v>0.45200000000000001</v>
      </c>
      <c r="J11" s="52">
        <f>I11/(1+(1-F11)*G11)</f>
        <v>0.39422574082187745</v>
      </c>
    </row>
    <row r="12" spans="2:10" x14ac:dyDescent="0.3">
      <c r="B12" s="39" t="s">
        <v>143</v>
      </c>
      <c r="C12" s="39" t="s">
        <v>144</v>
      </c>
      <c r="D12" s="39">
        <v>3.61</v>
      </c>
      <c r="E12" s="39">
        <v>516.23</v>
      </c>
      <c r="F12" s="40">
        <v>0.25</v>
      </c>
      <c r="G12" s="17">
        <f>D12/E12</f>
        <v>6.9930069930069921E-3</v>
      </c>
      <c r="H12" s="17">
        <f>D12/(E12+D12)</f>
        <v>6.9444444444444441E-3</v>
      </c>
      <c r="I12" s="50">
        <v>0.5</v>
      </c>
      <c r="J12" s="52">
        <f>I12/(1+(1-F12)*G12)</f>
        <v>0.49739130434782608</v>
      </c>
    </row>
    <row r="14" spans="2:10" x14ac:dyDescent="0.3">
      <c r="E14" s="46" t="s">
        <v>145</v>
      </c>
      <c r="F14" s="47">
        <f>AVERAGE(F8:F12)</f>
        <v>0.25</v>
      </c>
      <c r="G14" s="47">
        <f>AVERAGE(G8:G12)</f>
        <v>5.7996541314711283E-2</v>
      </c>
      <c r="H14" s="47">
        <f>AVERAGE(H8:H12)</f>
        <v>5.0336482888535226E-2</v>
      </c>
      <c r="I14" s="53">
        <f>AVERAGE(I8:I12)</f>
        <v>0.5968</v>
      </c>
      <c r="J14" s="53">
        <f>AVERAGE(J8:J12)</f>
        <v>0.57291546479142563</v>
      </c>
    </row>
    <row r="15" spans="2:10" x14ac:dyDescent="0.3">
      <c r="E15" s="38" t="s">
        <v>146</v>
      </c>
      <c r="F15" s="48">
        <f>AVERAGE(F9:F13)</f>
        <v>0.25</v>
      </c>
      <c r="G15" s="48">
        <f>AVERAGE(G9:G13)</f>
        <v>7.1431661806312802E-2</v>
      </c>
      <c r="H15" s="48">
        <f>AVERAGE(H9:H13)</f>
        <v>6.1861098091960214E-2</v>
      </c>
      <c r="I15" s="54">
        <f>MEDIAN(I8:I12)</f>
        <v>0.5</v>
      </c>
      <c r="J15" s="54">
        <f>MEDIAN(J8:J12)</f>
        <v>0.49739130434782608</v>
      </c>
    </row>
    <row r="18" spans="2:10" x14ac:dyDescent="0.3">
      <c r="B18" s="38" t="s">
        <v>147</v>
      </c>
      <c r="C18" s="38"/>
      <c r="D18" s="38"/>
      <c r="G18" s="38" t="s">
        <v>151</v>
      </c>
      <c r="H18" s="38"/>
      <c r="I18" s="38"/>
      <c r="J18" s="38"/>
    </row>
    <row r="20" spans="2:10" x14ac:dyDescent="0.3">
      <c r="B20" t="s">
        <v>148</v>
      </c>
      <c r="D20" s="17">
        <f>29/D9</f>
        <v>0.10005175090564083</v>
      </c>
      <c r="G20" t="s">
        <v>152</v>
      </c>
      <c r="J20" s="17">
        <v>6.6400000000000001E-2</v>
      </c>
    </row>
    <row r="21" spans="2:10" x14ac:dyDescent="0.3">
      <c r="B21" t="s">
        <v>149</v>
      </c>
      <c r="D21" s="37">
        <f>F12</f>
        <v>0.25</v>
      </c>
      <c r="G21" t="s">
        <v>153</v>
      </c>
      <c r="J21" s="17">
        <f>-IFERROR(WACC!F7-WACC!J20,0)</f>
        <v>6.6400000000000001E-2</v>
      </c>
    </row>
    <row r="22" spans="2:10" ht="16.2" x14ac:dyDescent="0.3">
      <c r="B22" s="42" t="s">
        <v>150</v>
      </c>
      <c r="C22" s="42"/>
      <c r="D22" s="45">
        <f>D20*(1-D21)</f>
        <v>7.5038813179230626E-2</v>
      </c>
      <c r="G22" t="s">
        <v>154</v>
      </c>
      <c r="J22" s="52">
        <f>J31</f>
        <v>0.52035855706825185</v>
      </c>
    </row>
    <row r="23" spans="2:10" x14ac:dyDescent="0.3">
      <c r="G23" s="42" t="s">
        <v>151</v>
      </c>
      <c r="H23" s="42"/>
      <c r="I23" s="42"/>
      <c r="J23" s="45">
        <f>J20+(J21*J22)</f>
        <v>0.10095180818933192</v>
      </c>
    </row>
    <row r="26" spans="2:10" x14ac:dyDescent="0.3">
      <c r="B26" s="38" t="s">
        <v>155</v>
      </c>
      <c r="C26" s="38"/>
      <c r="D26" s="38"/>
      <c r="E26" s="38"/>
      <c r="G26" s="38" t="s">
        <v>156</v>
      </c>
      <c r="H26" s="38"/>
      <c r="I26" s="38"/>
      <c r="J26" s="38"/>
    </row>
    <row r="28" spans="2:10" x14ac:dyDescent="0.3">
      <c r="C28" s="38"/>
      <c r="D28" s="38" t="s">
        <v>157</v>
      </c>
      <c r="E28" s="38" t="s">
        <v>158</v>
      </c>
      <c r="G28" t="s">
        <v>159</v>
      </c>
      <c r="J28" s="52">
        <f>J15</f>
        <v>0.49739130434782608</v>
      </c>
    </row>
    <row r="29" spans="2:10" x14ac:dyDescent="0.3">
      <c r="B29" t="s">
        <v>132</v>
      </c>
      <c r="C29">
        <f>D9</f>
        <v>289.85000000000002</v>
      </c>
      <c r="D29" s="37">
        <f>C29/C31</f>
        <v>7.9748202033657581E-4</v>
      </c>
      <c r="E29" s="40">
        <f>G14</f>
        <v>5.7996541314711283E-2</v>
      </c>
      <c r="G29" t="s">
        <v>160</v>
      </c>
      <c r="J29" s="37">
        <f>E33</f>
        <v>6.1567227572236746E-2</v>
      </c>
    </row>
    <row r="30" spans="2:10" x14ac:dyDescent="0.3">
      <c r="B30" t="s">
        <v>9</v>
      </c>
      <c r="C30" s="43">
        <f>E9</f>
        <v>363166.62</v>
      </c>
      <c r="D30" s="37">
        <f>C30/C31</f>
        <v>0.99920251797966353</v>
      </c>
      <c r="E30" s="37">
        <f>E31-E29</f>
        <v>0.94200345868528867</v>
      </c>
      <c r="G30" t="s">
        <v>161</v>
      </c>
      <c r="J30" s="37">
        <f>F14</f>
        <v>0.25</v>
      </c>
    </row>
    <row r="31" spans="2:10" x14ac:dyDescent="0.3">
      <c r="B31" t="s">
        <v>162</v>
      </c>
      <c r="C31" s="44">
        <f>C29+C30</f>
        <v>363456.47</v>
      </c>
      <c r="D31" s="45">
        <f>C31/C31</f>
        <v>1</v>
      </c>
      <c r="E31" s="45">
        <f>D31</f>
        <v>1</v>
      </c>
      <c r="G31" t="s">
        <v>163</v>
      </c>
      <c r="J31" s="52">
        <f>J28*(1+(1-J30)*J29)</f>
        <v>0.52035855706825185</v>
      </c>
    </row>
    <row r="33" spans="2:10" x14ac:dyDescent="0.3">
      <c r="B33" t="s">
        <v>164</v>
      </c>
      <c r="D33" s="37">
        <f>C29/C30</f>
        <v>7.9811850549480574E-4</v>
      </c>
      <c r="E33" s="37">
        <f>E29/E30</f>
        <v>6.1567227572236746E-2</v>
      </c>
      <c r="G33" t="s">
        <v>165</v>
      </c>
    </row>
    <row r="35" spans="2:10" x14ac:dyDescent="0.3">
      <c r="B35" s="49" t="s">
        <v>166</v>
      </c>
      <c r="C35" s="49"/>
      <c r="D35" s="49"/>
      <c r="E35" s="49"/>
      <c r="F35" s="49"/>
      <c r="G35" t="s">
        <v>151</v>
      </c>
      <c r="J35" s="37">
        <f>J23</f>
        <v>0.10095180818933192</v>
      </c>
    </row>
    <row r="36" spans="2:10" x14ac:dyDescent="0.3">
      <c r="B36" s="49" t="s">
        <v>167</v>
      </c>
      <c r="C36" s="49"/>
      <c r="D36" s="49"/>
      <c r="E36" s="49"/>
      <c r="F36" s="49"/>
      <c r="G36" t="s">
        <v>168</v>
      </c>
      <c r="J36" s="37">
        <f>E30</f>
        <v>0.94200345868528867</v>
      </c>
    </row>
    <row r="37" spans="2:10" x14ac:dyDescent="0.3">
      <c r="B37" s="49" t="s">
        <v>169</v>
      </c>
      <c r="C37" s="49"/>
      <c r="D37" s="49"/>
      <c r="E37" s="49"/>
      <c r="F37" s="49"/>
    </row>
    <row r="38" spans="2:10" x14ac:dyDescent="0.3">
      <c r="B38" s="49" t="s">
        <v>170</v>
      </c>
      <c r="C38" s="49"/>
      <c r="D38" s="49"/>
      <c r="E38" s="49"/>
      <c r="F38" s="49"/>
      <c r="G38" t="s">
        <v>147</v>
      </c>
      <c r="J38" s="37">
        <f>D22</f>
        <v>7.5038813179230626E-2</v>
      </c>
    </row>
    <row r="39" spans="2:10" x14ac:dyDescent="0.3">
      <c r="G39" t="s">
        <v>171</v>
      </c>
      <c r="J39" s="37">
        <f>E29</f>
        <v>5.7996541314711283E-2</v>
      </c>
    </row>
    <row r="41" spans="2:10" x14ac:dyDescent="0.3">
      <c r="G41" t="s">
        <v>172</v>
      </c>
      <c r="J41" s="37">
        <f>J35*J36+J38*J39</f>
        <v>9.9448944103640663E-2</v>
      </c>
    </row>
  </sheetData>
  <printOptions horizontalCentered="1" verticalCentered="1"/>
  <pageMargins left="0.70866141732283472" right="0.31496062992125984" top="0.74803149606299213" bottom="0.74803149606299213" header="0.31496062992125984" footer="0.31496062992125984"/>
  <pageSetup paperSize="9" orientation="portrait" r:id="rId1"/>
  <ignoredErrors>
    <ignoredError sqref="F1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97E0-F4D3-4929-9516-AC1EF94807D8}">
  <dimension ref="B2:J43"/>
  <sheetViews>
    <sheetView showGridLines="0" topLeftCell="A9" zoomScale="86" zoomScaleNormal="100" workbookViewId="0">
      <selection activeCell="M17" sqref="M17"/>
    </sheetView>
  </sheetViews>
  <sheetFormatPr defaultRowHeight="14.4" x14ac:dyDescent="0.3"/>
  <cols>
    <col min="1" max="1" width="1.88671875" customWidth="1"/>
    <col min="2" max="2" width="25.77734375" bestFit="1" customWidth="1"/>
    <col min="3" max="3" width="20.77734375" customWidth="1"/>
    <col min="4" max="10" width="12.6640625" bestFit="1" customWidth="1"/>
  </cols>
  <sheetData>
    <row r="2" spans="2:10" x14ac:dyDescent="0.3">
      <c r="B2" s="70" t="s">
        <v>241</v>
      </c>
      <c r="C2" s="70"/>
      <c r="D2" s="70"/>
      <c r="E2" s="72">
        <v>46082</v>
      </c>
      <c r="F2" s="73">
        <f>E2+366</f>
        <v>46448</v>
      </c>
      <c r="G2" s="73">
        <f t="shared" ref="G2:J2" si="0">F2+366</f>
        <v>46814</v>
      </c>
      <c r="H2" s="73">
        <f t="shared" si="0"/>
        <v>47180</v>
      </c>
      <c r="I2" s="73">
        <f t="shared" si="0"/>
        <v>47546</v>
      </c>
      <c r="J2" s="73">
        <f t="shared" si="0"/>
        <v>47912</v>
      </c>
    </row>
    <row r="3" spans="2:10" x14ac:dyDescent="0.3">
      <c r="B3" s="93"/>
      <c r="C3" s="93"/>
      <c r="D3" s="93"/>
      <c r="E3" s="94"/>
      <c r="F3" s="95"/>
      <c r="G3" s="95"/>
      <c r="H3" s="95"/>
      <c r="I3" s="95"/>
      <c r="J3" s="95"/>
    </row>
    <row r="4" spans="2:10" x14ac:dyDescent="0.3">
      <c r="B4" t="s">
        <v>242</v>
      </c>
      <c r="E4" s="78">
        <f>'Data Sheet'!K34-'Data Sheet'!K26</f>
        <v>27789.879999999997</v>
      </c>
      <c r="F4">
        <f>E4*(1+$D$14)</f>
        <v>31871.21757015555</v>
      </c>
      <c r="G4">
        <f>F4*(1+$D$14)</f>
        <v>36551.957381758824</v>
      </c>
      <c r="H4">
        <f>G4*(1+$D$14)</f>
        <v>41920.130145545387</v>
      </c>
      <c r="I4">
        <f>H4*(1+$D$14)</f>
        <v>48076.695129230982</v>
      </c>
      <c r="J4">
        <f>I4*(1+$D$14)</f>
        <v>55137.438899259672</v>
      </c>
    </row>
    <row r="5" spans="2:10" x14ac:dyDescent="0.3">
      <c r="B5" t="s">
        <v>149</v>
      </c>
      <c r="E5" s="79">
        <v>0.25</v>
      </c>
      <c r="F5" s="75">
        <v>0.25</v>
      </c>
      <c r="G5" s="75">
        <v>0.25</v>
      </c>
      <c r="H5" s="75">
        <v>0.25</v>
      </c>
      <c r="I5" s="75">
        <v>0.25</v>
      </c>
      <c r="J5" s="75">
        <v>0.25</v>
      </c>
    </row>
    <row r="6" spans="2:10" x14ac:dyDescent="0.3">
      <c r="B6" t="s">
        <v>208</v>
      </c>
      <c r="E6" s="78">
        <f t="shared" ref="E6:J6" si="1">E4*(1-E5)</f>
        <v>20842.409999999996</v>
      </c>
      <c r="F6" s="63">
        <f t="shared" si="1"/>
        <v>23903.413177616661</v>
      </c>
      <c r="G6" s="63">
        <f t="shared" si="1"/>
        <v>27413.968036319118</v>
      </c>
      <c r="H6" s="63">
        <f t="shared" si="1"/>
        <v>31440.097609159042</v>
      </c>
      <c r="I6" s="63">
        <f t="shared" si="1"/>
        <v>36057.52134692324</v>
      </c>
      <c r="J6" s="63">
        <f t="shared" si="1"/>
        <v>41353.079174444756</v>
      </c>
    </row>
    <row r="7" spans="2:10" x14ac:dyDescent="0.3">
      <c r="B7" t="s">
        <v>243</v>
      </c>
      <c r="E7" s="80">
        <f>'Intrinsic Growth'!$K$53</f>
        <v>0.28284865257012098</v>
      </c>
      <c r="F7" s="37">
        <f>E$7+($J$7-$E$7)/5</f>
        <v>0.28627892205609679</v>
      </c>
      <c r="G7" s="37">
        <f t="shared" ref="G7:I7" si="2">F$7+($J$7-$E$7)/5</f>
        <v>0.28970919154207259</v>
      </c>
      <c r="H7" s="37">
        <f t="shared" si="2"/>
        <v>0.29313946102804839</v>
      </c>
      <c r="I7" s="37">
        <f t="shared" si="2"/>
        <v>0.29656973051402419</v>
      </c>
      <c r="J7" s="75">
        <v>0.3</v>
      </c>
    </row>
    <row r="8" spans="2:10" x14ac:dyDescent="0.3">
      <c r="B8" t="s">
        <v>244</v>
      </c>
      <c r="E8" s="78">
        <f t="shared" ref="E8:J8" si="3">E6*(1-E7)</f>
        <v>14947.162415185981</v>
      </c>
      <c r="F8" s="84">
        <f t="shared" si="3"/>
        <v>17060.369819667063</v>
      </c>
      <c r="G8" s="84">
        <f t="shared" si="3"/>
        <v>19471.889519556888</v>
      </c>
      <c r="H8" s="84">
        <f t="shared" si="3"/>
        <v>22223.764341340924</v>
      </c>
      <c r="I8" s="84">
        <f t="shared" si="3"/>
        <v>25363.951958062538</v>
      </c>
      <c r="J8" s="84">
        <f t="shared" si="3"/>
        <v>28947.155422111326</v>
      </c>
    </row>
    <row r="9" spans="2:10" x14ac:dyDescent="0.3">
      <c r="B9" t="s">
        <v>251</v>
      </c>
      <c r="E9" s="77"/>
      <c r="F9" s="76">
        <v>0.5</v>
      </c>
      <c r="G9" s="76">
        <f>F9+1</f>
        <v>1.5</v>
      </c>
      <c r="H9" s="76">
        <f t="shared" ref="H9:J9" si="4">G9+1</f>
        <v>2.5</v>
      </c>
      <c r="I9" s="76">
        <f t="shared" si="4"/>
        <v>3.5</v>
      </c>
      <c r="J9" s="76">
        <f t="shared" si="4"/>
        <v>4.5</v>
      </c>
    </row>
    <row r="10" spans="2:10" x14ac:dyDescent="0.3">
      <c r="B10" t="s">
        <v>245</v>
      </c>
      <c r="E10" s="77"/>
      <c r="F10" s="83">
        <f>1/(1+$D$16)^F9</f>
        <v>0.95370150227816541</v>
      </c>
      <c r="G10" s="83">
        <f t="shared" ref="G10:J10" si="5">1/(1+$D$16)^G9</f>
        <v>0.86743591632233541</v>
      </c>
      <c r="H10" s="83">
        <f t="shared" si="5"/>
        <v>0.78897334976253863</v>
      </c>
      <c r="I10" s="83">
        <f t="shared" si="5"/>
        <v>0.71760799261649511</v>
      </c>
      <c r="J10" s="83">
        <f t="shared" si="5"/>
        <v>0.65269787784602118</v>
      </c>
    </row>
    <row r="11" spans="2:10" ht="5.4" customHeight="1" thickBot="1" x14ac:dyDescent="0.35">
      <c r="E11" s="77"/>
    </row>
    <row r="12" spans="2:10" ht="15" thickBot="1" x14ac:dyDescent="0.35">
      <c r="B12" s="81" t="s">
        <v>246</v>
      </c>
      <c r="C12" s="81"/>
      <c r="D12" s="81"/>
      <c r="E12" s="82"/>
      <c r="F12" s="85">
        <f>F8*F10</f>
        <v>16270.500326437552</v>
      </c>
      <c r="G12" s="85">
        <f>G8*G10</f>
        <v>16890.616327924108</v>
      </c>
      <c r="H12" s="85">
        <f>H8*H10</f>
        <v>17533.957796721006</v>
      </c>
      <c r="I12" s="85">
        <f>I8*I10</f>
        <v>18201.374649446479</v>
      </c>
      <c r="J12" s="85">
        <f>J8*J10</f>
        <v>18893.746913691008</v>
      </c>
    </row>
    <row r="13" spans="2:10" ht="15" thickTop="1" x14ac:dyDescent="0.3"/>
    <row r="14" spans="2:10" x14ac:dyDescent="0.3">
      <c r="B14" s="87" t="s">
        <v>247</v>
      </c>
      <c r="C14" s="87"/>
      <c r="D14" s="88">
        <f>'Intrinsic Growth'!K63</f>
        <v>0.14686416674543223</v>
      </c>
    </row>
    <row r="15" spans="2:10" x14ac:dyDescent="0.3">
      <c r="B15" s="87" t="s">
        <v>248</v>
      </c>
      <c r="C15" s="87"/>
      <c r="D15" s="89">
        <v>0.03</v>
      </c>
    </row>
    <row r="16" spans="2:10" x14ac:dyDescent="0.3">
      <c r="B16" s="87" t="s">
        <v>252</v>
      </c>
      <c r="C16" s="87"/>
      <c r="D16" s="88">
        <f>WACC!J41</f>
        <v>9.9448944103640663E-2</v>
      </c>
    </row>
    <row r="18" spans="2:10" x14ac:dyDescent="0.3">
      <c r="B18" s="70" t="s">
        <v>253</v>
      </c>
      <c r="C18" s="70"/>
      <c r="D18" s="70"/>
      <c r="F18" s="70" t="s">
        <v>269</v>
      </c>
      <c r="G18" s="70"/>
      <c r="H18" s="70"/>
      <c r="I18" s="70"/>
      <c r="J18" s="70"/>
    </row>
    <row r="19" spans="2:10" x14ac:dyDescent="0.3">
      <c r="F19" s="97">
        <f>D38</f>
        <v>322.21530352160687</v>
      </c>
      <c r="G19" s="98">
        <v>0.06</v>
      </c>
      <c r="H19" s="98">
        <v>0.08</v>
      </c>
      <c r="I19" s="98">
        <v>9.9400000000000002E-2</v>
      </c>
      <c r="J19" s="98">
        <v>0.12</v>
      </c>
    </row>
    <row r="20" spans="2:10" x14ac:dyDescent="0.3">
      <c r="B20" t="s">
        <v>254</v>
      </c>
      <c r="D20" s="84">
        <f>J8*(1+D14)</f>
        <v>33198.455282830226</v>
      </c>
      <c r="F20" s="98">
        <v>0.02</v>
      </c>
      <c r="G20" s="84">
        <f t="dataTable" ref="G20:J23" dt2D="1" dtr="1" r1="D21" r2="D22"/>
        <v>505.54868426401242</v>
      </c>
      <c r="H20" s="84">
        <v>361.43135285023237</v>
      </c>
      <c r="I20" s="84">
        <v>291.00625890999737</v>
      </c>
      <c r="J20" s="84">
        <v>246.13748771920845</v>
      </c>
    </row>
    <row r="21" spans="2:10" x14ac:dyDescent="0.3">
      <c r="B21" t="s">
        <v>252</v>
      </c>
      <c r="D21" s="37">
        <f>D16</f>
        <v>9.9448944103640663E-2</v>
      </c>
      <c r="F21" s="98">
        <f>F20+0.01</f>
        <v>0.03</v>
      </c>
      <c r="G21" s="84">
        <v>649.66601567779219</v>
      </c>
      <c r="H21" s="84">
        <v>419.07828541574435</v>
      </c>
      <c r="I21" s="78">
        <v>322.39092301479917</v>
      </c>
      <c r="J21" s="84">
        <v>265.3531319077124</v>
      </c>
    </row>
    <row r="22" spans="2:10" x14ac:dyDescent="0.3">
      <c r="B22" t="s">
        <v>255</v>
      </c>
      <c r="D22" s="37">
        <f>D15</f>
        <v>0.03</v>
      </c>
      <c r="F22" s="98">
        <f t="shared" ref="F22:F23" si="6">F21+0.01</f>
        <v>0.04</v>
      </c>
      <c r="G22" s="84">
        <v>937.9006785053524</v>
      </c>
      <c r="H22" s="84">
        <v>505.54868426401219</v>
      </c>
      <c r="I22" s="84">
        <v>364.34281409091477</v>
      </c>
      <c r="J22" s="84">
        <v>289.37268714334249</v>
      </c>
    </row>
    <row r="23" spans="2:10" ht="15" thickBot="1" x14ac:dyDescent="0.35">
      <c r="F23" s="98">
        <f t="shared" si="6"/>
        <v>0.05</v>
      </c>
      <c r="G23" s="84">
        <v>1802.6046669880325</v>
      </c>
      <c r="H23" s="84">
        <v>649.66601567779219</v>
      </c>
      <c r="I23" s="84">
        <v>423.2792764529072</v>
      </c>
      <c r="J23" s="84">
        <v>320.25497244629526</v>
      </c>
    </row>
    <row r="24" spans="2:10" ht="15" thickBot="1" x14ac:dyDescent="0.35">
      <c r="B24" s="81" t="s">
        <v>256</v>
      </c>
      <c r="C24" s="81"/>
      <c r="D24" s="86">
        <f>D20/(D21-D22)</f>
        <v>478026.78228321532</v>
      </c>
    </row>
    <row r="25" spans="2:10" ht="15" thickTop="1" x14ac:dyDescent="0.3"/>
    <row r="26" spans="2:10" x14ac:dyDescent="0.3">
      <c r="B26" s="70" t="s">
        <v>257</v>
      </c>
      <c r="C26" s="70"/>
      <c r="D26" s="70"/>
    </row>
    <row r="28" spans="2:10" x14ac:dyDescent="0.3">
      <c r="B28" t="s">
        <v>258</v>
      </c>
      <c r="D28" s="90">
        <f>SUM(F12:J12)</f>
        <v>87790.196014220142</v>
      </c>
    </row>
    <row r="29" spans="2:10" x14ac:dyDescent="0.3">
      <c r="B29" t="s">
        <v>259</v>
      </c>
      <c r="D29" s="90">
        <f>D24*J10</f>
        <v>312007.06634981663</v>
      </c>
    </row>
    <row r="30" spans="2:10" x14ac:dyDescent="0.3">
      <c r="B30" t="s">
        <v>260</v>
      </c>
      <c r="D30" s="90">
        <f>SUM(D28:D29)</f>
        <v>399797.26236403675</v>
      </c>
    </row>
    <row r="32" spans="2:10" x14ac:dyDescent="0.3">
      <c r="B32" t="s">
        <v>261</v>
      </c>
      <c r="D32" s="90">
        <f>'Data Sheet'!J69</f>
        <v>4012.36</v>
      </c>
    </row>
    <row r="33" spans="2:4" x14ac:dyDescent="0.3">
      <c r="B33" t="s">
        <v>262</v>
      </c>
      <c r="D33" s="90">
        <f>'Raw FS '!M8+'Raw FS '!M9</f>
        <v>91</v>
      </c>
    </row>
    <row r="35" spans="2:4" x14ac:dyDescent="0.3">
      <c r="B35" s="15" t="s">
        <v>263</v>
      </c>
      <c r="C35" s="15"/>
      <c r="D35" s="92">
        <f>D30+D32-D33</f>
        <v>403718.62236403674</v>
      </c>
    </row>
    <row r="36" spans="2:4" x14ac:dyDescent="0.3">
      <c r="B36" t="s">
        <v>264</v>
      </c>
      <c r="D36" s="71">
        <f>'Data Sheet'!B6</f>
        <v>1252.9467655683973</v>
      </c>
    </row>
    <row r="37" spans="2:4" ht="6.6" customHeight="1" thickBot="1" x14ac:dyDescent="0.35"/>
    <row r="38" spans="2:4" ht="15" thickBot="1" x14ac:dyDescent="0.35">
      <c r="B38" s="81" t="s">
        <v>265</v>
      </c>
      <c r="C38" s="81"/>
      <c r="D38" s="91">
        <f>D35/D36</f>
        <v>322.21530352160687</v>
      </c>
    </row>
    <row r="39" spans="2:4" ht="15" thickTop="1" x14ac:dyDescent="0.3"/>
    <row r="40" spans="2:4" x14ac:dyDescent="0.3">
      <c r="B40" t="s">
        <v>266</v>
      </c>
      <c r="D40">
        <v>292.5</v>
      </c>
    </row>
    <row r="41" spans="2:4" x14ac:dyDescent="0.3">
      <c r="B41" t="s">
        <v>267</v>
      </c>
      <c r="D41" s="96">
        <f>D40/D38</f>
        <v>0.90777811234650363</v>
      </c>
    </row>
    <row r="43" spans="2:4" x14ac:dyDescent="0.3">
      <c r="D43" t="s">
        <v>268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ignoredErrors>
    <ignoredError sqref="E7:I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5522-4377-4E63-A7CA-34518F53682E}">
  <dimension ref="B2:O31"/>
  <sheetViews>
    <sheetView zoomScale="81" workbookViewId="0">
      <selection activeCell="P29" sqref="P29"/>
    </sheetView>
  </sheetViews>
  <sheetFormatPr defaultRowHeight="14.4" x14ac:dyDescent="0.3"/>
  <cols>
    <col min="1" max="1" width="1.88671875" customWidth="1"/>
    <col min="2" max="2" width="37.5546875" bestFit="1" customWidth="1"/>
    <col min="3" max="3" width="10.109375" bestFit="1" customWidth="1"/>
    <col min="4" max="4" width="12.109375" bestFit="1" customWidth="1"/>
    <col min="5" max="5" width="9.109375" bestFit="1" customWidth="1"/>
    <col min="6" max="6" width="9.33203125" bestFit="1" customWidth="1"/>
    <col min="7" max="7" width="10.44140625" bestFit="1" customWidth="1"/>
    <col min="8" max="8" width="1.88671875" customWidth="1"/>
    <col min="9" max="9" width="9" bestFit="1" customWidth="1"/>
    <col min="10" max="10" width="8.109375" bestFit="1" customWidth="1"/>
    <col min="11" max="11" width="11.44140625" bestFit="1" customWidth="1"/>
    <col min="12" max="12" width="1.88671875" customWidth="1"/>
    <col min="13" max="13" width="11.6640625" bestFit="1" customWidth="1"/>
    <col min="14" max="15" width="11.77734375" bestFit="1" customWidth="1"/>
  </cols>
  <sheetData>
    <row r="2" spans="2:15" ht="18.600000000000001" thickBot="1" x14ac:dyDescent="0.4">
      <c r="B2" s="99" t="s">
        <v>270</v>
      </c>
      <c r="C2" s="100" t="s">
        <v>271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4" spans="2:15" x14ac:dyDescent="0.3">
      <c r="B4" s="70"/>
      <c r="C4" s="122" t="s">
        <v>272</v>
      </c>
      <c r="D4" s="122"/>
      <c r="E4" s="122"/>
      <c r="F4" s="122"/>
      <c r="G4" s="122"/>
      <c r="H4" s="70"/>
      <c r="I4" s="122" t="s">
        <v>273</v>
      </c>
      <c r="J4" s="122"/>
      <c r="K4" s="122"/>
      <c r="L4" s="70"/>
      <c r="M4" s="122" t="s">
        <v>274</v>
      </c>
      <c r="N4" s="122"/>
      <c r="O4" s="122"/>
    </row>
    <row r="5" spans="2:15" x14ac:dyDescent="0.3">
      <c r="B5" s="70"/>
      <c r="C5" s="70" t="s">
        <v>275</v>
      </c>
      <c r="D5" s="70" t="s">
        <v>275</v>
      </c>
      <c r="E5" s="70" t="s">
        <v>276</v>
      </c>
      <c r="F5" s="70"/>
      <c r="G5" s="70" t="s">
        <v>277</v>
      </c>
      <c r="H5" s="70"/>
      <c r="I5" s="70"/>
      <c r="J5" s="70"/>
      <c r="K5" s="70"/>
      <c r="L5" s="70"/>
      <c r="M5" s="70"/>
      <c r="N5" s="70"/>
      <c r="O5" s="70"/>
    </row>
    <row r="6" spans="2:15" x14ac:dyDescent="0.3">
      <c r="B6" s="70" t="s">
        <v>278</v>
      </c>
      <c r="C6" s="70" t="s">
        <v>279</v>
      </c>
      <c r="D6" s="70" t="s">
        <v>280</v>
      </c>
      <c r="E6" s="70" t="s">
        <v>281</v>
      </c>
      <c r="F6" s="70" t="s">
        <v>282</v>
      </c>
      <c r="G6" s="70" t="s">
        <v>281</v>
      </c>
      <c r="H6" s="70"/>
      <c r="I6" s="70" t="s">
        <v>283</v>
      </c>
      <c r="J6" s="70" t="s">
        <v>28</v>
      </c>
      <c r="K6" s="70" t="s">
        <v>284</v>
      </c>
      <c r="L6" s="70"/>
      <c r="M6" s="70" t="s">
        <v>285</v>
      </c>
      <c r="N6" s="70" t="s">
        <v>286</v>
      </c>
      <c r="O6" s="70" t="s">
        <v>287</v>
      </c>
    </row>
    <row r="7" spans="2:15" x14ac:dyDescent="0.3">
      <c r="B7" t="s">
        <v>139</v>
      </c>
      <c r="C7" s="109">
        <f>[1]Sheet2!D3</f>
        <v>2194.6</v>
      </c>
      <c r="D7" s="109">
        <f>[1]Sheet2!G3</f>
        <v>234.96</v>
      </c>
      <c r="E7" s="109">
        <f>D7*C7</f>
        <v>515643.21600000001</v>
      </c>
      <c r="F7" s="109">
        <f>[1]Sheet2!F3-[1]Sheet2!H3</f>
        <v>-1770</v>
      </c>
      <c r="G7" s="109">
        <f>E7+F7</f>
        <v>513873.21600000001</v>
      </c>
      <c r="H7" s="109"/>
      <c r="I7" s="109">
        <f>[1]Sheet2!E3</f>
        <v>64468</v>
      </c>
      <c r="J7" s="109">
        <f>[1]Sheet2!J3+[1]Sheet2!K3</f>
        <v>15790</v>
      </c>
      <c r="K7" s="109">
        <f>[1]Sheet2!L3</f>
        <v>15059</v>
      </c>
      <c r="L7" s="110"/>
      <c r="M7" s="111">
        <f>G7/I7</f>
        <v>7.9709811999751814</v>
      </c>
      <c r="N7" s="111">
        <f>G7/J7</f>
        <v>32.544218872704242</v>
      </c>
      <c r="O7" s="111">
        <f>E7/K7</f>
        <v>34.241531044558073</v>
      </c>
    </row>
    <row r="8" spans="2:15" x14ac:dyDescent="0.3">
      <c r="B8" s="87" t="s">
        <v>140</v>
      </c>
      <c r="C8" s="102">
        <f>[1]Sheet2!D4</f>
        <v>292.5</v>
      </c>
      <c r="D8" s="102">
        <f>[1]Sheet2!G4</f>
        <v>1252.95</v>
      </c>
      <c r="E8" s="102">
        <f t="shared" ref="E8:E16" si="0">D8*C8</f>
        <v>366487.875</v>
      </c>
      <c r="F8" s="102">
        <f>[1]Sheet2!F4-[1]Sheet2!H4</f>
        <v>-609.73</v>
      </c>
      <c r="G8" s="102">
        <f t="shared" ref="G8:G16" si="1">E8+F8</f>
        <v>365878.14500000002</v>
      </c>
      <c r="H8" s="102"/>
      <c r="I8" s="102">
        <f>[1]Sheet2!E4</f>
        <v>78868.399999999994</v>
      </c>
      <c r="J8" s="102">
        <f>[1]Sheet2!J4+[1]Sheet2!K4</f>
        <v>30120.789999999997</v>
      </c>
      <c r="K8" s="102">
        <f>[1]Sheet2!L4</f>
        <v>21018.15</v>
      </c>
      <c r="L8" s="87"/>
      <c r="M8" s="103">
        <f t="shared" ref="M8:M16" si="2">G8/I8</f>
        <v>4.6390968372630867</v>
      </c>
      <c r="N8" s="103">
        <f t="shared" ref="N8:N16" si="3">G8/J8</f>
        <v>12.147030174175381</v>
      </c>
      <c r="O8" s="103">
        <f t="shared" ref="O8:O16" si="4">E8/K8</f>
        <v>17.436733251975078</v>
      </c>
    </row>
    <row r="9" spans="2:15" x14ac:dyDescent="0.3">
      <c r="B9" t="s">
        <v>297</v>
      </c>
      <c r="C9" s="109">
        <f>[1]Sheet2!D5</f>
        <v>1414.8</v>
      </c>
      <c r="D9" s="109">
        <f>[1]Sheet2!G5</f>
        <v>192.83</v>
      </c>
      <c r="E9" s="109">
        <f t="shared" si="0"/>
        <v>272815.88400000002</v>
      </c>
      <c r="F9" s="109">
        <f>[1]Sheet2!F5-[1]Sheet2!H5</f>
        <v>-896.70999999999981</v>
      </c>
      <c r="G9" s="109">
        <f t="shared" si="1"/>
        <v>271919.174</v>
      </c>
      <c r="H9" s="109"/>
      <c r="I9" s="109">
        <f>[1]Sheet2!E5</f>
        <v>23154.6</v>
      </c>
      <c r="J9" s="109">
        <f>[1]Sheet2!J5+[1]Sheet2!K5</f>
        <v>5342.42</v>
      </c>
      <c r="K9" s="109">
        <f>[1]Sheet2!L5</f>
        <v>3544.6</v>
      </c>
      <c r="L9" s="110"/>
      <c r="M9" s="111">
        <f t="shared" si="2"/>
        <v>11.74363513081634</v>
      </c>
      <c r="N9" s="111">
        <f t="shared" si="3"/>
        <v>50.898127440373464</v>
      </c>
      <c r="O9" s="111">
        <f t="shared" si="4"/>
        <v>76.966620775263792</v>
      </c>
    </row>
    <row r="10" spans="2:15" x14ac:dyDescent="0.3">
      <c r="B10" t="s">
        <v>298</v>
      </c>
      <c r="C10" s="109">
        <f>[1]Sheet2!D6</f>
        <v>529.5</v>
      </c>
      <c r="D10" s="109">
        <f>[1]Sheet2!G6</f>
        <v>338.23</v>
      </c>
      <c r="E10" s="109">
        <f t="shared" si="0"/>
        <v>179092.785</v>
      </c>
      <c r="F10" s="109">
        <f>[1]Sheet2!F6-[1]Sheet2!H6</f>
        <v>509.68999999999983</v>
      </c>
      <c r="G10" s="109">
        <f t="shared" si="1"/>
        <v>179602.47500000001</v>
      </c>
      <c r="H10" s="109"/>
      <c r="I10" s="109">
        <f>[1]Sheet2!E6</f>
        <v>22692.63</v>
      </c>
      <c r="J10" s="109">
        <f>[1]Sheet2!J6+[1]Sheet2!K6</f>
        <v>5672.75</v>
      </c>
      <c r="K10" s="109">
        <f>[1]Sheet2!L6</f>
        <v>3209.4</v>
      </c>
      <c r="L10" s="110"/>
      <c r="M10" s="111">
        <f t="shared" si="2"/>
        <v>7.9145729252184518</v>
      </c>
      <c r="N10" s="111">
        <f t="shared" si="3"/>
        <v>31.660565863117537</v>
      </c>
      <c r="O10" s="111">
        <f t="shared" si="4"/>
        <v>55.802575247709854</v>
      </c>
    </row>
    <row r="11" spans="2:15" x14ac:dyDescent="0.3">
      <c r="B11" t="s">
        <v>299</v>
      </c>
      <c r="C11" s="109">
        <f>[1]Sheet2!D7</f>
        <v>5195</v>
      </c>
      <c r="D11" s="109">
        <f>[1]Sheet2!G7</f>
        <v>24.09</v>
      </c>
      <c r="E11" s="109">
        <f t="shared" si="0"/>
        <v>125147.55</v>
      </c>
      <c r="F11" s="109">
        <f>[1]Sheet2!F7-[1]Sheet2!H7</f>
        <v>1027.8399999999999</v>
      </c>
      <c r="G11" s="109">
        <f t="shared" si="1"/>
        <v>126175.39</v>
      </c>
      <c r="H11" s="109"/>
      <c r="I11" s="109">
        <f>[1]Sheet2!E7</f>
        <v>19151.59</v>
      </c>
      <c r="J11" s="109">
        <f>[1]Sheet2!J7+[1]Sheet2!K7</f>
        <v>3738.37</v>
      </c>
      <c r="K11" s="109">
        <f>[1]Sheet2!L7</f>
        <v>2537.0100000000002</v>
      </c>
      <c r="L11" s="110"/>
      <c r="M11" s="111">
        <f t="shared" si="2"/>
        <v>6.5882461978352707</v>
      </c>
      <c r="N11" s="111">
        <f t="shared" si="3"/>
        <v>33.751445148554048</v>
      </c>
      <c r="O11" s="111">
        <f t="shared" si="4"/>
        <v>49.328757080184936</v>
      </c>
    </row>
    <row r="12" spans="2:15" x14ac:dyDescent="0.3">
      <c r="B12" t="s">
        <v>300</v>
      </c>
      <c r="C12" s="109">
        <f>[1]Sheet2!D8</f>
        <v>1111.5</v>
      </c>
      <c r="D12" s="109">
        <f>[1]Sheet2!G8</f>
        <v>98.96</v>
      </c>
      <c r="E12" s="109">
        <f t="shared" si="0"/>
        <v>109994.04</v>
      </c>
      <c r="F12" s="109">
        <f>[1]Sheet2!F8-[1]Sheet2!H8</f>
        <v>-600.97999999999956</v>
      </c>
      <c r="G12" s="109">
        <f t="shared" si="1"/>
        <v>109393.06</v>
      </c>
      <c r="H12" s="109"/>
      <c r="I12" s="109">
        <f>[1]Sheet2!E8</f>
        <v>20290.43</v>
      </c>
      <c r="J12" s="109">
        <f>[1]Sheet2!J8+[1]Sheet2!K8</f>
        <v>2928</v>
      </c>
      <c r="K12" s="109">
        <f>[1]Sheet2!L8</f>
        <v>1546.8</v>
      </c>
      <c r="L12" s="110"/>
      <c r="M12" s="111">
        <f t="shared" si="2"/>
        <v>5.3913623318973523</v>
      </c>
      <c r="N12" s="111">
        <f t="shared" si="3"/>
        <v>37.361017759562841</v>
      </c>
      <c r="O12" s="111">
        <f t="shared" si="4"/>
        <v>71.110705973622956</v>
      </c>
    </row>
    <row r="13" spans="2:15" x14ac:dyDescent="0.3">
      <c r="B13" t="s">
        <v>301</v>
      </c>
      <c r="C13" s="109">
        <f>[1]Sheet2!D9</f>
        <v>817.05</v>
      </c>
      <c r="D13" s="109">
        <f>[1]Sheet2!G9</f>
        <v>129.84</v>
      </c>
      <c r="E13" s="109">
        <f t="shared" si="0"/>
        <v>106085.772</v>
      </c>
      <c r="F13" s="109">
        <f>[1]Sheet2!F9-[1]Sheet2!H9</f>
        <v>64</v>
      </c>
      <c r="G13" s="109">
        <f t="shared" si="1"/>
        <v>106149.772</v>
      </c>
      <c r="H13" s="109"/>
      <c r="I13" s="109">
        <f>[1]Sheet2!E9</f>
        <v>13611</v>
      </c>
      <c r="J13" s="109">
        <f>[1]Sheet2!J9+[1]Sheet2!K9</f>
        <v>2532</v>
      </c>
      <c r="K13" s="109">
        <f>[1]Sheet2!L9</f>
        <v>1813</v>
      </c>
      <c r="L13" s="110"/>
      <c r="M13" s="111">
        <f t="shared" si="2"/>
        <v>7.7988224230401881</v>
      </c>
      <c r="N13" s="111">
        <f t="shared" si="3"/>
        <v>41.923290679304898</v>
      </c>
      <c r="O13" s="111">
        <f t="shared" si="4"/>
        <v>58.513939327082184</v>
      </c>
    </row>
    <row r="14" spans="2:15" x14ac:dyDescent="0.3">
      <c r="B14" t="s">
        <v>302</v>
      </c>
      <c r="C14" s="109">
        <f>[1]Sheet2!D10</f>
        <v>1000.6</v>
      </c>
      <c r="D14" s="109">
        <f>[1]Sheet2!G10</f>
        <v>102.32</v>
      </c>
      <c r="E14" s="109">
        <f t="shared" si="0"/>
        <v>102381.39199999999</v>
      </c>
      <c r="F14" s="109">
        <f>[1]Sheet2!F10-[1]Sheet2!H10</f>
        <v>3410.4000000000005</v>
      </c>
      <c r="G14" s="109">
        <f t="shared" si="1"/>
        <v>105791.79199999999</v>
      </c>
      <c r="H14" s="109"/>
      <c r="I14" s="109">
        <f>[1]Sheet2!E10</f>
        <v>15177.9</v>
      </c>
      <c r="J14" s="109">
        <f>[1]Sheet2!J10+[1]Sheet2!K10</f>
        <v>3422.41</v>
      </c>
      <c r="K14" s="109">
        <f>[1]Sheet2!L10</f>
        <v>1861.47</v>
      </c>
      <c r="L14" s="110"/>
      <c r="M14" s="111">
        <f t="shared" si="2"/>
        <v>6.9701205041540657</v>
      </c>
      <c r="N14" s="111">
        <f t="shared" si="3"/>
        <v>30.911489856563062</v>
      </c>
      <c r="O14" s="111">
        <f t="shared" si="4"/>
        <v>55.000291167733025</v>
      </c>
    </row>
    <row r="15" spans="2:15" x14ac:dyDescent="0.3">
      <c r="B15" t="s">
        <v>303</v>
      </c>
      <c r="C15" s="109">
        <f>[1]Sheet2!D11</f>
        <v>1320.5</v>
      </c>
      <c r="D15" s="109">
        <f>[1]Sheet2!G11</f>
        <v>72.739999999999995</v>
      </c>
      <c r="E15" s="109">
        <f t="shared" si="0"/>
        <v>96053.17</v>
      </c>
      <c r="F15" s="109">
        <f>[1]Sheet2!F11-[1]Sheet2!H11</f>
        <v>-1564</v>
      </c>
      <c r="G15" s="109">
        <f t="shared" si="1"/>
        <v>94489.17</v>
      </c>
      <c r="H15" s="109"/>
      <c r="I15" s="109">
        <f>[1]Sheet2!E11</f>
        <v>12467</v>
      </c>
      <c r="J15" s="109">
        <f>[1]Sheet2!J11+[1]Sheet2!K11</f>
        <v>2757</v>
      </c>
      <c r="K15" s="109">
        <f>[1]Sheet2!L11</f>
        <v>1838</v>
      </c>
      <c r="L15" s="110"/>
      <c r="M15" s="111">
        <f t="shared" si="2"/>
        <v>7.5791425362958211</v>
      </c>
      <c r="N15" s="111">
        <f t="shared" si="3"/>
        <v>34.272459194776928</v>
      </c>
      <c r="O15" s="111">
        <f t="shared" si="4"/>
        <v>52.259613710554952</v>
      </c>
    </row>
    <row r="16" spans="2:15" x14ac:dyDescent="0.3">
      <c r="B16" t="s">
        <v>304</v>
      </c>
      <c r="C16" s="109">
        <f>[1]Sheet2!D12</f>
        <v>423.5</v>
      </c>
      <c r="D16" s="109">
        <f>[1]Sheet2!G12</f>
        <v>177.4</v>
      </c>
      <c r="E16" s="109">
        <f t="shared" si="0"/>
        <v>75128.900000000009</v>
      </c>
      <c r="F16" s="109">
        <f>[1]Sheet2!F12-[1]Sheet2!H12</f>
        <v>725.24999999999989</v>
      </c>
      <c r="G16" s="109">
        <f t="shared" si="1"/>
        <v>75854.150000000009</v>
      </c>
      <c r="H16" s="109"/>
      <c r="I16" s="109">
        <f>[1]Sheet2!E12</f>
        <v>13192.57</v>
      </c>
      <c r="J16" s="109">
        <f>[1]Sheet2!J12+[1]Sheet2!K12</f>
        <v>3049.81</v>
      </c>
      <c r="K16" s="109">
        <f>[1]Sheet2!L12</f>
        <v>1868.69</v>
      </c>
      <c r="L16" s="110"/>
      <c r="M16" s="111">
        <f t="shared" si="2"/>
        <v>5.7497629347428143</v>
      </c>
      <c r="N16" s="111">
        <f t="shared" si="3"/>
        <v>24.87176250323791</v>
      </c>
      <c r="O16" s="111">
        <f t="shared" si="4"/>
        <v>40.204046685110967</v>
      </c>
    </row>
    <row r="18" spans="2:15" x14ac:dyDescent="0.3">
      <c r="B18" s="87" t="s">
        <v>288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103">
        <f>MAX(M7:M16)</f>
        <v>11.74363513081634</v>
      </c>
      <c r="N18" s="103">
        <f t="shared" ref="N18:O18" si="5">MAX(N7:N16)</f>
        <v>50.898127440373464</v>
      </c>
      <c r="O18" s="103">
        <f t="shared" si="5"/>
        <v>76.966620775263792</v>
      </c>
    </row>
    <row r="19" spans="2:15" x14ac:dyDescent="0.3">
      <c r="B19" s="87" t="s">
        <v>289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103">
        <f>QUARTILE(M7:M16,3)</f>
        <v>7.8856352996738863</v>
      </c>
      <c r="N19" s="103">
        <f t="shared" ref="N19:O19" si="6">QUARTILE(N7:N16,3)</f>
        <v>36.588878118366367</v>
      </c>
      <c r="O19" s="103">
        <f t="shared" si="6"/>
        <v>57.836098307239098</v>
      </c>
    </row>
    <row r="20" spans="2:15" x14ac:dyDescent="0.3">
      <c r="B20" s="106" t="s">
        <v>145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105">
        <f>AVERAGE(M7:M16)</f>
        <v>7.2345743021238578</v>
      </c>
      <c r="N20" s="105">
        <f t="shared" ref="N20:O20" si="7">AVERAGE(N7:N16)</f>
        <v>33.034140749237025</v>
      </c>
      <c r="O20" s="105">
        <f t="shared" si="7"/>
        <v>51.086481426379578</v>
      </c>
    </row>
    <row r="21" spans="2:15" x14ac:dyDescent="0.3">
      <c r="B21" s="106" t="s">
        <v>290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105">
        <f>MEDIAN(M7:M16)</f>
        <v>7.2746315202249434</v>
      </c>
      <c r="N21" s="105">
        <f t="shared" ref="N21:O21" si="8">MEDIAN(N7:N16)</f>
        <v>33.147832010629145</v>
      </c>
      <c r="O21" s="105">
        <f t="shared" si="8"/>
        <v>53.629952439143992</v>
      </c>
    </row>
    <row r="22" spans="2:15" x14ac:dyDescent="0.3">
      <c r="B22" s="87" t="s">
        <v>291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103">
        <f>QUARTILE(M7:M16,1)</f>
        <v>5.9593837505159284</v>
      </c>
      <c r="N22" s="103">
        <f t="shared" ref="N22:O22" si="9">QUARTILE(N7:N16,1)</f>
        <v>31.098758858201681</v>
      </c>
      <c r="O22" s="103">
        <f t="shared" si="9"/>
        <v>42.485224283879461</v>
      </c>
    </row>
    <row r="24" spans="2:15" x14ac:dyDescent="0.3">
      <c r="B24" s="70" t="s">
        <v>292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 t="s">
        <v>285</v>
      </c>
      <c r="N24" s="70" t="s">
        <v>286</v>
      </c>
      <c r="O24" s="70" t="s">
        <v>287</v>
      </c>
    </row>
    <row r="25" spans="2:15" x14ac:dyDescent="0.3">
      <c r="B25" t="s">
        <v>293</v>
      </c>
      <c r="M25" s="104">
        <f>M21*I8</f>
        <v>573738.54858970887</v>
      </c>
      <c r="N25" s="104">
        <f>N21*J8</f>
        <v>998438.88694743812</v>
      </c>
      <c r="O25" s="104">
        <f>O27+O26</f>
        <v>1126592.6548587943</v>
      </c>
    </row>
    <row r="26" spans="2:15" x14ac:dyDescent="0.3">
      <c r="B26" t="s">
        <v>282</v>
      </c>
      <c r="M26" s="104">
        <f>$F$8</f>
        <v>-609.73</v>
      </c>
      <c r="N26" s="104">
        <f t="shared" ref="N26:O26" si="10">$F$8</f>
        <v>-609.73</v>
      </c>
      <c r="O26" s="104">
        <f t="shared" si="10"/>
        <v>-609.73</v>
      </c>
    </row>
    <row r="27" spans="2:15" x14ac:dyDescent="0.3">
      <c r="B27" t="s">
        <v>294</v>
      </c>
      <c r="M27" s="104">
        <f>M25-M26</f>
        <v>574348.27858970885</v>
      </c>
      <c r="N27" s="104">
        <f t="shared" ref="N27" si="11">N25-N26</f>
        <v>999048.6169474381</v>
      </c>
      <c r="O27" s="104">
        <f>O21*K8</f>
        <v>1127202.3848587943</v>
      </c>
    </row>
    <row r="28" spans="2:15" x14ac:dyDescent="0.3">
      <c r="B28" t="s">
        <v>295</v>
      </c>
      <c r="M28" s="104">
        <f>$D$8</f>
        <v>1252.95</v>
      </c>
      <c r="N28" s="104">
        <f t="shared" ref="N28:O28" si="12">$D$8</f>
        <v>1252.95</v>
      </c>
      <c r="O28" s="104">
        <f t="shared" si="12"/>
        <v>1252.95</v>
      </c>
    </row>
    <row r="29" spans="2:15" ht="15" thickBot="1" x14ac:dyDescent="0.35">
      <c r="B29" s="107" t="s">
        <v>296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8">
        <f>M27/M28</f>
        <v>458.39680640864265</v>
      </c>
      <c r="N29" s="108">
        <f t="shared" ref="N29:O29" si="13">N27/N28</f>
        <v>797.35713072942895</v>
      </c>
      <c r="O29" s="108">
        <f t="shared" si="13"/>
        <v>899.63876041246203</v>
      </c>
    </row>
    <row r="30" spans="2:15" ht="6" customHeight="1" thickTop="1" x14ac:dyDescent="0.3"/>
    <row r="31" spans="2:15" x14ac:dyDescent="0.3">
      <c r="M31" s="57" t="str">
        <f>IF($C$8&gt;M29,"Overvalued","Undervalued")</f>
        <v>Undervalued</v>
      </c>
      <c r="N31" s="57" t="str">
        <f t="shared" ref="N31:O31" si="14">IF($C$8&gt;N29,"Overvalued","Undervalued")</f>
        <v>Undervalued</v>
      </c>
      <c r="O31" s="57" t="str">
        <f t="shared" si="14"/>
        <v>Undervalued</v>
      </c>
    </row>
  </sheetData>
  <mergeCells count="3">
    <mergeCell ref="C4:G4"/>
    <mergeCell ref="I4:K4"/>
    <mergeCell ref="M4:O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C5C4-D865-447C-ADFD-A8CCDC934213}">
  <dimension ref="B2:F8"/>
  <sheetViews>
    <sheetView showGridLines="0" zoomScale="107" workbookViewId="0">
      <selection activeCell="K8" sqref="K8"/>
    </sheetView>
  </sheetViews>
  <sheetFormatPr defaultRowHeight="14.4" x14ac:dyDescent="0.3"/>
  <cols>
    <col min="1" max="1" width="1.88671875" customWidth="1"/>
    <col min="3" max="3" width="13.44140625" customWidth="1"/>
    <col min="5" max="5" width="13.77734375" customWidth="1"/>
  </cols>
  <sheetData>
    <row r="2" spans="2:6" x14ac:dyDescent="0.3">
      <c r="B2" s="70" t="s">
        <v>314</v>
      </c>
      <c r="C2" s="70"/>
      <c r="D2" s="70"/>
      <c r="E2" s="70"/>
      <c r="F2" s="70"/>
    </row>
    <row r="3" spans="2:6" x14ac:dyDescent="0.3">
      <c r="C3" s="57" t="s">
        <v>305</v>
      </c>
      <c r="D3" s="57" t="s">
        <v>306</v>
      </c>
      <c r="E3" s="57" t="s">
        <v>307</v>
      </c>
      <c r="F3" s="57" t="s">
        <v>308</v>
      </c>
    </row>
    <row r="4" spans="2:6" x14ac:dyDescent="0.3">
      <c r="B4" t="s">
        <v>309</v>
      </c>
      <c r="C4" s="104">
        <v>458.39680640864265</v>
      </c>
      <c r="D4" s="104">
        <f>'Comparable Comps '!M29</f>
        <v>458.39680640864265</v>
      </c>
      <c r="E4" s="104">
        <f>'Comparable Comps '!N29</f>
        <v>797.35713072942895</v>
      </c>
      <c r="F4" s="104">
        <f>'Comparable Comps '!O29</f>
        <v>899.63876041246203</v>
      </c>
    </row>
    <row r="5" spans="2:6" x14ac:dyDescent="0.3">
      <c r="B5" t="s">
        <v>310</v>
      </c>
      <c r="C5" s="104">
        <v>361.43135285023237</v>
      </c>
      <c r="D5" s="104">
        <v>361.43135285023237</v>
      </c>
      <c r="E5" s="104">
        <v>649.66601567779219</v>
      </c>
      <c r="F5" s="104">
        <v>649.66601567779219</v>
      </c>
    </row>
    <row r="6" spans="2:6" x14ac:dyDescent="0.3">
      <c r="B6" t="s">
        <v>311</v>
      </c>
      <c r="C6" s="104">
        <v>291.00625890999737</v>
      </c>
      <c r="D6" s="104">
        <v>291.00625890999737</v>
      </c>
      <c r="E6" s="104">
        <v>423.2792764529072</v>
      </c>
      <c r="F6" s="104">
        <v>423.2792764529072</v>
      </c>
    </row>
    <row r="7" spans="2:6" x14ac:dyDescent="0.3">
      <c r="B7" t="s">
        <v>312</v>
      </c>
      <c r="C7" s="109">
        <v>246.13748771920845</v>
      </c>
      <c r="D7" s="109">
        <v>246.13748771920845</v>
      </c>
      <c r="E7" s="109">
        <v>320.25497244629526</v>
      </c>
      <c r="F7" s="109">
        <v>320.25497244629526</v>
      </c>
    </row>
    <row r="8" spans="2:6" x14ac:dyDescent="0.3">
      <c r="B8" t="s">
        <v>313</v>
      </c>
      <c r="C8" s="104">
        <v>280</v>
      </c>
      <c r="D8" s="104">
        <v>280</v>
      </c>
      <c r="E8" s="104">
        <v>424</v>
      </c>
      <c r="F8" s="104">
        <v>424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71A8-B9BB-4E2C-ACF3-55E55D477718}">
  <dimension ref="B2:N5002"/>
  <sheetViews>
    <sheetView topLeftCell="D10" zoomScale="76" zoomScaleNormal="100" workbookViewId="0">
      <selection activeCell="P36" sqref="P36"/>
    </sheetView>
  </sheetViews>
  <sheetFormatPr defaultRowHeight="14.4" x14ac:dyDescent="0.3"/>
  <cols>
    <col min="1" max="1" width="1.88671875" customWidth="1"/>
    <col min="2" max="2" width="10.33203125" customWidth="1"/>
    <col min="3" max="3" width="7" bestFit="1" customWidth="1"/>
    <col min="4" max="4" width="12.6640625" bestFit="1" customWidth="1"/>
    <col min="5" max="5" width="16.21875" bestFit="1" customWidth="1"/>
    <col min="6" max="6" width="0.77734375" customWidth="1"/>
    <col min="7" max="7" width="19.44140625" customWidth="1"/>
    <col min="8" max="8" width="16.77734375" customWidth="1"/>
    <col min="9" max="9" width="0.77734375" customWidth="1"/>
    <col min="10" max="10" width="11.6640625" customWidth="1"/>
    <col min="11" max="11" width="18.21875" customWidth="1"/>
  </cols>
  <sheetData>
    <row r="2" spans="2:14" x14ac:dyDescent="0.3">
      <c r="B2" s="114" t="s">
        <v>175</v>
      </c>
      <c r="C2" s="115" t="s">
        <v>315</v>
      </c>
      <c r="D2" s="115" t="s">
        <v>316</v>
      </c>
      <c r="E2" s="70" t="s">
        <v>317</v>
      </c>
      <c r="F2" s="70"/>
      <c r="G2" s="70" t="s">
        <v>329</v>
      </c>
      <c r="H2" s="70" t="s">
        <v>330</v>
      </c>
      <c r="I2" s="70"/>
      <c r="J2" s="70" t="s">
        <v>318</v>
      </c>
      <c r="K2" s="70"/>
      <c r="L2" s="70"/>
      <c r="M2" s="70"/>
      <c r="N2" s="70"/>
    </row>
    <row r="3" spans="2:14" x14ac:dyDescent="0.3">
      <c r="B3" s="113">
        <v>38372</v>
      </c>
      <c r="C3">
        <v>30.47</v>
      </c>
      <c r="D3">
        <f t="shared" ref="D3:D66" si="0">(C3-C4)/C4</f>
        <v>-0.5553772070626003</v>
      </c>
      <c r="E3">
        <v>0.11163808828894559</v>
      </c>
      <c r="G3">
        <v>1</v>
      </c>
      <c r="H3">
        <f ca="1">_xlfn.NORM.INV(RAND(),$L$4,$L$6)</f>
        <v>5.2573060843838428E-2</v>
      </c>
    </row>
    <row r="4" spans="2:14" x14ac:dyDescent="0.3">
      <c r="B4" s="113">
        <v>39951</v>
      </c>
      <c r="C4">
        <v>68.53</v>
      </c>
      <c r="D4">
        <f t="shared" si="0"/>
        <v>-0.68227548796884419</v>
      </c>
      <c r="E4">
        <v>0.11123723041997728</v>
      </c>
      <c r="G4">
        <v>2</v>
      </c>
      <c r="H4">
        <f t="shared" ref="H4:H67" ca="1" si="1">_xlfn.NORM.INV(RAND(),$L$4,$L$6)</f>
        <v>-6.9530142901508612E-3</v>
      </c>
      <c r="J4" t="s">
        <v>319</v>
      </c>
      <c r="L4" s="17">
        <f>AVERAGE(E3:E5001)</f>
        <v>7.8190574276849401E-4</v>
      </c>
    </row>
    <row r="5" spans="2:14" x14ac:dyDescent="0.3">
      <c r="B5" s="113">
        <v>42430</v>
      </c>
      <c r="C5">
        <v>215.69</v>
      </c>
      <c r="D5">
        <f t="shared" si="0"/>
        <v>9.7737262737262736</v>
      </c>
      <c r="E5">
        <v>0.10045918367346937</v>
      </c>
      <c r="G5">
        <v>3</v>
      </c>
      <c r="H5">
        <f t="shared" ca="1" si="1"/>
        <v>-2.6635764615066913E-2</v>
      </c>
      <c r="J5" t="s">
        <v>146</v>
      </c>
      <c r="L5" s="17">
        <f>MEDIAN(E3:E5001)</f>
        <v>3.106233174570422E-4</v>
      </c>
    </row>
    <row r="6" spans="2:14" x14ac:dyDescent="0.3">
      <c r="B6" s="113">
        <v>38125</v>
      </c>
      <c r="C6">
        <v>20.02</v>
      </c>
      <c r="D6">
        <f t="shared" si="0"/>
        <v>-0.63593380614657202</v>
      </c>
      <c r="E6">
        <v>9.5185995623632294E-2</v>
      </c>
      <c r="G6">
        <v>4</v>
      </c>
      <c r="H6">
        <f t="shared" ca="1" si="1"/>
        <v>8.8060409953858517E-4</v>
      </c>
      <c r="J6" t="s">
        <v>320</v>
      </c>
      <c r="L6" s="17">
        <f>_xlfn.STDEV.S(E3:E5001)</f>
        <v>1.7859858679967609E-2</v>
      </c>
    </row>
    <row r="7" spans="2:14" x14ac:dyDescent="0.3">
      <c r="B7" s="113">
        <v>39288</v>
      </c>
      <c r="C7">
        <v>54.99</v>
      </c>
      <c r="D7">
        <f t="shared" si="0"/>
        <v>0.18334409296320214</v>
      </c>
      <c r="E7">
        <v>8.9990089197224954E-2</v>
      </c>
      <c r="G7">
        <v>5</v>
      </c>
      <c r="H7">
        <f t="shared" ca="1" si="1"/>
        <v>3.5713260220532018E-3</v>
      </c>
      <c r="J7" t="s">
        <v>321</v>
      </c>
      <c r="L7" s="17">
        <f>MIN(E3:E5001)</f>
        <v>-0.12486544671689979</v>
      </c>
    </row>
    <row r="8" spans="2:14" x14ac:dyDescent="0.3">
      <c r="B8" s="113">
        <v>38616</v>
      </c>
      <c r="C8">
        <v>46.47</v>
      </c>
      <c r="D8">
        <f t="shared" si="0"/>
        <v>-0.31832184245269185</v>
      </c>
      <c r="E8">
        <v>8.9821763602251373E-2</v>
      </c>
      <c r="G8">
        <v>6</v>
      </c>
      <c r="H8">
        <f t="shared" ca="1" si="1"/>
        <v>-1.0638100960566844E-3</v>
      </c>
      <c r="J8" t="s">
        <v>322</v>
      </c>
      <c r="L8" s="17">
        <f>MAX(E3:E5001)</f>
        <v>0.11163808828894559</v>
      </c>
    </row>
    <row r="9" spans="2:14" x14ac:dyDescent="0.3">
      <c r="B9" s="113">
        <v>39937</v>
      </c>
      <c r="C9">
        <v>68.17</v>
      </c>
      <c r="D9">
        <f t="shared" si="0"/>
        <v>0.28139097744360897</v>
      </c>
      <c r="E9">
        <v>8.862983072500806E-2</v>
      </c>
      <c r="G9">
        <v>7</v>
      </c>
      <c r="H9">
        <f t="shared" ca="1" si="1"/>
        <v>3.6985052756947037E-2</v>
      </c>
      <c r="J9" t="s">
        <v>324</v>
      </c>
      <c r="L9">
        <v>292.3</v>
      </c>
    </row>
    <row r="10" spans="2:14" x14ac:dyDescent="0.3">
      <c r="B10" s="113">
        <v>38877</v>
      </c>
      <c r="C10">
        <v>53.2</v>
      </c>
      <c r="D10">
        <f t="shared" si="0"/>
        <v>-0.6968660968660968</v>
      </c>
      <c r="E10">
        <v>8.7045361667347887E-2</v>
      </c>
      <c r="G10">
        <v>8</v>
      </c>
      <c r="H10">
        <f t="shared" ca="1" si="1"/>
        <v>7.2576648875978481E-3</v>
      </c>
    </row>
    <row r="11" spans="2:14" x14ac:dyDescent="0.3">
      <c r="B11" s="113">
        <v>43910</v>
      </c>
      <c r="C11">
        <v>175.5</v>
      </c>
      <c r="D11">
        <f t="shared" si="0"/>
        <v>1.581261950286807</v>
      </c>
      <c r="E11">
        <v>8.4337349397590397E-2</v>
      </c>
      <c r="G11">
        <v>9</v>
      </c>
      <c r="H11">
        <f t="shared" ca="1" si="1"/>
        <v>7.6550725857541988E-4</v>
      </c>
      <c r="J11" s="112" t="s">
        <v>323</v>
      </c>
      <c r="K11" t="s">
        <v>328</v>
      </c>
      <c r="L11" s="57" t="s">
        <v>325</v>
      </c>
      <c r="M11" s="57" t="s">
        <v>326</v>
      </c>
      <c r="N11" s="57" t="s">
        <v>327</v>
      </c>
    </row>
    <row r="12" spans="2:14" x14ac:dyDescent="0.3">
      <c r="B12" s="113">
        <v>39402</v>
      </c>
      <c r="C12">
        <v>67.989999999999995</v>
      </c>
      <c r="D12">
        <f t="shared" si="0"/>
        <v>-0.39316315601570878</v>
      </c>
      <c r="E12">
        <v>8.2643312101910796E-2</v>
      </c>
      <c r="G12">
        <v>10</v>
      </c>
      <c r="H12">
        <f t="shared" ca="1" si="1"/>
        <v>1.2849570900407246E-2</v>
      </c>
      <c r="J12" s="116">
        <v>0.1</v>
      </c>
      <c r="K12" s="74">
        <f>1-J12</f>
        <v>0.9</v>
      </c>
      <c r="L12" s="17">
        <f>_xlfn.PERCENTILE.INC($E$3:$E$5001,J12)</f>
        <v>-1.8716466807917411E-2</v>
      </c>
      <c r="M12" s="52">
        <f>$L$9*(1-L12)</f>
        <v>297.77082324795424</v>
      </c>
      <c r="N12" s="52">
        <f>$L$9-M12</f>
        <v>-5.4708232479542289</v>
      </c>
    </row>
    <row r="13" spans="2:14" x14ac:dyDescent="0.3">
      <c r="B13" s="113">
        <v>40602</v>
      </c>
      <c r="C13">
        <v>112.04</v>
      </c>
      <c r="D13">
        <f t="shared" si="0"/>
        <v>-0.34746651135701795</v>
      </c>
      <c r="E13">
        <v>8.1258444315769174E-2</v>
      </c>
      <c r="G13">
        <v>11</v>
      </c>
      <c r="H13">
        <f t="shared" ca="1" si="1"/>
        <v>-1.7057711499604118E-2</v>
      </c>
      <c r="J13" s="116">
        <v>0.05</v>
      </c>
      <c r="K13" s="74">
        <f t="shared" ref="K13:K15" si="2">1-J13</f>
        <v>0.95</v>
      </c>
      <c r="L13" s="17">
        <f>_xlfn.PERCENTILE.INC($E$3:$E$5001,J13)</f>
        <v>-2.6746234822007522E-2</v>
      </c>
      <c r="M13" s="52">
        <f>$L$9*(1-L13)</f>
        <v>300.11792443847281</v>
      </c>
      <c r="N13" s="52">
        <f>$L$9-M13</f>
        <v>-7.8179244384728008</v>
      </c>
    </row>
    <row r="14" spans="2:14" x14ac:dyDescent="0.3">
      <c r="B14" s="113">
        <v>43921</v>
      </c>
      <c r="C14">
        <v>171.7</v>
      </c>
      <c r="D14">
        <f t="shared" si="0"/>
        <v>-9.129399311987299E-2</v>
      </c>
      <c r="E14">
        <v>7.8517587939698499E-2</v>
      </c>
      <c r="G14">
        <v>12</v>
      </c>
      <c r="H14">
        <f t="shared" ca="1" si="1"/>
        <v>-2.1066664266940618E-2</v>
      </c>
      <c r="J14" s="116">
        <v>0.01</v>
      </c>
      <c r="K14" s="74">
        <f t="shared" si="2"/>
        <v>0.99</v>
      </c>
      <c r="L14" s="17">
        <f>_xlfn.PERCENTILE.INC($E$3:$E$5001,J14)</f>
        <v>-4.5839835694752917E-2</v>
      </c>
      <c r="M14" s="52">
        <f>$L$9*(1-L14)</f>
        <v>305.69898397357628</v>
      </c>
      <c r="N14" s="52">
        <f>$L$9-M14</f>
        <v>-13.398983973576264</v>
      </c>
    </row>
    <row r="15" spans="2:14" x14ac:dyDescent="0.3">
      <c r="B15" s="113">
        <v>43972</v>
      </c>
      <c r="C15">
        <v>188.95</v>
      </c>
      <c r="D15">
        <f t="shared" si="0"/>
        <v>7.1303786574870909</v>
      </c>
      <c r="E15">
        <v>7.5106685633001352E-2</v>
      </c>
      <c r="G15">
        <v>13</v>
      </c>
      <c r="H15">
        <f t="shared" ca="1" si="1"/>
        <v>-1.7489555599688851E-2</v>
      </c>
      <c r="J15" s="116">
        <v>5.0000000000000001E-3</v>
      </c>
      <c r="K15" s="74">
        <f t="shared" si="2"/>
        <v>0.995</v>
      </c>
      <c r="L15" s="17">
        <f>_xlfn.PERCENTILE.INC($E$3:$E$5001,J15)</f>
        <v>-5.5926611336632619E-2</v>
      </c>
      <c r="M15" s="52">
        <f>$L$9*(1-L15)</f>
        <v>308.64734849369773</v>
      </c>
      <c r="N15" s="52">
        <f>$L$9-M15</f>
        <v>-16.347348493697723</v>
      </c>
    </row>
    <row r="16" spans="2:14" x14ac:dyDescent="0.3">
      <c r="B16" s="113">
        <v>38177</v>
      </c>
      <c r="C16">
        <v>23.24</v>
      </c>
      <c r="D16">
        <f t="shared" si="0"/>
        <v>-0.85641025641025637</v>
      </c>
      <c r="E16">
        <v>7.4433656957928779E-2</v>
      </c>
      <c r="G16">
        <v>14</v>
      </c>
      <c r="H16">
        <f t="shared" ca="1" si="1"/>
        <v>7.6110078623735176E-3</v>
      </c>
      <c r="J16" s="52"/>
    </row>
    <row r="17" spans="2:14" x14ac:dyDescent="0.3">
      <c r="B17" s="113">
        <v>43909</v>
      </c>
      <c r="C17">
        <v>161.85</v>
      </c>
      <c r="D17">
        <f t="shared" si="0"/>
        <v>-0.36492054149499709</v>
      </c>
      <c r="E17">
        <v>7.3988055739880598E-2</v>
      </c>
      <c r="G17">
        <v>15</v>
      </c>
      <c r="H17">
        <f t="shared" ca="1" si="1"/>
        <v>-1.1448205668743616E-2</v>
      </c>
    </row>
    <row r="18" spans="2:14" x14ac:dyDescent="0.3">
      <c r="B18" s="113">
        <v>43731</v>
      </c>
      <c r="C18">
        <v>254.85</v>
      </c>
      <c r="D18">
        <f t="shared" si="0"/>
        <v>3.1819822776501479</v>
      </c>
      <c r="E18">
        <v>7.0573408947699992E-2</v>
      </c>
      <c r="G18">
        <v>16</v>
      </c>
      <c r="H18">
        <f t="shared" ca="1" si="1"/>
        <v>2.0478469199369173E-2</v>
      </c>
      <c r="J18" s="70" t="s">
        <v>331</v>
      </c>
      <c r="K18" s="69"/>
      <c r="L18" s="69"/>
      <c r="M18" s="69"/>
      <c r="N18" s="69"/>
    </row>
    <row r="19" spans="2:14" x14ac:dyDescent="0.3">
      <c r="B19" s="113">
        <v>39638</v>
      </c>
      <c r="C19">
        <v>60.94</v>
      </c>
      <c r="D19">
        <f t="shared" si="0"/>
        <v>-0.65744800449690843</v>
      </c>
      <c r="E19">
        <v>7.0061457418788317E-2</v>
      </c>
      <c r="G19">
        <v>17</v>
      </c>
      <c r="H19">
        <f t="shared" ca="1" si="1"/>
        <v>-1.8309498747176349E-2</v>
      </c>
    </row>
    <row r="20" spans="2:14" x14ac:dyDescent="0.3">
      <c r="B20" s="113">
        <v>43924</v>
      </c>
      <c r="C20">
        <v>177.9</v>
      </c>
      <c r="D20">
        <f t="shared" si="0"/>
        <v>2.1431095406360425</v>
      </c>
      <c r="E20">
        <v>6.9110576923076927E-2</v>
      </c>
      <c r="G20">
        <v>18</v>
      </c>
      <c r="H20">
        <f t="shared" ca="1" si="1"/>
        <v>1.7979052364374293E-3</v>
      </c>
      <c r="J20" t="s">
        <v>319</v>
      </c>
      <c r="L20">
        <f ca="1">AVERAGE(H3:H5002)</f>
        <v>9.7606879693139486E-4</v>
      </c>
    </row>
    <row r="21" spans="2:14" x14ac:dyDescent="0.3">
      <c r="B21" s="113">
        <v>39756</v>
      </c>
      <c r="C21">
        <v>56.6</v>
      </c>
      <c r="D21">
        <f t="shared" si="0"/>
        <v>-0.19154406513355238</v>
      </c>
      <c r="E21">
        <v>6.8529356239380834E-2</v>
      </c>
      <c r="G21">
        <v>19</v>
      </c>
      <c r="H21">
        <f t="shared" ca="1" si="1"/>
        <v>-1.6631172892784433E-2</v>
      </c>
      <c r="J21" t="s">
        <v>146</v>
      </c>
      <c r="L21">
        <f ca="1">MEDIAN(H3:H5002)</f>
        <v>1.1815056256428617E-3</v>
      </c>
    </row>
    <row r="22" spans="2:14" x14ac:dyDescent="0.3">
      <c r="B22" s="113">
        <v>40001</v>
      </c>
      <c r="C22">
        <v>70.010000000000005</v>
      </c>
      <c r="D22">
        <f t="shared" si="0"/>
        <v>-0.69659804983748652</v>
      </c>
      <c r="E22">
        <v>6.8365634060735606E-2</v>
      </c>
      <c r="G22">
        <v>20</v>
      </c>
      <c r="H22">
        <f t="shared" ca="1" si="1"/>
        <v>1.4106534233904887E-3</v>
      </c>
      <c r="J22" t="s">
        <v>320</v>
      </c>
      <c r="L22">
        <f ca="1">_xlfn.STDEV.S(H3:H5002)</f>
        <v>1.8010660146548733E-2</v>
      </c>
    </row>
    <row r="23" spans="2:14" x14ac:dyDescent="0.3">
      <c r="B23" s="113">
        <v>44455</v>
      </c>
      <c r="C23">
        <v>230.75</v>
      </c>
      <c r="D23">
        <f t="shared" si="0"/>
        <v>2.5725344480569747</v>
      </c>
      <c r="E23">
        <v>6.8287037037037035E-2</v>
      </c>
      <c r="G23">
        <v>21</v>
      </c>
      <c r="H23">
        <f t="shared" ca="1" si="1"/>
        <v>2.7101157902492947E-3</v>
      </c>
      <c r="J23" t="s">
        <v>321</v>
      </c>
      <c r="L23">
        <f ca="1">MIN(H3:H5002)</f>
        <v>-6.5755786430495691E-2</v>
      </c>
    </row>
    <row r="24" spans="2:14" x14ac:dyDescent="0.3">
      <c r="B24" s="113">
        <v>39470</v>
      </c>
      <c r="C24">
        <v>64.59</v>
      </c>
      <c r="D24">
        <f t="shared" si="0"/>
        <v>-0.70090298680250052</v>
      </c>
      <c r="E24">
        <v>6.5314200890648211E-2</v>
      </c>
      <c r="G24">
        <v>22</v>
      </c>
      <c r="H24">
        <f t="shared" ca="1" si="1"/>
        <v>2.9750576776698841E-2</v>
      </c>
      <c r="J24" t="s">
        <v>322</v>
      </c>
      <c r="L24">
        <f ca="1">MAX(H3:H5002)</f>
        <v>6.5275836803277323E-2</v>
      </c>
    </row>
    <row r="25" spans="2:14" x14ac:dyDescent="0.3">
      <c r="B25" s="113">
        <v>44228</v>
      </c>
      <c r="C25">
        <v>215.95</v>
      </c>
      <c r="D25">
        <f t="shared" si="0"/>
        <v>-3.0266289460685297E-2</v>
      </c>
      <c r="E25">
        <v>6.2484624846248407E-2</v>
      </c>
      <c r="G25">
        <v>23</v>
      </c>
      <c r="H25">
        <f t="shared" ca="1" si="1"/>
        <v>-1.647232756831303E-2</v>
      </c>
      <c r="J25" t="s">
        <v>324</v>
      </c>
      <c r="L25">
        <f>L9</f>
        <v>292.3</v>
      </c>
    </row>
    <row r="26" spans="2:14" x14ac:dyDescent="0.3">
      <c r="B26" s="113">
        <v>41527</v>
      </c>
      <c r="C26">
        <v>222.69</v>
      </c>
      <c r="D26">
        <f t="shared" si="0"/>
        <v>2.0269131439445429</v>
      </c>
      <c r="E26">
        <v>6.1641876430205987E-2</v>
      </c>
      <c r="G26">
        <v>24</v>
      </c>
      <c r="H26">
        <f t="shared" ca="1" si="1"/>
        <v>1.8995421244208327E-3</v>
      </c>
    </row>
    <row r="27" spans="2:14" x14ac:dyDescent="0.3">
      <c r="B27" s="113">
        <v>39596</v>
      </c>
      <c r="C27">
        <v>73.569999999999993</v>
      </c>
      <c r="D27">
        <f t="shared" si="0"/>
        <v>-0.52960358056265988</v>
      </c>
      <c r="E27">
        <v>6.1462992353195654E-2</v>
      </c>
      <c r="G27">
        <v>25</v>
      </c>
      <c r="H27">
        <f t="shared" ca="1" si="1"/>
        <v>9.4054857829742322E-3</v>
      </c>
      <c r="J27" s="112" t="s">
        <v>323</v>
      </c>
      <c r="K27" t="s">
        <v>328</v>
      </c>
      <c r="L27" s="57" t="s">
        <v>325</v>
      </c>
      <c r="M27" s="57" t="s">
        <v>326</v>
      </c>
      <c r="N27" s="57" t="s">
        <v>327</v>
      </c>
    </row>
    <row r="28" spans="2:14" x14ac:dyDescent="0.3">
      <c r="B28" s="113">
        <v>43916</v>
      </c>
      <c r="C28">
        <v>156.4</v>
      </c>
      <c r="D28">
        <f t="shared" si="0"/>
        <v>-0.31985214176994992</v>
      </c>
      <c r="E28">
        <v>6.1418391584662446E-2</v>
      </c>
      <c r="G28">
        <v>26</v>
      </c>
      <c r="H28">
        <f t="shared" ca="1" si="1"/>
        <v>-4.8400220536025525E-4</v>
      </c>
      <c r="J28" s="116">
        <v>0.1</v>
      </c>
      <c r="K28" s="74">
        <f>1-J28</f>
        <v>0.9</v>
      </c>
      <c r="L28" s="17">
        <f ca="1">_xlfn.PERCENTILE.INC(H3:H5002,J28)</f>
        <v>-2.2459130139171578E-2</v>
      </c>
      <c r="M28" s="52">
        <f ca="1">$L$9*(1-L28)</f>
        <v>298.86480373967987</v>
      </c>
      <c r="N28" s="52">
        <f ca="1">$L$9-M28</f>
        <v>-6.56480373967986</v>
      </c>
    </row>
    <row r="29" spans="2:14" x14ac:dyDescent="0.3">
      <c r="B29" s="113">
        <v>44231</v>
      </c>
      <c r="C29">
        <v>229.95</v>
      </c>
      <c r="D29">
        <f t="shared" si="0"/>
        <v>-0.24258893280632421</v>
      </c>
      <c r="E29">
        <v>6.0899653979238702E-2</v>
      </c>
      <c r="G29">
        <v>27</v>
      </c>
      <c r="H29">
        <f t="shared" ca="1" si="1"/>
        <v>1.0033788429517592E-2</v>
      </c>
      <c r="J29" s="116">
        <v>0.05</v>
      </c>
      <c r="K29" s="74">
        <f t="shared" ref="K29:K31" si="3">1-J29</f>
        <v>0.95</v>
      </c>
      <c r="L29" s="17">
        <f t="shared" ref="L29:L30" ca="1" si="4">_xlfn.PERCENTILE.INC(H4:H5003,J29)</f>
        <v>-2.8172310853531727E-2</v>
      </c>
      <c r="M29" s="52">
        <f ca="1">$L$9*(1-L29)</f>
        <v>300.53476646248731</v>
      </c>
      <c r="N29" s="52">
        <f ca="1">$L$9-M29</f>
        <v>-8.2347664624873005</v>
      </c>
    </row>
    <row r="30" spans="2:14" x14ac:dyDescent="0.3">
      <c r="B30" s="113">
        <v>42877</v>
      </c>
      <c r="C30">
        <v>303.60000000000002</v>
      </c>
      <c r="D30">
        <f t="shared" si="0"/>
        <v>3.8244080724614653</v>
      </c>
      <c r="E30">
        <v>6.0796645702306203E-2</v>
      </c>
      <c r="G30">
        <v>28</v>
      </c>
      <c r="H30">
        <f t="shared" ca="1" si="1"/>
        <v>-1.0850538417576912E-2</v>
      </c>
      <c r="J30" s="116">
        <v>0.01</v>
      </c>
      <c r="K30" s="74">
        <f t="shared" si="3"/>
        <v>0.99</v>
      </c>
      <c r="L30" s="17">
        <f t="shared" ca="1" si="4"/>
        <v>-4.1318141905689221E-2</v>
      </c>
      <c r="M30" s="52">
        <f ca="1">$L$9*(1-L30)</f>
        <v>304.37729287903295</v>
      </c>
      <c r="N30" s="52">
        <f ca="1">$L$9-M30</f>
        <v>-12.077292879032939</v>
      </c>
    </row>
    <row r="31" spans="2:14" x14ac:dyDescent="0.3">
      <c r="B31" s="113">
        <v>39651</v>
      </c>
      <c r="C31">
        <v>62.93</v>
      </c>
      <c r="D31">
        <f t="shared" si="0"/>
        <v>6.1751307575501881E-2</v>
      </c>
      <c r="E31">
        <v>5.9427609427609447E-2</v>
      </c>
      <c r="G31">
        <v>29</v>
      </c>
      <c r="H31">
        <f t="shared" ca="1" si="1"/>
        <v>9.8921849251719807E-4</v>
      </c>
      <c r="J31" s="116">
        <v>5.0000000000000001E-3</v>
      </c>
      <c r="K31" s="74">
        <f t="shared" si="3"/>
        <v>0.995</v>
      </c>
      <c r="L31" s="17">
        <f ca="1">_xlfn.PERCENTILE.INC(H6:H5005,J31)</f>
        <v>-4.5064715083760518E-2</v>
      </c>
      <c r="M31" s="52">
        <f ca="1">$L$9*(1-L31)</f>
        <v>305.4724162189832</v>
      </c>
      <c r="N31" s="52">
        <f ca="1">$L$9-M31</f>
        <v>-13.172416218983187</v>
      </c>
    </row>
    <row r="32" spans="2:14" x14ac:dyDescent="0.3">
      <c r="B32" s="113">
        <v>39398</v>
      </c>
      <c r="C32">
        <v>59.27</v>
      </c>
      <c r="D32">
        <f t="shared" si="0"/>
        <v>-9.8966251140164149E-2</v>
      </c>
      <c r="E32">
        <v>5.9338695263628241E-2</v>
      </c>
      <c r="G32">
        <v>30</v>
      </c>
      <c r="H32">
        <f t="shared" ca="1" si="1"/>
        <v>-4.3460103175202488E-3</v>
      </c>
    </row>
    <row r="33" spans="2:13" x14ac:dyDescent="0.3">
      <c r="B33" s="113">
        <v>39472</v>
      </c>
      <c r="C33">
        <v>65.78</v>
      </c>
      <c r="D33">
        <f t="shared" si="0"/>
        <v>-0.8079416058394161</v>
      </c>
      <c r="E33">
        <v>5.840707964601774E-2</v>
      </c>
      <c r="G33">
        <v>31</v>
      </c>
      <c r="H33">
        <f t="shared" ca="1" si="1"/>
        <v>-1.1044521011180402E-2</v>
      </c>
    </row>
    <row r="34" spans="2:13" x14ac:dyDescent="0.3">
      <c r="B34" s="113">
        <v>42919</v>
      </c>
      <c r="C34">
        <v>342.5</v>
      </c>
      <c r="D34">
        <f t="shared" si="0"/>
        <v>4.8727709190672153</v>
      </c>
      <c r="E34">
        <v>5.8241928008651397E-2</v>
      </c>
      <c r="G34">
        <v>32</v>
      </c>
      <c r="H34">
        <f t="shared" ca="1" si="1"/>
        <v>-2.5690594991259721E-2</v>
      </c>
    </row>
    <row r="35" spans="2:13" x14ac:dyDescent="0.3">
      <c r="B35" s="113">
        <v>38895</v>
      </c>
      <c r="C35">
        <v>58.32</v>
      </c>
      <c r="D35">
        <f t="shared" si="0"/>
        <v>-0.10345887778631817</v>
      </c>
      <c r="E35">
        <v>5.8055152394775093E-2</v>
      </c>
      <c r="G35">
        <v>33</v>
      </c>
      <c r="H35">
        <f t="shared" ca="1" si="1"/>
        <v>2.510834777652866E-2</v>
      </c>
    </row>
    <row r="36" spans="2:13" x14ac:dyDescent="0.3">
      <c r="B36" s="113">
        <v>39491</v>
      </c>
      <c r="C36">
        <v>65.05</v>
      </c>
      <c r="D36">
        <f t="shared" si="0"/>
        <v>-0.59098340040241448</v>
      </c>
      <c r="E36">
        <v>5.7551617623150697E-2</v>
      </c>
      <c r="G36">
        <v>34</v>
      </c>
      <c r="H36">
        <f t="shared" ca="1" si="1"/>
        <v>3.1977224695128946E-2</v>
      </c>
    </row>
    <row r="37" spans="2:13" x14ac:dyDescent="0.3">
      <c r="B37" s="113">
        <v>41038</v>
      </c>
      <c r="C37">
        <v>159.04</v>
      </c>
      <c r="D37">
        <f t="shared" si="0"/>
        <v>1.3627989897489228</v>
      </c>
      <c r="E37">
        <v>5.7306209280680795E-2</v>
      </c>
      <c r="G37">
        <v>35</v>
      </c>
      <c r="H37">
        <f t="shared" ca="1" si="1"/>
        <v>-5.6155489424771377E-3</v>
      </c>
    </row>
    <row r="38" spans="2:13" x14ac:dyDescent="0.3">
      <c r="B38" s="113">
        <v>39967</v>
      </c>
      <c r="C38">
        <v>67.31</v>
      </c>
      <c r="D38">
        <f t="shared" si="0"/>
        <v>0.30496316401706097</v>
      </c>
      <c r="E38">
        <v>5.6506043007377202E-2</v>
      </c>
      <c r="G38">
        <v>36</v>
      </c>
      <c r="H38">
        <f t="shared" ca="1" si="1"/>
        <v>2.1021714338096235E-2</v>
      </c>
    </row>
    <row r="39" spans="2:13" x14ac:dyDescent="0.3">
      <c r="B39" s="113">
        <v>38883</v>
      </c>
      <c r="C39">
        <v>51.58</v>
      </c>
      <c r="D39">
        <f t="shared" si="0"/>
        <v>-0.18035912919116481</v>
      </c>
      <c r="E39">
        <v>5.610155610155599E-2</v>
      </c>
      <c r="G39">
        <v>37</v>
      </c>
      <c r="H39">
        <f t="shared" ca="1" si="1"/>
        <v>5.9996837706893513E-3</v>
      </c>
      <c r="M39" s="117"/>
    </row>
    <row r="40" spans="2:13" x14ac:dyDescent="0.3">
      <c r="B40" s="113">
        <v>39911</v>
      </c>
      <c r="C40">
        <v>62.93</v>
      </c>
      <c r="D40">
        <f t="shared" si="0"/>
        <v>-0.75225384827369002</v>
      </c>
      <c r="E40">
        <v>5.5872483221476484E-2</v>
      </c>
      <c r="G40">
        <v>38</v>
      </c>
      <c r="H40">
        <f t="shared" ca="1" si="1"/>
        <v>1.9700437378784592E-2</v>
      </c>
    </row>
    <row r="41" spans="2:13" x14ac:dyDescent="0.3">
      <c r="B41" s="113">
        <v>41977</v>
      </c>
      <c r="C41">
        <v>254.01</v>
      </c>
      <c r="D41">
        <f t="shared" si="0"/>
        <v>2.3426766679826292</v>
      </c>
      <c r="E41">
        <v>5.4771198405448043E-2</v>
      </c>
      <c r="G41">
        <v>39</v>
      </c>
      <c r="H41">
        <f t="shared" ca="1" si="1"/>
        <v>-2.3430708512419849E-3</v>
      </c>
    </row>
    <row r="42" spans="2:13" x14ac:dyDescent="0.3">
      <c r="B42" s="113">
        <v>40011</v>
      </c>
      <c r="C42">
        <v>75.989999999999995</v>
      </c>
      <c r="D42">
        <f t="shared" si="0"/>
        <v>-8.8691796008870064E-3</v>
      </c>
      <c r="E42">
        <v>5.4684247050659232E-2</v>
      </c>
      <c r="G42">
        <v>40</v>
      </c>
      <c r="H42">
        <f t="shared" ca="1" si="1"/>
        <v>2.6556218528477364E-3</v>
      </c>
    </row>
    <row r="43" spans="2:13" x14ac:dyDescent="0.3">
      <c r="B43" s="113">
        <v>39454</v>
      </c>
      <c r="C43">
        <v>76.67</v>
      </c>
      <c r="D43">
        <f t="shared" si="0"/>
        <v>6.6964285714286387E-3</v>
      </c>
      <c r="E43">
        <v>5.446293494705004E-2</v>
      </c>
      <c r="G43">
        <v>41</v>
      </c>
      <c r="H43">
        <f t="shared" ca="1" si="1"/>
        <v>-2.5672260563151922E-3</v>
      </c>
    </row>
    <row r="44" spans="2:13" x14ac:dyDescent="0.3">
      <c r="B44" s="113">
        <v>40017</v>
      </c>
      <c r="C44">
        <v>76.16</v>
      </c>
      <c r="D44">
        <f t="shared" si="0"/>
        <v>0.30366312906538845</v>
      </c>
      <c r="E44">
        <v>5.397176861334059E-2</v>
      </c>
      <c r="G44">
        <v>42</v>
      </c>
      <c r="H44">
        <f t="shared" ca="1" si="1"/>
        <v>1.6884067774769529E-2</v>
      </c>
    </row>
    <row r="45" spans="2:13" x14ac:dyDescent="0.3">
      <c r="B45" s="113">
        <v>39647</v>
      </c>
      <c r="C45">
        <v>58.42</v>
      </c>
      <c r="D45">
        <f t="shared" si="0"/>
        <v>-0.8069079490993224</v>
      </c>
      <c r="E45">
        <v>5.3751803751803828E-2</v>
      </c>
      <c r="G45">
        <v>43</v>
      </c>
      <c r="H45">
        <f t="shared" ca="1" si="1"/>
        <v>2.8859130660124393E-2</v>
      </c>
    </row>
    <row r="46" spans="2:13" x14ac:dyDescent="0.3">
      <c r="B46" s="113">
        <v>43308</v>
      </c>
      <c r="C46">
        <v>302.55</v>
      </c>
      <c r="D46">
        <f t="shared" si="0"/>
        <v>0.49703117268678881</v>
      </c>
      <c r="E46">
        <v>5.344707520891373E-2</v>
      </c>
      <c r="G46">
        <v>44</v>
      </c>
      <c r="H46">
        <f t="shared" ca="1" si="1"/>
        <v>3.1944871231341522E-2</v>
      </c>
    </row>
    <row r="47" spans="2:13" x14ac:dyDescent="0.3">
      <c r="B47" s="113">
        <v>44007</v>
      </c>
      <c r="C47">
        <v>202.1</v>
      </c>
      <c r="D47">
        <f t="shared" si="0"/>
        <v>6.2907647907647908</v>
      </c>
      <c r="E47">
        <v>5.3427156632786035E-2</v>
      </c>
      <c r="G47">
        <v>45</v>
      </c>
      <c r="H47">
        <f t="shared" ca="1" si="1"/>
        <v>1.3592490570863447E-2</v>
      </c>
    </row>
    <row r="48" spans="2:13" x14ac:dyDescent="0.3">
      <c r="B48" s="113">
        <v>38315</v>
      </c>
      <c r="C48">
        <v>27.72</v>
      </c>
      <c r="D48">
        <f t="shared" si="0"/>
        <v>-0.57016591719646459</v>
      </c>
      <c r="E48">
        <v>5.2391799544419096E-2</v>
      </c>
      <c r="G48">
        <v>46</v>
      </c>
      <c r="H48">
        <f t="shared" ca="1" si="1"/>
        <v>6.0945081607551663E-3</v>
      </c>
    </row>
    <row r="49" spans="2:8" x14ac:dyDescent="0.3">
      <c r="B49" s="113">
        <v>39512</v>
      </c>
      <c r="C49">
        <v>64.489999999999995</v>
      </c>
      <c r="D49">
        <f t="shared" si="0"/>
        <v>1.7737634408602148</v>
      </c>
      <c r="E49">
        <v>5.2210801109479454E-2</v>
      </c>
      <c r="G49">
        <v>47</v>
      </c>
      <c r="H49">
        <f t="shared" ca="1" si="1"/>
        <v>-9.6861399787711248E-3</v>
      </c>
    </row>
    <row r="50" spans="2:8" x14ac:dyDescent="0.3">
      <c r="B50" s="113">
        <v>38194</v>
      </c>
      <c r="C50">
        <v>23.25</v>
      </c>
      <c r="D50">
        <f t="shared" si="0"/>
        <v>-0.70695739853793804</v>
      </c>
      <c r="E50">
        <v>5.0610031631269814E-2</v>
      </c>
      <c r="G50">
        <v>48</v>
      </c>
      <c r="H50">
        <f t="shared" ca="1" si="1"/>
        <v>-5.0850689859237236E-3</v>
      </c>
    </row>
    <row r="51" spans="2:8" x14ac:dyDescent="0.3">
      <c r="B51" s="113">
        <v>40038</v>
      </c>
      <c r="C51">
        <v>79.34</v>
      </c>
      <c r="D51">
        <f t="shared" si="0"/>
        <v>2.3350147120638924</v>
      </c>
      <c r="E51">
        <v>5.0443532371243244E-2</v>
      </c>
      <c r="G51">
        <v>49</v>
      </c>
      <c r="H51">
        <f t="shared" ca="1" si="1"/>
        <v>-2.6388543253734503E-2</v>
      </c>
    </row>
    <row r="52" spans="2:8" x14ac:dyDescent="0.3">
      <c r="B52" s="113">
        <v>37994</v>
      </c>
      <c r="C52">
        <v>23.79</v>
      </c>
      <c r="D52">
        <f t="shared" si="0"/>
        <v>0.60526315789473673</v>
      </c>
      <c r="E52">
        <v>5.0331125827814599E-2</v>
      </c>
      <c r="G52">
        <v>50</v>
      </c>
      <c r="H52">
        <f t="shared" ca="1" si="1"/>
        <v>-1.8950622210034792E-2</v>
      </c>
    </row>
    <row r="53" spans="2:8" x14ac:dyDescent="0.3">
      <c r="B53" s="113">
        <v>37470</v>
      </c>
      <c r="C53">
        <v>14.82</v>
      </c>
      <c r="D53">
        <f t="shared" si="0"/>
        <v>-0.93555120678408354</v>
      </c>
      <c r="E53">
        <v>5.0318922749822886E-2</v>
      </c>
      <c r="G53">
        <v>51</v>
      </c>
      <c r="H53">
        <f t="shared" ca="1" si="1"/>
        <v>-5.0736736424699365E-3</v>
      </c>
    </row>
    <row r="54" spans="2:8" x14ac:dyDescent="0.3">
      <c r="B54" s="113">
        <v>42513</v>
      </c>
      <c r="C54">
        <v>229.95</v>
      </c>
      <c r="D54">
        <f t="shared" si="0"/>
        <v>1.6660869565217391</v>
      </c>
      <c r="E54">
        <v>4.9952056983699367E-2</v>
      </c>
      <c r="G54">
        <v>52</v>
      </c>
      <c r="H54">
        <f t="shared" ca="1" si="1"/>
        <v>7.0995168375750548E-4</v>
      </c>
    </row>
    <row r="55" spans="2:8" x14ac:dyDescent="0.3">
      <c r="B55" s="113">
        <v>40109</v>
      </c>
      <c r="C55">
        <v>86.25</v>
      </c>
      <c r="D55">
        <f t="shared" si="0"/>
        <v>-0.26351293655537528</v>
      </c>
      <c r="E55">
        <v>4.9780915287244445E-2</v>
      </c>
      <c r="G55">
        <v>53</v>
      </c>
      <c r="H55">
        <f t="shared" ca="1" si="1"/>
        <v>4.0161926762048144E-3</v>
      </c>
    </row>
    <row r="56" spans="2:8" x14ac:dyDescent="0.3">
      <c r="B56" s="113">
        <v>40441</v>
      </c>
      <c r="C56">
        <v>117.11</v>
      </c>
      <c r="D56">
        <f t="shared" si="0"/>
        <v>0.72220588235294114</v>
      </c>
      <c r="E56">
        <v>4.9278738464295313E-2</v>
      </c>
      <c r="G56">
        <v>54</v>
      </c>
      <c r="H56">
        <f t="shared" ca="1" si="1"/>
        <v>-2.2907015473574113E-2</v>
      </c>
    </row>
    <row r="57" spans="2:8" x14ac:dyDescent="0.3">
      <c r="B57" s="113">
        <v>39479</v>
      </c>
      <c r="C57">
        <v>68</v>
      </c>
      <c r="D57">
        <f t="shared" si="0"/>
        <v>1.9059829059829061</v>
      </c>
      <c r="E57">
        <v>4.9058932428262994E-2</v>
      </c>
      <c r="G57">
        <v>55</v>
      </c>
      <c r="H57">
        <f t="shared" ca="1" si="1"/>
        <v>1.296585306972305E-2</v>
      </c>
    </row>
    <row r="58" spans="2:8" x14ac:dyDescent="0.3">
      <c r="B58" s="113">
        <v>38030</v>
      </c>
      <c r="C58">
        <v>23.4</v>
      </c>
      <c r="D58">
        <f t="shared" si="0"/>
        <v>-0.567467652495379</v>
      </c>
      <c r="E58">
        <v>4.8857014791573283E-2</v>
      </c>
      <c r="G58">
        <v>56</v>
      </c>
      <c r="H58">
        <f t="shared" ca="1" si="1"/>
        <v>-2.3484733778085562E-2</v>
      </c>
    </row>
    <row r="59" spans="2:8" x14ac:dyDescent="0.3">
      <c r="B59" s="113">
        <v>38884</v>
      </c>
      <c r="C59">
        <v>54.1</v>
      </c>
      <c r="D59">
        <f t="shared" si="0"/>
        <v>-0.20112226816302417</v>
      </c>
      <c r="E59">
        <v>4.8856145792943062E-2</v>
      </c>
      <c r="G59">
        <v>57</v>
      </c>
      <c r="H59">
        <f t="shared" ca="1" si="1"/>
        <v>-1.8620687550240905E-2</v>
      </c>
    </row>
    <row r="60" spans="2:8" x14ac:dyDescent="0.3">
      <c r="B60" s="113">
        <v>38854</v>
      </c>
      <c r="C60">
        <v>67.72</v>
      </c>
      <c r="D60">
        <f t="shared" si="0"/>
        <v>-2.8825469668722285E-2</v>
      </c>
      <c r="E60">
        <v>4.8784265138609353E-2</v>
      </c>
      <c r="G60">
        <v>58</v>
      </c>
      <c r="H60">
        <f t="shared" ca="1" si="1"/>
        <v>-6.3869810979133726E-3</v>
      </c>
    </row>
    <row r="61" spans="2:8" x14ac:dyDescent="0.3">
      <c r="B61" s="113">
        <v>39545</v>
      </c>
      <c r="C61">
        <v>69.73</v>
      </c>
      <c r="D61">
        <f t="shared" si="0"/>
        <v>-0.12333417148604478</v>
      </c>
      <c r="E61">
        <v>4.8729132200331017E-2</v>
      </c>
      <c r="G61">
        <v>59</v>
      </c>
      <c r="H61">
        <f t="shared" ca="1" si="1"/>
        <v>-2.5301540559750119E-2</v>
      </c>
    </row>
    <row r="62" spans="2:8" x14ac:dyDescent="0.3">
      <c r="B62" s="113">
        <v>40049</v>
      </c>
      <c r="C62">
        <v>79.540000000000006</v>
      </c>
      <c r="D62">
        <f t="shared" si="0"/>
        <v>0.54506604506604528</v>
      </c>
      <c r="E62">
        <v>4.8095928317301431E-2</v>
      </c>
      <c r="G62">
        <v>60</v>
      </c>
      <c r="H62">
        <f t="shared" ca="1" si="1"/>
        <v>-9.5347178047187134E-3</v>
      </c>
    </row>
    <row r="63" spans="2:8" x14ac:dyDescent="0.3">
      <c r="B63" s="113">
        <v>39181</v>
      </c>
      <c r="C63">
        <v>51.48</v>
      </c>
      <c r="D63">
        <f t="shared" si="0"/>
        <v>-0.81696000000000002</v>
      </c>
      <c r="E63">
        <v>4.7832281701607859E-2</v>
      </c>
      <c r="G63">
        <v>61</v>
      </c>
      <c r="H63">
        <f t="shared" ca="1" si="1"/>
        <v>-4.6367909426103891E-3</v>
      </c>
    </row>
    <row r="64" spans="2:8" x14ac:dyDescent="0.3">
      <c r="B64" s="113">
        <v>42811</v>
      </c>
      <c r="C64">
        <v>281.25</v>
      </c>
      <c r="D64">
        <f t="shared" si="0"/>
        <v>3.4096895578551267</v>
      </c>
      <c r="E64">
        <v>4.768113242689518E-2</v>
      </c>
      <c r="G64">
        <v>62</v>
      </c>
      <c r="H64">
        <f t="shared" ca="1" si="1"/>
        <v>-9.8029336338103876E-3</v>
      </c>
    </row>
    <row r="65" spans="2:8" x14ac:dyDescent="0.3">
      <c r="B65" s="113">
        <v>39965</v>
      </c>
      <c r="C65">
        <v>63.78</v>
      </c>
      <c r="D65">
        <f t="shared" si="0"/>
        <v>1.1503708698583952</v>
      </c>
      <c r="E65">
        <v>4.7634691195794984E-2</v>
      </c>
      <c r="G65">
        <v>63</v>
      </c>
      <c r="H65">
        <f t="shared" ca="1" si="1"/>
        <v>2.8368069565957273E-2</v>
      </c>
    </row>
    <row r="66" spans="2:8" x14ac:dyDescent="0.3">
      <c r="B66" s="113">
        <v>38442</v>
      </c>
      <c r="C66">
        <v>29.66</v>
      </c>
      <c r="D66">
        <f t="shared" si="0"/>
        <v>0.17511885895404128</v>
      </c>
      <c r="E66">
        <v>4.6946699611719094E-2</v>
      </c>
      <c r="G66">
        <v>64</v>
      </c>
      <c r="H66">
        <f t="shared" ca="1" si="1"/>
        <v>-3.544361714344002E-2</v>
      </c>
    </row>
    <row r="67" spans="2:8" x14ac:dyDescent="0.3">
      <c r="B67" s="113">
        <v>38246</v>
      </c>
      <c r="C67">
        <v>25.24</v>
      </c>
      <c r="D67">
        <f t="shared" ref="D67:D130" si="5">(C67-C68)/C68</f>
        <v>0.63049095607235128</v>
      </c>
      <c r="E67">
        <v>4.686851928660303E-2</v>
      </c>
      <c r="G67">
        <v>65</v>
      </c>
      <c r="H67">
        <f t="shared" ca="1" si="1"/>
        <v>8.3738446703468961E-4</v>
      </c>
    </row>
    <row r="68" spans="2:8" x14ac:dyDescent="0.3">
      <c r="B68" s="113">
        <v>37441</v>
      </c>
      <c r="C68">
        <v>15.48</v>
      </c>
      <c r="D68">
        <f t="shared" si="5"/>
        <v>-0.93423959218351749</v>
      </c>
      <c r="E68">
        <v>4.665314401622727E-2</v>
      </c>
      <c r="G68">
        <v>66</v>
      </c>
      <c r="H68">
        <f t="shared" ref="H68:H131" ca="1" si="6">_xlfn.NORM.INV(RAND(),$L$4,$L$6)</f>
        <v>-8.389539067098415E-3</v>
      </c>
    </row>
    <row r="69" spans="2:8" x14ac:dyDescent="0.3">
      <c r="B69" s="113">
        <v>44539</v>
      </c>
      <c r="C69">
        <v>235.4</v>
      </c>
      <c r="D69">
        <f t="shared" si="5"/>
        <v>3.0565224883680857</v>
      </c>
      <c r="E69">
        <v>4.6454767726161444E-2</v>
      </c>
      <c r="G69">
        <v>67</v>
      </c>
      <c r="H69">
        <f t="shared" ca="1" si="6"/>
        <v>4.8391155186126817E-4</v>
      </c>
    </row>
    <row r="70" spans="2:8" x14ac:dyDescent="0.3">
      <c r="B70" s="113">
        <v>38918</v>
      </c>
      <c r="C70">
        <v>58.03</v>
      </c>
      <c r="D70">
        <f t="shared" si="5"/>
        <v>-0.76450775099423751</v>
      </c>
      <c r="E70">
        <v>4.5208933717579211E-2</v>
      </c>
      <c r="G70">
        <v>68</v>
      </c>
      <c r="H70">
        <f t="shared" ca="1" si="6"/>
        <v>-1.4755734396645032E-2</v>
      </c>
    </row>
    <row r="71" spans="2:8" x14ac:dyDescent="0.3">
      <c r="B71" s="113">
        <v>41953</v>
      </c>
      <c r="C71">
        <v>246.42</v>
      </c>
      <c r="D71">
        <f t="shared" si="5"/>
        <v>-8.6318131256952174E-2</v>
      </c>
      <c r="E71">
        <v>4.5126813130884666E-2</v>
      </c>
      <c r="G71">
        <v>69</v>
      </c>
      <c r="H71">
        <f t="shared" ca="1" si="6"/>
        <v>2.5245411496933813E-3</v>
      </c>
    </row>
    <row r="72" spans="2:8" x14ac:dyDescent="0.3">
      <c r="B72" s="113">
        <v>42767</v>
      </c>
      <c r="C72">
        <v>269.7</v>
      </c>
      <c r="D72">
        <f t="shared" si="5"/>
        <v>3.391077824812764</v>
      </c>
      <c r="E72">
        <v>4.4943820224718968E-2</v>
      </c>
      <c r="G72">
        <v>70</v>
      </c>
      <c r="H72">
        <f t="shared" ca="1" si="6"/>
        <v>9.1995823501660433E-3</v>
      </c>
    </row>
    <row r="73" spans="2:8" x14ac:dyDescent="0.3">
      <c r="B73" s="113">
        <v>39378</v>
      </c>
      <c r="C73">
        <v>61.42</v>
      </c>
      <c r="D73">
        <f t="shared" si="5"/>
        <v>8.4584142680557986E-2</v>
      </c>
      <c r="E73">
        <v>4.4735499234563748E-2</v>
      </c>
      <c r="G73">
        <v>71</v>
      </c>
      <c r="H73">
        <f t="shared" ca="1" si="6"/>
        <v>-1.7701050624687357E-2</v>
      </c>
    </row>
    <row r="74" spans="2:8" x14ac:dyDescent="0.3">
      <c r="B74" s="113">
        <v>38763</v>
      </c>
      <c r="C74">
        <v>56.63</v>
      </c>
      <c r="D74">
        <f t="shared" si="5"/>
        <v>-5.1105898123324348E-2</v>
      </c>
      <c r="E74">
        <v>4.4641210108836038E-2</v>
      </c>
      <c r="G74">
        <v>72</v>
      </c>
      <c r="H74">
        <f t="shared" ca="1" si="6"/>
        <v>3.2039251418738784E-2</v>
      </c>
    </row>
    <row r="75" spans="2:8" x14ac:dyDescent="0.3">
      <c r="B75" s="113">
        <v>39800</v>
      </c>
      <c r="C75">
        <v>59.68</v>
      </c>
      <c r="D75">
        <f t="shared" si="5"/>
        <v>-0.71882214369846875</v>
      </c>
      <c r="E75">
        <v>4.4635042884648993E-2</v>
      </c>
      <c r="G75">
        <v>73</v>
      </c>
      <c r="H75">
        <f t="shared" ca="1" si="6"/>
        <v>-2.8982266318007044E-2</v>
      </c>
    </row>
    <row r="76" spans="2:8" x14ac:dyDescent="0.3">
      <c r="B76" s="113">
        <v>44330</v>
      </c>
      <c r="C76">
        <v>212.25</v>
      </c>
      <c r="D76">
        <f t="shared" si="5"/>
        <v>2.7942438326778691</v>
      </c>
      <c r="E76">
        <v>4.4280442804428041E-2</v>
      </c>
      <c r="G76">
        <v>74</v>
      </c>
      <c r="H76">
        <f t="shared" ca="1" si="6"/>
        <v>-3.2120025649495822E-2</v>
      </c>
    </row>
    <row r="77" spans="2:8" x14ac:dyDescent="0.3">
      <c r="B77" s="113">
        <v>38889</v>
      </c>
      <c r="C77">
        <v>55.94</v>
      </c>
      <c r="D77">
        <f t="shared" si="5"/>
        <v>-0.65723039215686274</v>
      </c>
      <c r="E77">
        <v>4.4046285927584909E-2</v>
      </c>
      <c r="G77">
        <v>75</v>
      </c>
      <c r="H77">
        <f t="shared" ca="1" si="6"/>
        <v>-1.5271733088841241E-2</v>
      </c>
    </row>
    <row r="78" spans="2:8" x14ac:dyDescent="0.3">
      <c r="B78" s="113">
        <v>43917</v>
      </c>
      <c r="C78">
        <v>163.19999999999999</v>
      </c>
      <c r="D78">
        <f t="shared" si="5"/>
        <v>10.049424509140147</v>
      </c>
      <c r="E78">
        <v>4.3478260869565105E-2</v>
      </c>
      <c r="G78">
        <v>76</v>
      </c>
      <c r="H78">
        <f t="shared" ca="1" si="6"/>
        <v>3.7150719198713435E-3</v>
      </c>
    </row>
    <row r="79" spans="2:8" x14ac:dyDescent="0.3">
      <c r="B79" s="113">
        <v>37438</v>
      </c>
      <c r="C79">
        <v>14.77</v>
      </c>
      <c r="D79">
        <f t="shared" si="5"/>
        <v>-0.66979655712050079</v>
      </c>
      <c r="E79">
        <v>4.3079096045197697E-2</v>
      </c>
      <c r="G79">
        <v>77</v>
      </c>
      <c r="H79">
        <f t="shared" ca="1" si="6"/>
        <v>1.807667334680204E-2</v>
      </c>
    </row>
    <row r="80" spans="2:8" x14ac:dyDescent="0.3">
      <c r="B80" s="113">
        <v>38680</v>
      </c>
      <c r="C80">
        <v>44.73</v>
      </c>
      <c r="D80">
        <f t="shared" si="5"/>
        <v>-0.76377079482439936</v>
      </c>
      <c r="E80">
        <v>4.290044299370474E-2</v>
      </c>
      <c r="G80">
        <v>78</v>
      </c>
      <c r="H80">
        <f t="shared" ca="1" si="6"/>
        <v>-1.4972186948282411E-2</v>
      </c>
    </row>
    <row r="81" spans="2:8" x14ac:dyDescent="0.3">
      <c r="B81" s="113">
        <v>43936</v>
      </c>
      <c r="C81">
        <v>189.35</v>
      </c>
      <c r="D81">
        <f t="shared" si="5"/>
        <v>8.7502574665293515</v>
      </c>
      <c r="E81">
        <v>4.2676211453744492E-2</v>
      </c>
      <c r="G81">
        <v>79</v>
      </c>
      <c r="H81">
        <f t="shared" ca="1" si="6"/>
        <v>5.5233376284692113E-3</v>
      </c>
    </row>
    <row r="82" spans="2:8" x14ac:dyDescent="0.3">
      <c r="B82" s="113">
        <v>37903</v>
      </c>
      <c r="C82">
        <v>19.420000000000002</v>
      </c>
      <c r="D82">
        <f t="shared" si="5"/>
        <v>-0.90428782651552497</v>
      </c>
      <c r="E82">
        <v>4.2404723564144001E-2</v>
      </c>
      <c r="G82">
        <v>80</v>
      </c>
      <c r="H82">
        <f t="shared" ca="1" si="6"/>
        <v>-2.1222224441385649E-3</v>
      </c>
    </row>
    <row r="83" spans="2:8" x14ac:dyDescent="0.3">
      <c r="B83" s="113">
        <v>44013</v>
      </c>
      <c r="C83">
        <v>202.9</v>
      </c>
      <c r="D83">
        <f t="shared" si="5"/>
        <v>2.9413364413364418</v>
      </c>
      <c r="E83">
        <v>4.2383765733367579E-2</v>
      </c>
      <c r="G83">
        <v>81</v>
      </c>
      <c r="H83">
        <f t="shared" ca="1" si="6"/>
        <v>-1.9404497477789186E-4</v>
      </c>
    </row>
    <row r="84" spans="2:8" x14ac:dyDescent="0.3">
      <c r="B84" s="113">
        <v>39749</v>
      </c>
      <c r="C84">
        <v>51.48</v>
      </c>
      <c r="D84">
        <f t="shared" si="5"/>
        <v>-0.28678304239401509</v>
      </c>
      <c r="E84">
        <v>4.2316258351893017E-2</v>
      </c>
      <c r="G84">
        <v>82</v>
      </c>
      <c r="H84">
        <f t="shared" ca="1" si="6"/>
        <v>1.8077080815077692E-2</v>
      </c>
    </row>
    <row r="85" spans="2:8" x14ac:dyDescent="0.3">
      <c r="B85" s="113">
        <v>39464</v>
      </c>
      <c r="C85">
        <v>72.180000000000007</v>
      </c>
      <c r="D85">
        <f t="shared" si="5"/>
        <v>0.20039913520705144</v>
      </c>
      <c r="E85">
        <v>4.2159976898642815E-2</v>
      </c>
      <c r="G85">
        <v>83</v>
      </c>
      <c r="H85">
        <f t="shared" ca="1" si="6"/>
        <v>-1.1035811029074248E-2</v>
      </c>
    </row>
    <row r="86" spans="2:8" x14ac:dyDescent="0.3">
      <c r="B86" s="113">
        <v>38862</v>
      </c>
      <c r="C86">
        <v>60.13</v>
      </c>
      <c r="D86">
        <f t="shared" si="5"/>
        <v>-0.77737874861162537</v>
      </c>
      <c r="E86">
        <v>4.193380696586383E-2</v>
      </c>
      <c r="G86">
        <v>84</v>
      </c>
      <c r="H86">
        <f t="shared" ca="1" si="6"/>
        <v>2.8538538996062367E-2</v>
      </c>
    </row>
    <row r="87" spans="2:8" x14ac:dyDescent="0.3">
      <c r="B87" s="113">
        <v>43171</v>
      </c>
      <c r="C87">
        <v>270.10000000000002</v>
      </c>
      <c r="D87">
        <f t="shared" si="5"/>
        <v>2.040045334340776E-2</v>
      </c>
      <c r="E87">
        <v>4.1851494696239236E-2</v>
      </c>
      <c r="G87">
        <v>85</v>
      </c>
      <c r="H87">
        <f t="shared" ca="1" si="6"/>
        <v>-2.942909112546092E-2</v>
      </c>
    </row>
    <row r="88" spans="2:8" x14ac:dyDescent="0.3">
      <c r="B88" s="113">
        <v>44698</v>
      </c>
      <c r="C88">
        <v>264.7</v>
      </c>
      <c r="D88">
        <f t="shared" si="5"/>
        <v>2.300498753117207</v>
      </c>
      <c r="E88">
        <v>4.1715859897678058E-2</v>
      </c>
      <c r="G88">
        <v>86</v>
      </c>
      <c r="H88">
        <f t="shared" ca="1" si="6"/>
        <v>1.3622593295348137E-2</v>
      </c>
    </row>
    <row r="89" spans="2:8" x14ac:dyDescent="0.3">
      <c r="B89" s="113">
        <v>40239</v>
      </c>
      <c r="C89">
        <v>80.2</v>
      </c>
      <c r="D89">
        <f t="shared" si="5"/>
        <v>-0.51408664041199637</v>
      </c>
      <c r="E89">
        <v>4.169372645798166E-2</v>
      </c>
      <c r="G89">
        <v>87</v>
      </c>
      <c r="H89">
        <f t="shared" ca="1" si="6"/>
        <v>-1.5065169752316017E-2</v>
      </c>
    </row>
    <row r="90" spans="2:8" x14ac:dyDescent="0.3">
      <c r="B90" s="113">
        <v>43963</v>
      </c>
      <c r="C90">
        <v>165.05</v>
      </c>
      <c r="D90">
        <f t="shared" si="5"/>
        <v>1.6898631029986964</v>
      </c>
      <c r="E90">
        <v>4.1653518460082188E-2</v>
      </c>
      <c r="G90">
        <v>88</v>
      </c>
      <c r="H90">
        <f t="shared" ca="1" si="6"/>
        <v>-7.6767380829431287E-3</v>
      </c>
    </row>
    <row r="91" spans="2:8" x14ac:dyDescent="0.3">
      <c r="B91" s="113">
        <v>39898</v>
      </c>
      <c r="C91">
        <v>61.36</v>
      </c>
      <c r="D91">
        <f t="shared" si="5"/>
        <v>-0.62181818181818183</v>
      </c>
      <c r="E91">
        <v>4.1412084181941575E-2</v>
      </c>
      <c r="G91">
        <v>89</v>
      </c>
      <c r="H91">
        <f t="shared" ca="1" si="6"/>
        <v>6.0405542615607419E-2</v>
      </c>
    </row>
    <row r="92" spans="2:8" x14ac:dyDescent="0.3">
      <c r="B92" s="113">
        <v>43903</v>
      </c>
      <c r="C92">
        <v>162.25</v>
      </c>
      <c r="D92">
        <f t="shared" si="5"/>
        <v>3.0350659040039787</v>
      </c>
      <c r="E92">
        <v>4.1399229781771428E-2</v>
      </c>
      <c r="G92">
        <v>90</v>
      </c>
      <c r="H92">
        <f t="shared" ca="1" si="6"/>
        <v>4.9671587076264723E-3</v>
      </c>
    </row>
    <row r="93" spans="2:8" x14ac:dyDescent="0.3">
      <c r="B93" s="113">
        <v>38646</v>
      </c>
      <c r="C93">
        <v>40.21</v>
      </c>
      <c r="D93">
        <f t="shared" si="5"/>
        <v>1.5992243051066581</v>
      </c>
      <c r="E93">
        <v>4.1170378042465136E-2</v>
      </c>
      <c r="G93">
        <v>91</v>
      </c>
      <c r="H93">
        <f t="shared" ca="1" si="6"/>
        <v>-3.3154721432098348E-2</v>
      </c>
    </row>
    <row r="94" spans="2:8" x14ac:dyDescent="0.3">
      <c r="B94" s="113">
        <v>37757</v>
      </c>
      <c r="C94">
        <v>15.47</v>
      </c>
      <c r="D94">
        <f t="shared" si="5"/>
        <v>-0.61169678714859443</v>
      </c>
      <c r="E94">
        <v>4.1049798115747056E-2</v>
      </c>
      <c r="G94">
        <v>92</v>
      </c>
      <c r="H94">
        <f t="shared" ca="1" si="6"/>
        <v>-3.5025083644933054E-3</v>
      </c>
    </row>
    <row r="95" spans="2:8" x14ac:dyDescent="0.3">
      <c r="B95" s="113">
        <v>38656</v>
      </c>
      <c r="C95">
        <v>39.840000000000003</v>
      </c>
      <c r="D95">
        <f t="shared" si="5"/>
        <v>-0.80748042910988693</v>
      </c>
      <c r="E95">
        <v>4.1024301019074998E-2</v>
      </c>
      <c r="G95">
        <v>93</v>
      </c>
      <c r="H95">
        <f t="shared" ca="1" si="6"/>
        <v>3.1189760275111254E-2</v>
      </c>
    </row>
    <row r="96" spans="2:8" x14ac:dyDescent="0.3">
      <c r="B96" s="113">
        <v>41522</v>
      </c>
      <c r="C96">
        <v>206.94</v>
      </c>
      <c r="D96">
        <f t="shared" si="5"/>
        <v>2.6711016498137305</v>
      </c>
      <c r="E96">
        <v>4.0998038130690709E-2</v>
      </c>
      <c r="G96">
        <v>94</v>
      </c>
      <c r="H96">
        <f t="shared" ca="1" si="6"/>
        <v>-1.5613902937556977E-2</v>
      </c>
    </row>
    <row r="97" spans="2:8" x14ac:dyDescent="0.3">
      <c r="B97" s="113">
        <v>39734</v>
      </c>
      <c r="C97">
        <v>56.37</v>
      </c>
      <c r="D97">
        <f t="shared" si="5"/>
        <v>-0.34354256434144642</v>
      </c>
      <c r="E97">
        <v>4.0997229916897485E-2</v>
      </c>
      <c r="G97">
        <v>95</v>
      </c>
      <c r="H97">
        <f t="shared" ca="1" si="6"/>
        <v>3.4483202145333049E-2</v>
      </c>
    </row>
    <row r="98" spans="2:8" x14ac:dyDescent="0.3">
      <c r="B98" s="113">
        <v>40126</v>
      </c>
      <c r="C98">
        <v>85.87</v>
      </c>
      <c r="D98">
        <f t="shared" si="5"/>
        <v>0.8096944151738672</v>
      </c>
      <c r="E98">
        <v>4.0974663595587463E-2</v>
      </c>
      <c r="G98">
        <v>96</v>
      </c>
      <c r="H98">
        <f t="shared" ca="1" si="6"/>
        <v>-1.6908669240931162E-2</v>
      </c>
    </row>
    <row r="99" spans="2:8" x14ac:dyDescent="0.3">
      <c r="B99" s="113">
        <v>38621</v>
      </c>
      <c r="C99">
        <v>47.45</v>
      </c>
      <c r="D99">
        <f t="shared" si="5"/>
        <v>-0.81805981595092025</v>
      </c>
      <c r="E99">
        <v>4.0798420706295226E-2</v>
      </c>
      <c r="G99">
        <v>97</v>
      </c>
      <c r="H99">
        <f t="shared" ca="1" si="6"/>
        <v>-8.3705635274443824E-4</v>
      </c>
    </row>
    <row r="100" spans="2:8" x14ac:dyDescent="0.3">
      <c r="B100" s="113">
        <v>42584</v>
      </c>
      <c r="C100">
        <v>260.8</v>
      </c>
      <c r="D100">
        <f t="shared" si="5"/>
        <v>0.1474327951075719</v>
      </c>
      <c r="E100">
        <v>4.0702314445331275E-2</v>
      </c>
      <c r="G100">
        <v>98</v>
      </c>
      <c r="H100">
        <f t="shared" ca="1" si="6"/>
        <v>1.175728840760047E-2</v>
      </c>
    </row>
    <row r="101" spans="2:8" x14ac:dyDescent="0.3">
      <c r="B101" s="113">
        <v>42283</v>
      </c>
      <c r="C101">
        <v>227.29</v>
      </c>
      <c r="D101">
        <f t="shared" si="5"/>
        <v>-2.8882717368083823E-2</v>
      </c>
      <c r="E101">
        <v>4.0514557773301568E-2</v>
      </c>
      <c r="G101">
        <v>99</v>
      </c>
      <c r="H101">
        <f t="shared" ca="1" si="6"/>
        <v>-2.8858709780138964E-3</v>
      </c>
    </row>
    <row r="102" spans="2:8" x14ac:dyDescent="0.3">
      <c r="B102" s="113">
        <v>42731</v>
      </c>
      <c r="C102">
        <v>234.05</v>
      </c>
      <c r="D102">
        <f t="shared" si="5"/>
        <v>3.4614944719786505</v>
      </c>
      <c r="E102">
        <v>4.022222222222227E-2</v>
      </c>
      <c r="G102">
        <v>100</v>
      </c>
      <c r="H102">
        <f t="shared" ca="1" si="6"/>
        <v>7.6520302713391757E-3</v>
      </c>
    </row>
    <row r="103" spans="2:8" x14ac:dyDescent="0.3">
      <c r="B103" s="113">
        <v>39316</v>
      </c>
      <c r="C103">
        <v>52.46</v>
      </c>
      <c r="D103">
        <f t="shared" si="5"/>
        <v>-0.17979987492182614</v>
      </c>
      <c r="E103">
        <v>3.984142715559956E-2</v>
      </c>
      <c r="G103">
        <v>101</v>
      </c>
      <c r="H103">
        <f t="shared" ca="1" si="6"/>
        <v>4.3727072726617439E-3</v>
      </c>
    </row>
    <row r="104" spans="2:8" x14ac:dyDescent="0.3">
      <c r="B104" s="113">
        <v>38803</v>
      </c>
      <c r="C104">
        <v>63.96</v>
      </c>
      <c r="D104">
        <f t="shared" si="5"/>
        <v>0.16800584368151941</v>
      </c>
      <c r="E104">
        <v>3.9830921801333165E-2</v>
      </c>
      <c r="G104">
        <v>102</v>
      </c>
      <c r="H104">
        <f t="shared" ca="1" si="6"/>
        <v>2.9371016484257502E-2</v>
      </c>
    </row>
    <row r="105" spans="2:8" x14ac:dyDescent="0.3">
      <c r="B105" s="113">
        <v>39741</v>
      </c>
      <c r="C105">
        <v>54.76</v>
      </c>
      <c r="D105">
        <f t="shared" si="5"/>
        <v>-0.80623474045504406</v>
      </c>
      <c r="E105">
        <v>3.9681032846022334E-2</v>
      </c>
      <c r="G105">
        <v>103</v>
      </c>
      <c r="H105">
        <f t="shared" ca="1" si="6"/>
        <v>-6.6615514710795078E-3</v>
      </c>
    </row>
    <row r="106" spans="2:8" x14ac:dyDescent="0.3">
      <c r="B106" s="113">
        <v>44743</v>
      </c>
      <c r="C106">
        <v>282.61</v>
      </c>
      <c r="D106">
        <f t="shared" si="5"/>
        <v>12.470448045757864</v>
      </c>
      <c r="E106">
        <v>3.96571386528346E-2</v>
      </c>
      <c r="G106">
        <v>104</v>
      </c>
      <c r="H106">
        <f t="shared" ca="1" si="6"/>
        <v>-4.04696780686021E-3</v>
      </c>
    </row>
    <row r="107" spans="2:8" x14ac:dyDescent="0.3">
      <c r="B107" s="113">
        <v>37964</v>
      </c>
      <c r="C107">
        <v>20.98</v>
      </c>
      <c r="D107">
        <f t="shared" si="5"/>
        <v>-0.91188576228475438</v>
      </c>
      <c r="E107">
        <v>3.9643211100099142E-2</v>
      </c>
      <c r="G107">
        <v>105</v>
      </c>
      <c r="H107">
        <f t="shared" ca="1" si="6"/>
        <v>-2.4734714432605703E-2</v>
      </c>
    </row>
    <row r="108" spans="2:8" x14ac:dyDescent="0.3">
      <c r="B108" s="113">
        <v>41771</v>
      </c>
      <c r="C108">
        <v>238.1</v>
      </c>
      <c r="D108">
        <f t="shared" si="5"/>
        <v>2.8341384863123995</v>
      </c>
      <c r="E108">
        <v>3.9374890867819021E-2</v>
      </c>
      <c r="G108">
        <v>106</v>
      </c>
      <c r="H108">
        <f t="shared" ca="1" si="6"/>
        <v>7.9359323675591859E-3</v>
      </c>
    </row>
    <row r="109" spans="2:8" x14ac:dyDescent="0.3">
      <c r="B109" s="113">
        <v>39344</v>
      </c>
      <c r="C109">
        <v>62.1</v>
      </c>
      <c r="D109">
        <f t="shared" si="5"/>
        <v>-0.70352334574620456</v>
      </c>
      <c r="E109">
        <v>3.9330543933054414E-2</v>
      </c>
      <c r="G109">
        <v>107</v>
      </c>
      <c r="H109">
        <f t="shared" ca="1" si="6"/>
        <v>-7.0599118414897619E-3</v>
      </c>
    </row>
    <row r="110" spans="2:8" x14ac:dyDescent="0.3">
      <c r="B110" s="113">
        <v>42215</v>
      </c>
      <c r="C110">
        <v>209.46</v>
      </c>
      <c r="D110">
        <f t="shared" si="5"/>
        <v>2.3116205533596839</v>
      </c>
      <c r="E110">
        <v>3.9297409943435627E-2</v>
      </c>
      <c r="G110">
        <v>108</v>
      </c>
      <c r="H110">
        <f t="shared" ca="1" si="6"/>
        <v>-1.3054928412884722E-2</v>
      </c>
    </row>
    <row r="111" spans="2:8" x14ac:dyDescent="0.3">
      <c r="B111" s="113">
        <v>39973</v>
      </c>
      <c r="C111">
        <v>63.25</v>
      </c>
      <c r="D111">
        <f t="shared" si="5"/>
        <v>-0.71031418887972886</v>
      </c>
      <c r="E111">
        <v>3.9270456786066395E-2</v>
      </c>
      <c r="G111">
        <v>109</v>
      </c>
      <c r="H111">
        <f t="shared" ca="1" si="6"/>
        <v>-2.6359211679582412E-2</v>
      </c>
    </row>
    <row r="112" spans="2:8" x14ac:dyDescent="0.3">
      <c r="B112" s="113">
        <v>42236</v>
      </c>
      <c r="C112">
        <v>218.34</v>
      </c>
      <c r="D112">
        <f t="shared" si="5"/>
        <v>2.8365840801265159</v>
      </c>
      <c r="E112">
        <v>3.9268884763672712E-2</v>
      </c>
      <c r="G112">
        <v>110</v>
      </c>
      <c r="H112">
        <f t="shared" ca="1" si="6"/>
        <v>1.9072630868195415E-2</v>
      </c>
    </row>
    <row r="113" spans="2:8" x14ac:dyDescent="0.3">
      <c r="B113" s="113">
        <v>39141</v>
      </c>
      <c r="C113">
        <v>56.91</v>
      </c>
      <c r="D113">
        <f t="shared" si="5"/>
        <v>-0.69287641662169464</v>
      </c>
      <c r="E113">
        <v>3.9262235208181132E-2</v>
      </c>
      <c r="G113">
        <v>111</v>
      </c>
      <c r="H113">
        <f t="shared" ca="1" si="6"/>
        <v>-6.6586753362428842E-4</v>
      </c>
    </row>
    <row r="114" spans="2:8" x14ac:dyDescent="0.3">
      <c r="B114" s="113">
        <v>44146</v>
      </c>
      <c r="C114">
        <v>185.3</v>
      </c>
      <c r="D114">
        <f t="shared" si="5"/>
        <v>1.568972688201858</v>
      </c>
      <c r="E114">
        <v>3.8968320717690033E-2</v>
      </c>
      <c r="G114">
        <v>112</v>
      </c>
      <c r="H114">
        <f t="shared" ca="1" si="6"/>
        <v>9.3693200559463539E-3</v>
      </c>
    </row>
    <row r="115" spans="2:8" x14ac:dyDescent="0.3">
      <c r="B115" s="113">
        <v>39448</v>
      </c>
      <c r="C115">
        <v>72.13</v>
      </c>
      <c r="D115">
        <f t="shared" si="5"/>
        <v>-0.66552283793183398</v>
      </c>
      <c r="E115">
        <v>3.8888088722454105E-2</v>
      </c>
      <c r="G115">
        <v>113</v>
      </c>
      <c r="H115">
        <f t="shared" ca="1" si="6"/>
        <v>-3.6876288968838359E-3</v>
      </c>
    </row>
    <row r="116" spans="2:8" x14ac:dyDescent="0.3">
      <c r="B116" s="113">
        <v>43865</v>
      </c>
      <c r="C116">
        <v>215.65</v>
      </c>
      <c r="D116">
        <f t="shared" si="5"/>
        <v>2.6581849024597113</v>
      </c>
      <c r="E116">
        <v>3.8776493256262097E-2</v>
      </c>
      <c r="G116">
        <v>114</v>
      </c>
      <c r="H116">
        <f t="shared" ca="1" si="6"/>
        <v>1.1459424411047834E-2</v>
      </c>
    </row>
    <row r="117" spans="2:8" x14ac:dyDescent="0.3">
      <c r="B117" s="113">
        <v>39636</v>
      </c>
      <c r="C117">
        <v>58.95</v>
      </c>
      <c r="D117">
        <f t="shared" si="5"/>
        <v>-3.7079385821626856E-2</v>
      </c>
      <c r="E117">
        <v>3.8766519823788599E-2</v>
      </c>
      <c r="G117">
        <v>115</v>
      </c>
      <c r="H117">
        <f t="shared" ca="1" si="6"/>
        <v>1.7723905950087014E-2</v>
      </c>
    </row>
    <row r="118" spans="2:8" x14ac:dyDescent="0.3">
      <c r="B118" s="113">
        <v>39335</v>
      </c>
      <c r="C118">
        <v>61.22</v>
      </c>
      <c r="D118">
        <f t="shared" si="5"/>
        <v>-0.81084504866367979</v>
      </c>
      <c r="E118">
        <v>3.8683406854428254E-2</v>
      </c>
      <c r="G118">
        <v>116</v>
      </c>
      <c r="H118">
        <f t="shared" ca="1" si="6"/>
        <v>2.9946274501291018E-2</v>
      </c>
    </row>
    <row r="119" spans="2:8" x14ac:dyDescent="0.3">
      <c r="B119" s="113">
        <v>42916</v>
      </c>
      <c r="C119">
        <v>323.64999999999998</v>
      </c>
      <c r="D119">
        <f t="shared" si="5"/>
        <v>16.851627137341424</v>
      </c>
      <c r="E119">
        <v>3.8671373555840674E-2</v>
      </c>
      <c r="G119">
        <v>117</v>
      </c>
      <c r="H119">
        <f t="shared" ca="1" si="6"/>
        <v>-1.2154303551521221E-2</v>
      </c>
    </row>
    <row r="120" spans="2:8" x14ac:dyDescent="0.3">
      <c r="B120" s="113">
        <v>37888</v>
      </c>
      <c r="C120">
        <v>18.13</v>
      </c>
      <c r="D120">
        <f t="shared" si="5"/>
        <v>-0.88340836012861734</v>
      </c>
      <c r="E120">
        <v>3.8373424971363007E-2</v>
      </c>
      <c r="G120">
        <v>118</v>
      </c>
      <c r="H120">
        <f t="shared" ca="1" si="6"/>
        <v>-1.7247966339121353E-2</v>
      </c>
    </row>
    <row r="121" spans="2:8" x14ac:dyDescent="0.3">
      <c r="B121" s="113">
        <v>41066</v>
      </c>
      <c r="C121">
        <v>155.5</v>
      </c>
      <c r="D121">
        <f t="shared" si="5"/>
        <v>-0.30778133903133897</v>
      </c>
      <c r="E121">
        <v>3.8327991452991518E-2</v>
      </c>
      <c r="G121">
        <v>119</v>
      </c>
      <c r="H121">
        <f t="shared" ca="1" si="6"/>
        <v>9.5117916432170806E-4</v>
      </c>
    </row>
    <row r="122" spans="2:8" x14ac:dyDescent="0.3">
      <c r="B122" s="113">
        <v>41459</v>
      </c>
      <c r="C122">
        <v>224.64</v>
      </c>
      <c r="D122">
        <f t="shared" si="5"/>
        <v>2.3785531658896071</v>
      </c>
      <c r="E122">
        <v>3.8269550748751949E-2</v>
      </c>
      <c r="G122">
        <v>120</v>
      </c>
      <c r="H122">
        <f t="shared" ca="1" si="6"/>
        <v>1.5461595651850461E-2</v>
      </c>
    </row>
    <row r="123" spans="2:8" x14ac:dyDescent="0.3">
      <c r="B123" s="113">
        <v>38806</v>
      </c>
      <c r="C123">
        <v>66.489999999999995</v>
      </c>
      <c r="D123">
        <f t="shared" si="5"/>
        <v>1.7785206853322189</v>
      </c>
      <c r="E123">
        <v>3.825733916302293E-2</v>
      </c>
      <c r="G123">
        <v>121</v>
      </c>
      <c r="H123">
        <f t="shared" ca="1" si="6"/>
        <v>7.4696454240572351E-3</v>
      </c>
    </row>
    <row r="124" spans="2:8" x14ac:dyDescent="0.3">
      <c r="B124" s="113">
        <v>38078</v>
      </c>
      <c r="C124">
        <v>23.93</v>
      </c>
      <c r="D124">
        <f t="shared" si="5"/>
        <v>-0.58135059482155349</v>
      </c>
      <c r="E124">
        <v>3.8177874186550935E-2</v>
      </c>
      <c r="G124">
        <v>122</v>
      </c>
      <c r="H124">
        <f t="shared" ca="1" si="6"/>
        <v>-1.5776116993007492E-2</v>
      </c>
    </row>
    <row r="125" spans="2:8" x14ac:dyDescent="0.3">
      <c r="B125" s="113">
        <v>38776</v>
      </c>
      <c r="C125">
        <v>57.16</v>
      </c>
      <c r="D125">
        <f t="shared" si="5"/>
        <v>-3.5599797536696585E-2</v>
      </c>
      <c r="E125">
        <v>3.8140210679258886E-2</v>
      </c>
      <c r="G125">
        <v>123</v>
      </c>
      <c r="H125">
        <f t="shared" ca="1" si="6"/>
        <v>1.6422749082398436E-2</v>
      </c>
    </row>
    <row r="126" spans="2:8" x14ac:dyDescent="0.3">
      <c r="B126" s="113">
        <v>38938</v>
      </c>
      <c r="C126">
        <v>59.27</v>
      </c>
      <c r="D126">
        <f t="shared" si="5"/>
        <v>-3.2958068200358882E-2</v>
      </c>
      <c r="E126">
        <v>3.8003502626970255E-2</v>
      </c>
      <c r="G126">
        <v>124</v>
      </c>
      <c r="H126">
        <f t="shared" ca="1" si="6"/>
        <v>3.0462232861637763E-2</v>
      </c>
    </row>
    <row r="127" spans="2:8" x14ac:dyDescent="0.3">
      <c r="B127" s="113">
        <v>39364</v>
      </c>
      <c r="C127">
        <v>61.29</v>
      </c>
      <c r="D127">
        <f t="shared" si="5"/>
        <v>-0.7114542629819689</v>
      </c>
      <c r="E127">
        <v>3.7933954276037289E-2</v>
      </c>
      <c r="G127">
        <v>125</v>
      </c>
      <c r="H127">
        <f t="shared" ca="1" si="6"/>
        <v>2.4998977835281853E-2</v>
      </c>
    </row>
    <row r="128" spans="2:8" x14ac:dyDescent="0.3">
      <c r="B128" s="113">
        <v>41519</v>
      </c>
      <c r="C128">
        <v>212.41</v>
      </c>
      <c r="D128">
        <f t="shared" si="5"/>
        <v>1.5884718498659516</v>
      </c>
      <c r="E128">
        <v>3.7918397263620771E-2</v>
      </c>
      <c r="G128">
        <v>126</v>
      </c>
      <c r="H128">
        <f t="shared" ca="1" si="6"/>
        <v>2.3389622481128372E-2</v>
      </c>
    </row>
    <row r="129" spans="2:8" x14ac:dyDescent="0.3">
      <c r="B129" s="113">
        <v>40092</v>
      </c>
      <c r="C129">
        <v>82.06</v>
      </c>
      <c r="D129">
        <f t="shared" si="5"/>
        <v>-0.29007699627995503</v>
      </c>
      <c r="E129">
        <v>3.7814594662956995E-2</v>
      </c>
      <c r="G129">
        <v>127</v>
      </c>
      <c r="H129">
        <f t="shared" ca="1" si="6"/>
        <v>3.5649902055964702E-2</v>
      </c>
    </row>
    <row r="130" spans="2:8" x14ac:dyDescent="0.3">
      <c r="B130" s="113">
        <v>40472</v>
      </c>
      <c r="C130">
        <v>115.59</v>
      </c>
      <c r="D130">
        <f t="shared" si="5"/>
        <v>-0.57997819767441861</v>
      </c>
      <c r="E130">
        <v>3.7798527563296894E-2</v>
      </c>
      <c r="G130">
        <v>128</v>
      </c>
      <c r="H130">
        <f t="shared" ca="1" si="6"/>
        <v>-2.2929866845272854E-3</v>
      </c>
    </row>
    <row r="131" spans="2:8" x14ac:dyDescent="0.3">
      <c r="B131" s="113">
        <v>43385</v>
      </c>
      <c r="C131">
        <v>275.2</v>
      </c>
      <c r="D131">
        <f t="shared" ref="D131:D194" si="7">(C131-C132)/C132</f>
        <v>10.735607675906184</v>
      </c>
      <c r="E131">
        <v>3.7707390648567124E-2</v>
      </c>
      <c r="G131">
        <v>129</v>
      </c>
      <c r="H131">
        <f t="shared" ca="1" si="6"/>
        <v>2.4137200944357461E-2</v>
      </c>
    </row>
    <row r="132" spans="2:8" x14ac:dyDescent="0.3">
      <c r="B132" s="113">
        <v>37991</v>
      </c>
      <c r="C132">
        <v>23.45</v>
      </c>
      <c r="D132">
        <f t="shared" si="7"/>
        <v>-0.61214025802183269</v>
      </c>
      <c r="E132">
        <v>3.7610619469026454E-2</v>
      </c>
      <c r="G132">
        <v>130</v>
      </c>
      <c r="H132">
        <f t="shared" ref="H132:H195" ca="1" si="8">_xlfn.NORM.INV(RAND(),$L$4,$L$6)</f>
        <v>-5.9845456102029636E-3</v>
      </c>
    </row>
    <row r="133" spans="2:8" x14ac:dyDescent="0.3">
      <c r="B133" s="113">
        <v>38898</v>
      </c>
      <c r="C133">
        <v>60.46</v>
      </c>
      <c r="D133">
        <f t="shared" si="7"/>
        <v>-0.41652190696776686</v>
      </c>
      <c r="E133">
        <v>3.7583662261884289E-2</v>
      </c>
      <c r="G133">
        <v>131</v>
      </c>
      <c r="H133">
        <f t="shared" ca="1" si="8"/>
        <v>-8.4010162972754821E-4</v>
      </c>
    </row>
    <row r="134" spans="2:8" x14ac:dyDescent="0.3">
      <c r="B134" s="113">
        <v>40599</v>
      </c>
      <c r="C134">
        <v>103.62</v>
      </c>
      <c r="D134">
        <f t="shared" si="7"/>
        <v>0.75627118644067803</v>
      </c>
      <c r="E134">
        <v>3.7548813457494744E-2</v>
      </c>
      <c r="G134">
        <v>132</v>
      </c>
      <c r="H134">
        <f t="shared" ca="1" si="8"/>
        <v>-1.8244714612589457E-2</v>
      </c>
    </row>
    <row r="135" spans="2:8" x14ac:dyDescent="0.3">
      <c r="B135" s="113">
        <v>38860</v>
      </c>
      <c r="C135">
        <v>59</v>
      </c>
      <c r="D135">
        <f t="shared" si="7"/>
        <v>-0.11264851857422162</v>
      </c>
      <c r="E135">
        <v>3.7453842096008487E-2</v>
      </c>
      <c r="G135">
        <v>133</v>
      </c>
      <c r="H135">
        <f t="shared" ca="1" si="8"/>
        <v>-6.4680355770796597E-3</v>
      </c>
    </row>
    <row r="136" spans="2:8" x14ac:dyDescent="0.3">
      <c r="B136" s="113">
        <v>39983</v>
      </c>
      <c r="C136">
        <v>66.489999999999995</v>
      </c>
      <c r="D136">
        <f t="shared" si="7"/>
        <v>1.9162280701754384</v>
      </c>
      <c r="E136">
        <v>3.7447339678576864E-2</v>
      </c>
      <c r="G136">
        <v>134</v>
      </c>
      <c r="H136">
        <f t="shared" ca="1" si="8"/>
        <v>-4.8041444252066537E-2</v>
      </c>
    </row>
    <row r="137" spans="2:8" x14ac:dyDescent="0.3">
      <c r="B137" s="113">
        <v>37971</v>
      </c>
      <c r="C137">
        <v>22.8</v>
      </c>
      <c r="D137">
        <f t="shared" si="7"/>
        <v>-0.62932856446106311</v>
      </c>
      <c r="E137">
        <v>3.7306642402183815E-2</v>
      </c>
      <c r="G137">
        <v>135</v>
      </c>
      <c r="H137">
        <f t="shared" ca="1" si="8"/>
        <v>-1.5492177207837183E-2</v>
      </c>
    </row>
    <row r="138" spans="2:8" x14ac:dyDescent="0.3">
      <c r="B138" s="113">
        <v>38800</v>
      </c>
      <c r="C138">
        <v>61.51</v>
      </c>
      <c r="D138">
        <f t="shared" si="7"/>
        <v>9.6630415403815201E-2</v>
      </c>
      <c r="E138">
        <v>3.7268128161888715E-2</v>
      </c>
      <c r="G138">
        <v>136</v>
      </c>
      <c r="H138">
        <f t="shared" ca="1" si="8"/>
        <v>-5.9319913150341751E-3</v>
      </c>
    </row>
    <row r="139" spans="2:8" x14ac:dyDescent="0.3">
      <c r="B139" s="113">
        <v>39093</v>
      </c>
      <c r="C139">
        <v>56.09</v>
      </c>
      <c r="D139">
        <f t="shared" si="7"/>
        <v>-0.78926209798617375</v>
      </c>
      <c r="E139">
        <v>3.7167159763313702E-2</v>
      </c>
      <c r="G139">
        <v>137</v>
      </c>
      <c r="H139">
        <f t="shared" ca="1" si="8"/>
        <v>-6.1507106085124958E-3</v>
      </c>
    </row>
    <row r="140" spans="2:8" x14ac:dyDescent="0.3">
      <c r="B140" s="113">
        <v>44659</v>
      </c>
      <c r="C140">
        <v>266.16000000000003</v>
      </c>
      <c r="D140">
        <f t="shared" si="7"/>
        <v>-6.3311631180714242E-2</v>
      </c>
      <c r="E140">
        <v>3.7054354178842973E-2</v>
      </c>
      <c r="G140">
        <v>138</v>
      </c>
      <c r="H140">
        <f t="shared" ca="1" si="8"/>
        <v>1.5302032091942187E-2</v>
      </c>
    </row>
    <row r="141" spans="2:8" x14ac:dyDescent="0.3">
      <c r="B141" s="113">
        <v>43304</v>
      </c>
      <c r="C141">
        <v>284.14999999999998</v>
      </c>
      <c r="D141">
        <f t="shared" si="7"/>
        <v>0.31435311531523186</v>
      </c>
      <c r="E141">
        <v>3.7043795620437872E-2</v>
      </c>
      <c r="G141">
        <v>139</v>
      </c>
      <c r="H141">
        <f t="shared" ca="1" si="8"/>
        <v>-1.8100447978594791E-2</v>
      </c>
    </row>
    <row r="142" spans="2:8" x14ac:dyDescent="0.3">
      <c r="B142" s="113">
        <v>41596</v>
      </c>
      <c r="C142">
        <v>216.19</v>
      </c>
      <c r="D142">
        <f t="shared" si="7"/>
        <v>7.2076689445709947</v>
      </c>
      <c r="E142">
        <v>3.7031707200076744E-2</v>
      </c>
      <c r="G142">
        <v>140</v>
      </c>
      <c r="H142">
        <f t="shared" ca="1" si="8"/>
        <v>1.9704017234143938E-2</v>
      </c>
    </row>
    <row r="143" spans="2:8" x14ac:dyDescent="0.3">
      <c r="B143" s="113">
        <v>38314</v>
      </c>
      <c r="C143">
        <v>26.34</v>
      </c>
      <c r="D143">
        <f t="shared" si="7"/>
        <v>-0.58057324840764324</v>
      </c>
      <c r="E143">
        <v>3.7007874015748086E-2</v>
      </c>
      <c r="G143">
        <v>141</v>
      </c>
      <c r="H143">
        <f t="shared" ca="1" si="8"/>
        <v>9.286621006028584E-3</v>
      </c>
    </row>
    <row r="144" spans="2:8" x14ac:dyDescent="0.3">
      <c r="B144" s="113">
        <v>39401</v>
      </c>
      <c r="C144">
        <v>62.8</v>
      </c>
      <c r="D144">
        <f t="shared" si="7"/>
        <v>-0.66099865047233475</v>
      </c>
      <c r="E144">
        <v>3.6988110964332806E-2</v>
      </c>
      <c r="G144">
        <v>142</v>
      </c>
      <c r="H144">
        <f t="shared" ca="1" si="8"/>
        <v>3.1866343038350939E-2</v>
      </c>
    </row>
    <row r="145" spans="2:8" x14ac:dyDescent="0.3">
      <c r="B145" s="113">
        <v>43930</v>
      </c>
      <c r="C145">
        <v>185.25</v>
      </c>
      <c r="D145">
        <f t="shared" si="7"/>
        <v>8.4919472913616401E-2</v>
      </c>
      <c r="E145">
        <v>3.6943744752308952E-2</v>
      </c>
      <c r="G145">
        <v>143</v>
      </c>
      <c r="H145">
        <f t="shared" ca="1" si="8"/>
        <v>7.5348742579194007E-3</v>
      </c>
    </row>
    <row r="146" spans="2:8" x14ac:dyDescent="0.3">
      <c r="B146" s="113">
        <v>43970</v>
      </c>
      <c r="C146">
        <v>170.75</v>
      </c>
      <c r="D146">
        <f t="shared" si="7"/>
        <v>-0.314394699859466</v>
      </c>
      <c r="E146">
        <v>3.6418816388467376E-2</v>
      </c>
      <c r="G146">
        <v>144</v>
      </c>
      <c r="H146">
        <f t="shared" ca="1" si="8"/>
        <v>9.4079676230178E-4</v>
      </c>
    </row>
    <row r="147" spans="2:8" x14ac:dyDescent="0.3">
      <c r="B147" s="113">
        <v>42678</v>
      </c>
      <c r="C147">
        <v>249.05</v>
      </c>
      <c r="D147">
        <f t="shared" si="7"/>
        <v>12.433117583603023</v>
      </c>
      <c r="E147">
        <v>3.6412817311693713E-2</v>
      </c>
      <c r="G147">
        <v>145</v>
      </c>
      <c r="H147">
        <f t="shared" ca="1" si="8"/>
        <v>2.3602876723514903E-2</v>
      </c>
    </row>
    <row r="148" spans="2:8" x14ac:dyDescent="0.3">
      <c r="B148" s="113">
        <v>37900</v>
      </c>
      <c r="C148">
        <v>18.54</v>
      </c>
      <c r="D148">
        <f t="shared" si="7"/>
        <v>-0.25452352231604347</v>
      </c>
      <c r="E148">
        <v>3.6333147009502437E-2</v>
      </c>
      <c r="G148">
        <v>146</v>
      </c>
      <c r="H148">
        <f t="shared" ca="1" si="8"/>
        <v>-2.5712659781450264E-2</v>
      </c>
    </row>
    <row r="149" spans="2:8" x14ac:dyDescent="0.3">
      <c r="B149" s="113">
        <v>38293</v>
      </c>
      <c r="C149">
        <v>24.87</v>
      </c>
      <c r="D149">
        <f t="shared" si="7"/>
        <v>-1.3095238095238028E-2</v>
      </c>
      <c r="E149">
        <v>3.6250000000000039E-2</v>
      </c>
      <c r="G149">
        <v>147</v>
      </c>
      <c r="H149">
        <f t="shared" ca="1" si="8"/>
        <v>3.4190425440414353E-3</v>
      </c>
    </row>
    <row r="150" spans="2:8" x14ac:dyDescent="0.3">
      <c r="B150" s="113">
        <v>38047</v>
      </c>
      <c r="C150">
        <v>25.2</v>
      </c>
      <c r="D150">
        <f t="shared" si="7"/>
        <v>-0.608330742928194</v>
      </c>
      <c r="E150">
        <v>3.6184210526315749E-2</v>
      </c>
      <c r="G150">
        <v>148</v>
      </c>
      <c r="H150">
        <f t="shared" ca="1" si="8"/>
        <v>-1.1657936422663906E-2</v>
      </c>
    </row>
    <row r="151" spans="2:8" x14ac:dyDescent="0.3">
      <c r="B151" s="113">
        <v>39345</v>
      </c>
      <c r="C151">
        <v>64.34</v>
      </c>
      <c r="D151">
        <f t="shared" si="7"/>
        <v>-0.11730004115790914</v>
      </c>
      <c r="E151">
        <v>3.607085346215784E-2</v>
      </c>
      <c r="G151">
        <v>149</v>
      </c>
      <c r="H151">
        <f t="shared" ca="1" si="8"/>
        <v>5.2283659242578509E-2</v>
      </c>
    </row>
    <row r="152" spans="2:8" x14ac:dyDescent="0.3">
      <c r="B152" s="113">
        <v>39568</v>
      </c>
      <c r="C152">
        <v>72.89</v>
      </c>
      <c r="D152">
        <f t="shared" si="7"/>
        <v>1.5143152811314249</v>
      </c>
      <c r="E152">
        <v>3.5810714793235693E-2</v>
      </c>
      <c r="G152">
        <v>150</v>
      </c>
      <c r="H152">
        <f t="shared" ca="1" si="8"/>
        <v>2.2439516480405385E-2</v>
      </c>
    </row>
    <row r="153" spans="2:8" x14ac:dyDescent="0.3">
      <c r="B153" s="113">
        <v>38342</v>
      </c>
      <c r="C153">
        <v>28.99</v>
      </c>
      <c r="D153">
        <f t="shared" si="7"/>
        <v>-0.55461668459056701</v>
      </c>
      <c r="E153">
        <v>3.572704537334763E-2</v>
      </c>
      <c r="G153">
        <v>151</v>
      </c>
      <c r="H153">
        <f t="shared" ca="1" si="8"/>
        <v>3.0109463002055876E-2</v>
      </c>
    </row>
    <row r="154" spans="2:8" x14ac:dyDescent="0.3">
      <c r="B154" s="113">
        <v>39429</v>
      </c>
      <c r="C154">
        <v>65.09</v>
      </c>
      <c r="D154">
        <f t="shared" si="7"/>
        <v>1.7279966471081309</v>
      </c>
      <c r="E154">
        <v>3.5640413683373139E-2</v>
      </c>
      <c r="G154">
        <v>152</v>
      </c>
      <c r="H154">
        <f t="shared" ca="1" si="8"/>
        <v>-9.2229270658236318E-3</v>
      </c>
    </row>
    <row r="155" spans="2:8" x14ac:dyDescent="0.3">
      <c r="B155" s="113">
        <v>38239</v>
      </c>
      <c r="C155">
        <v>23.86</v>
      </c>
      <c r="D155">
        <f t="shared" si="7"/>
        <v>-0.88782322519981183</v>
      </c>
      <c r="E155">
        <v>3.559027777777779E-2</v>
      </c>
      <c r="G155">
        <v>153</v>
      </c>
      <c r="H155">
        <f t="shared" ca="1" si="8"/>
        <v>2.5321104790713804E-2</v>
      </c>
    </row>
    <row r="156" spans="2:8" x14ac:dyDescent="0.3">
      <c r="B156" s="113">
        <v>44175</v>
      </c>
      <c r="C156">
        <v>212.7</v>
      </c>
      <c r="D156">
        <f t="shared" si="7"/>
        <v>2.3474976392823419</v>
      </c>
      <c r="E156">
        <v>3.554040895813039E-2</v>
      </c>
      <c r="G156">
        <v>154</v>
      </c>
      <c r="H156">
        <f t="shared" ca="1" si="8"/>
        <v>-8.6088462794036546E-3</v>
      </c>
    </row>
    <row r="157" spans="2:8" x14ac:dyDescent="0.3">
      <c r="B157" s="113">
        <v>39919</v>
      </c>
      <c r="C157">
        <v>63.54</v>
      </c>
      <c r="D157">
        <f t="shared" si="7"/>
        <v>9.7598894455000834E-2</v>
      </c>
      <c r="E157">
        <v>3.5359296072999868E-2</v>
      </c>
      <c r="G157">
        <v>155</v>
      </c>
      <c r="H157">
        <f t="shared" ca="1" si="8"/>
        <v>1.2235906088012959E-2</v>
      </c>
    </row>
    <row r="158" spans="2:8" x14ac:dyDescent="0.3">
      <c r="B158" s="113">
        <v>39759</v>
      </c>
      <c r="C158">
        <v>57.89</v>
      </c>
      <c r="D158">
        <f t="shared" si="7"/>
        <v>-0.70666328857360017</v>
      </c>
      <c r="E158">
        <v>3.5228898426323298E-2</v>
      </c>
      <c r="G158">
        <v>156</v>
      </c>
      <c r="H158">
        <f t="shared" ca="1" si="8"/>
        <v>1.1818196280065736E-2</v>
      </c>
    </row>
    <row r="159" spans="2:8" x14ac:dyDescent="0.3">
      <c r="B159" s="113">
        <v>43980</v>
      </c>
      <c r="C159">
        <v>197.35</v>
      </c>
      <c r="D159">
        <f t="shared" si="7"/>
        <v>-0.24733028222730738</v>
      </c>
      <c r="E159">
        <v>3.5142932074481978E-2</v>
      </c>
      <c r="G159">
        <v>157</v>
      </c>
      <c r="H159">
        <f t="shared" ca="1" si="8"/>
        <v>3.7026224991261228E-3</v>
      </c>
    </row>
    <row r="160" spans="2:8" x14ac:dyDescent="0.3">
      <c r="B160" s="113">
        <v>43077</v>
      </c>
      <c r="C160">
        <v>262.2</v>
      </c>
      <c r="D160">
        <f t="shared" si="7"/>
        <v>2.0616534329752452</v>
      </c>
      <c r="E160">
        <v>3.4931912374185886E-2</v>
      </c>
      <c r="G160">
        <v>158</v>
      </c>
      <c r="H160">
        <f t="shared" ca="1" si="8"/>
        <v>2.3044668775902819E-3</v>
      </c>
    </row>
    <row r="161" spans="2:8" x14ac:dyDescent="0.3">
      <c r="B161" s="113">
        <v>40098</v>
      </c>
      <c r="C161">
        <v>85.64</v>
      </c>
      <c r="D161">
        <f t="shared" si="7"/>
        <v>0.31470678538532393</v>
      </c>
      <c r="E161">
        <v>3.4924471299093665E-2</v>
      </c>
      <c r="G161">
        <v>159</v>
      </c>
      <c r="H161">
        <f t="shared" ca="1" si="8"/>
        <v>6.646141594583121E-3</v>
      </c>
    </row>
    <row r="162" spans="2:8" x14ac:dyDescent="0.3">
      <c r="B162" s="113">
        <v>39699</v>
      </c>
      <c r="C162">
        <v>65.14</v>
      </c>
      <c r="D162">
        <f t="shared" si="7"/>
        <v>0.64453420853319876</v>
      </c>
      <c r="E162">
        <v>3.4789515488482886E-2</v>
      </c>
      <c r="G162">
        <v>160</v>
      </c>
      <c r="H162">
        <f t="shared" ca="1" si="8"/>
        <v>2.5095183270137874E-2</v>
      </c>
    </row>
    <row r="163" spans="2:8" x14ac:dyDescent="0.3">
      <c r="B163" s="113">
        <v>38600</v>
      </c>
      <c r="C163">
        <v>39.61</v>
      </c>
      <c r="D163">
        <f t="shared" si="7"/>
        <v>-0.72358688066992327</v>
      </c>
      <c r="E163">
        <v>3.4743991640543322E-2</v>
      </c>
      <c r="G163">
        <v>161</v>
      </c>
      <c r="H163">
        <f t="shared" ca="1" si="8"/>
        <v>8.715676778960367E-3</v>
      </c>
    </row>
    <row r="164" spans="2:8" x14ac:dyDescent="0.3">
      <c r="B164" s="113">
        <v>40984</v>
      </c>
      <c r="C164">
        <v>143.30000000000001</v>
      </c>
      <c r="D164">
        <f t="shared" si="7"/>
        <v>-0.39189475917674516</v>
      </c>
      <c r="E164">
        <v>3.4731749584807584E-2</v>
      </c>
      <c r="G164">
        <v>162</v>
      </c>
      <c r="H164">
        <f t="shared" ca="1" si="8"/>
        <v>8.9888192343556116E-3</v>
      </c>
    </row>
    <row r="165" spans="2:8" x14ac:dyDescent="0.3">
      <c r="B165" s="113">
        <v>41536</v>
      </c>
      <c r="C165">
        <v>235.65</v>
      </c>
      <c r="D165">
        <f t="shared" si="7"/>
        <v>6.3525741029641196</v>
      </c>
      <c r="E165">
        <v>3.4641728134878889E-2</v>
      </c>
      <c r="G165">
        <v>163</v>
      </c>
      <c r="H165">
        <f t="shared" ca="1" si="8"/>
        <v>-2.4822623513078373E-3</v>
      </c>
    </row>
    <row r="166" spans="2:8" x14ac:dyDescent="0.3">
      <c r="B166" s="113">
        <v>38470</v>
      </c>
      <c r="C166">
        <v>32.049999999999997</v>
      </c>
      <c r="D166">
        <f t="shared" si="7"/>
        <v>-0.85927552140504937</v>
      </c>
      <c r="E166">
        <v>3.453841187863127E-2</v>
      </c>
      <c r="G166">
        <v>164</v>
      </c>
      <c r="H166">
        <f t="shared" ca="1" si="8"/>
        <v>8.0333310532867842E-3</v>
      </c>
    </row>
    <row r="167" spans="2:8" x14ac:dyDescent="0.3">
      <c r="B167" s="113">
        <v>44593</v>
      </c>
      <c r="C167">
        <v>227.75</v>
      </c>
      <c r="D167">
        <f t="shared" si="7"/>
        <v>6.6994590939824219</v>
      </c>
      <c r="E167">
        <v>3.428701180744783E-2</v>
      </c>
      <c r="G167">
        <v>165</v>
      </c>
      <c r="H167">
        <f t="shared" ca="1" si="8"/>
        <v>3.7777201229939814E-3</v>
      </c>
    </row>
    <row r="168" spans="2:8" x14ac:dyDescent="0.3">
      <c r="B168" s="113">
        <v>38412</v>
      </c>
      <c r="C168">
        <v>29.58</v>
      </c>
      <c r="D168">
        <f t="shared" si="7"/>
        <v>-0.87976587269327688</v>
      </c>
      <c r="E168">
        <v>3.4265734265734156E-2</v>
      </c>
      <c r="G168">
        <v>166</v>
      </c>
      <c r="H168">
        <f t="shared" ca="1" si="8"/>
        <v>-2.3943499300158766E-2</v>
      </c>
    </row>
    <row r="169" spans="2:8" x14ac:dyDescent="0.3">
      <c r="B169" s="113">
        <v>42024</v>
      </c>
      <c r="C169">
        <v>246.02</v>
      </c>
      <c r="D169">
        <f t="shared" si="7"/>
        <v>1.7611672278338948</v>
      </c>
      <c r="E169">
        <v>3.4262412241980934E-2</v>
      </c>
      <c r="G169">
        <v>167</v>
      </c>
      <c r="H169">
        <f t="shared" ca="1" si="8"/>
        <v>-1.1151786728510631E-2</v>
      </c>
    </row>
    <row r="170" spans="2:8" x14ac:dyDescent="0.3">
      <c r="B170" s="113">
        <v>40140</v>
      </c>
      <c r="C170">
        <v>89.1</v>
      </c>
      <c r="D170">
        <f t="shared" si="7"/>
        <v>1.0774073210538586</v>
      </c>
      <c r="E170">
        <v>3.424260011607648E-2</v>
      </c>
      <c r="G170">
        <v>168</v>
      </c>
      <c r="H170">
        <f t="shared" ca="1" si="8"/>
        <v>2.7087584354776956E-2</v>
      </c>
    </row>
    <row r="171" spans="2:8" x14ac:dyDescent="0.3">
      <c r="B171" s="113">
        <v>38679</v>
      </c>
      <c r="C171">
        <v>42.89</v>
      </c>
      <c r="D171">
        <f t="shared" si="7"/>
        <v>-0.38323267184354332</v>
      </c>
      <c r="E171">
        <v>3.4241620448517043E-2</v>
      </c>
      <c r="G171">
        <v>169</v>
      </c>
      <c r="H171">
        <f t="shared" ca="1" si="8"/>
        <v>-2.587731903724183E-2</v>
      </c>
    </row>
    <row r="172" spans="2:8" x14ac:dyDescent="0.3">
      <c r="B172" s="113">
        <v>39496</v>
      </c>
      <c r="C172">
        <v>69.540000000000006</v>
      </c>
      <c r="D172">
        <f t="shared" si="7"/>
        <v>0.29666231586798442</v>
      </c>
      <c r="E172">
        <v>3.420582986317685E-2</v>
      </c>
      <c r="G172">
        <v>170</v>
      </c>
      <c r="H172">
        <f t="shared" ca="1" si="8"/>
        <v>1.109921090806586E-2</v>
      </c>
    </row>
    <row r="173" spans="2:8" x14ac:dyDescent="0.3">
      <c r="B173" s="113">
        <v>39197</v>
      </c>
      <c r="C173">
        <v>53.63</v>
      </c>
      <c r="D173">
        <f t="shared" si="7"/>
        <v>-0.81564111378480575</v>
      </c>
      <c r="E173">
        <v>3.4130350944851583E-2</v>
      </c>
      <c r="G173">
        <v>171</v>
      </c>
      <c r="H173">
        <f t="shared" ca="1" si="8"/>
        <v>-4.6724929156341626E-3</v>
      </c>
    </row>
    <row r="174" spans="2:8" x14ac:dyDescent="0.3">
      <c r="B174" s="113">
        <v>42851</v>
      </c>
      <c r="C174">
        <v>290.89999999999998</v>
      </c>
      <c r="D174">
        <f t="shared" si="7"/>
        <v>1.157211716722284</v>
      </c>
      <c r="E174">
        <v>3.4127266263775206E-2</v>
      </c>
      <c r="G174">
        <v>172</v>
      </c>
      <c r="H174">
        <f t="shared" ca="1" si="8"/>
        <v>-5.8208492140161064E-3</v>
      </c>
    </row>
    <row r="175" spans="2:8" x14ac:dyDescent="0.3">
      <c r="B175" s="113">
        <v>40731</v>
      </c>
      <c r="C175">
        <v>134.85</v>
      </c>
      <c r="D175">
        <f t="shared" si="7"/>
        <v>-0.42590148580186471</v>
      </c>
      <c r="E175">
        <v>3.4125766871165558E-2</v>
      </c>
      <c r="G175">
        <v>173</v>
      </c>
      <c r="H175">
        <f t="shared" ca="1" si="8"/>
        <v>-1.164254243417296E-2</v>
      </c>
    </row>
    <row r="176" spans="2:8" x14ac:dyDescent="0.3">
      <c r="B176" s="113">
        <v>41424</v>
      </c>
      <c r="C176">
        <v>234.89</v>
      </c>
      <c r="D176">
        <f t="shared" si="7"/>
        <v>1.6119203825197372</v>
      </c>
      <c r="E176">
        <v>3.4028878323648488E-2</v>
      </c>
      <c r="G176">
        <v>174</v>
      </c>
      <c r="H176">
        <f t="shared" ca="1" si="8"/>
        <v>1.7164059476702801E-2</v>
      </c>
    </row>
    <row r="177" spans="2:8" x14ac:dyDescent="0.3">
      <c r="B177" s="113">
        <v>40319</v>
      </c>
      <c r="C177">
        <v>89.93</v>
      </c>
      <c r="D177">
        <f t="shared" si="7"/>
        <v>-0.2914434289316104</v>
      </c>
      <c r="E177">
        <v>3.3915842722464964E-2</v>
      </c>
      <c r="G177">
        <v>175</v>
      </c>
      <c r="H177">
        <f t="shared" ca="1" si="8"/>
        <v>1.07631452226323E-2</v>
      </c>
    </row>
    <row r="178" spans="2:8" x14ac:dyDescent="0.3">
      <c r="B178" s="113">
        <v>40717</v>
      </c>
      <c r="C178">
        <v>126.92</v>
      </c>
      <c r="D178">
        <f t="shared" si="7"/>
        <v>1.0174852964552537</v>
      </c>
      <c r="E178">
        <v>3.3718846717706474E-2</v>
      </c>
      <c r="G178">
        <v>176</v>
      </c>
      <c r="H178">
        <f t="shared" ca="1" si="8"/>
        <v>-2.220421353592866E-2</v>
      </c>
    </row>
    <row r="179" spans="2:8" x14ac:dyDescent="0.3">
      <c r="B179" s="113">
        <v>39958</v>
      </c>
      <c r="C179">
        <v>62.91</v>
      </c>
      <c r="D179">
        <f t="shared" si="7"/>
        <v>-0.24865639555714805</v>
      </c>
      <c r="E179">
        <v>3.3683864607295388E-2</v>
      </c>
      <c r="G179">
        <v>177</v>
      </c>
      <c r="H179">
        <f t="shared" ca="1" si="8"/>
        <v>-5.6508815798401752E-4</v>
      </c>
    </row>
    <row r="180" spans="2:8" x14ac:dyDescent="0.3">
      <c r="B180" s="113">
        <v>40212</v>
      </c>
      <c r="C180">
        <v>83.73</v>
      </c>
      <c r="D180">
        <f t="shared" si="7"/>
        <v>0.36657417985963764</v>
      </c>
      <c r="E180">
        <v>3.3576101715837532E-2</v>
      </c>
      <c r="G180">
        <v>178</v>
      </c>
      <c r="H180">
        <f t="shared" ca="1" si="8"/>
        <v>6.1481667878330488E-3</v>
      </c>
    </row>
    <row r="181" spans="2:8" x14ac:dyDescent="0.3">
      <c r="B181" s="113">
        <v>39903</v>
      </c>
      <c r="C181">
        <v>61.27</v>
      </c>
      <c r="D181">
        <f t="shared" si="7"/>
        <v>2.6104890984089573</v>
      </c>
      <c r="E181">
        <v>3.3569500674763865E-2</v>
      </c>
      <c r="G181">
        <v>179</v>
      </c>
      <c r="H181">
        <f t="shared" ca="1" si="8"/>
        <v>-1.2404050259383301E-2</v>
      </c>
    </row>
    <row r="182" spans="2:8" x14ac:dyDescent="0.3">
      <c r="B182" s="113">
        <v>37798</v>
      </c>
      <c r="C182">
        <v>16.97</v>
      </c>
      <c r="D182">
        <f t="shared" si="7"/>
        <v>-0.92203078336779232</v>
      </c>
      <c r="E182">
        <v>3.3495736906211764E-2</v>
      </c>
      <c r="G182">
        <v>180</v>
      </c>
      <c r="H182">
        <f t="shared" ca="1" si="8"/>
        <v>-1.9679030185082855E-2</v>
      </c>
    </row>
    <row r="183" spans="2:8" x14ac:dyDescent="0.3">
      <c r="B183" s="113">
        <v>44273</v>
      </c>
      <c r="C183">
        <v>217.65</v>
      </c>
      <c r="D183">
        <f t="shared" si="7"/>
        <v>-9.8757763975155261E-2</v>
      </c>
      <c r="E183">
        <v>3.3475783475783533E-2</v>
      </c>
      <c r="G183">
        <v>181</v>
      </c>
      <c r="H183">
        <f t="shared" ca="1" si="8"/>
        <v>1.0467598422292187E-2</v>
      </c>
    </row>
    <row r="184" spans="2:8" x14ac:dyDescent="0.3">
      <c r="B184" s="113">
        <v>44460</v>
      </c>
      <c r="C184">
        <v>241.5</v>
      </c>
      <c r="D184">
        <f t="shared" si="7"/>
        <v>3.7964250248262164</v>
      </c>
      <c r="E184">
        <v>3.3155080213903745E-2</v>
      </c>
      <c r="G184">
        <v>182</v>
      </c>
      <c r="H184">
        <f t="shared" ca="1" si="8"/>
        <v>-2.0317592467710172E-2</v>
      </c>
    </row>
    <row r="185" spans="2:8" x14ac:dyDescent="0.3">
      <c r="B185" s="113">
        <v>38740</v>
      </c>
      <c r="C185">
        <v>50.35</v>
      </c>
      <c r="D185">
        <f t="shared" si="7"/>
        <v>0.17448098903662246</v>
      </c>
      <c r="E185">
        <v>3.3032416906031994E-2</v>
      </c>
      <c r="G185">
        <v>183</v>
      </c>
      <c r="H185">
        <f t="shared" ca="1" si="8"/>
        <v>-2.399681092559933E-2</v>
      </c>
    </row>
    <row r="186" spans="2:8" x14ac:dyDescent="0.3">
      <c r="B186" s="113">
        <v>38614</v>
      </c>
      <c r="C186">
        <v>42.87</v>
      </c>
      <c r="D186">
        <f t="shared" si="7"/>
        <v>-0.51939461883408078</v>
      </c>
      <c r="E186">
        <v>3.3012048192771024E-2</v>
      </c>
      <c r="G186">
        <v>184</v>
      </c>
      <c r="H186">
        <f t="shared" ca="1" si="8"/>
        <v>-8.047435198858694E-4</v>
      </c>
    </row>
    <row r="187" spans="2:8" x14ac:dyDescent="0.3">
      <c r="B187" s="113">
        <v>40324</v>
      </c>
      <c r="C187">
        <v>89.2</v>
      </c>
      <c r="D187">
        <f t="shared" si="7"/>
        <v>0.80165623106443151</v>
      </c>
      <c r="E187">
        <v>3.3005211349160492E-2</v>
      </c>
      <c r="G187">
        <v>185</v>
      </c>
      <c r="H187">
        <f t="shared" ca="1" si="8"/>
        <v>-2.0202686461483119E-3</v>
      </c>
    </row>
    <row r="188" spans="2:8" x14ac:dyDescent="0.3">
      <c r="B188" s="113">
        <v>39163</v>
      </c>
      <c r="C188">
        <v>49.51</v>
      </c>
      <c r="D188">
        <f t="shared" si="7"/>
        <v>-0.22080579162732139</v>
      </c>
      <c r="E188">
        <v>3.296474024619233E-2</v>
      </c>
      <c r="G188">
        <v>186</v>
      </c>
      <c r="H188">
        <f t="shared" ca="1" si="8"/>
        <v>2.0108386405584159E-2</v>
      </c>
    </row>
    <row r="189" spans="2:8" x14ac:dyDescent="0.3">
      <c r="B189" s="113">
        <v>39521</v>
      </c>
      <c r="C189">
        <v>63.54</v>
      </c>
      <c r="D189">
        <f t="shared" si="7"/>
        <v>0.20936429387133612</v>
      </c>
      <c r="E189">
        <v>3.2834850455136476E-2</v>
      </c>
      <c r="G189">
        <v>187</v>
      </c>
      <c r="H189">
        <f t="shared" ca="1" si="8"/>
        <v>-1.0500433736917362E-2</v>
      </c>
    </row>
    <row r="190" spans="2:8" x14ac:dyDescent="0.3">
      <c r="B190" s="113">
        <v>39188</v>
      </c>
      <c r="C190">
        <v>52.54</v>
      </c>
      <c r="D190">
        <f t="shared" si="7"/>
        <v>-0.6624044207415023</v>
      </c>
      <c r="E190">
        <v>3.2828779241203102E-2</v>
      </c>
      <c r="G190">
        <v>188</v>
      </c>
      <c r="H190">
        <f t="shared" ca="1" si="8"/>
        <v>-4.062872572127425E-4</v>
      </c>
    </row>
    <row r="191" spans="2:8" x14ac:dyDescent="0.3">
      <c r="B191" s="113">
        <v>41046</v>
      </c>
      <c r="C191">
        <v>155.63</v>
      </c>
      <c r="D191">
        <f t="shared" si="7"/>
        <v>-0.37548154093097913</v>
      </c>
      <c r="E191">
        <v>3.278253367841262E-2</v>
      </c>
      <c r="G191">
        <v>189</v>
      </c>
      <c r="H191">
        <f t="shared" ca="1" si="8"/>
        <v>-1.2982554769358572E-2</v>
      </c>
    </row>
    <row r="192" spans="2:8" x14ac:dyDescent="0.3">
      <c r="B192" s="113">
        <v>44482</v>
      </c>
      <c r="C192">
        <v>249.2</v>
      </c>
      <c r="D192">
        <f t="shared" si="7"/>
        <v>12.484848484848484</v>
      </c>
      <c r="E192">
        <v>3.2739328636551913E-2</v>
      </c>
      <c r="G192">
        <v>190</v>
      </c>
      <c r="H192">
        <f t="shared" ca="1" si="8"/>
        <v>-1.9528820949506542E-2</v>
      </c>
    </row>
    <row r="193" spans="2:8" x14ac:dyDescent="0.3">
      <c r="B193" s="113">
        <v>37869</v>
      </c>
      <c r="C193">
        <v>18.48</v>
      </c>
      <c r="D193">
        <f t="shared" si="7"/>
        <v>-0.93976531942633634</v>
      </c>
      <c r="E193">
        <v>3.2402234636871613E-2</v>
      </c>
      <c r="G193">
        <v>191</v>
      </c>
      <c r="H193">
        <f t="shared" ca="1" si="8"/>
        <v>1.139193847251645E-2</v>
      </c>
    </row>
    <row r="194" spans="2:8" x14ac:dyDescent="0.3">
      <c r="B194" s="113">
        <v>43355</v>
      </c>
      <c r="C194">
        <v>306.8</v>
      </c>
      <c r="D194">
        <f t="shared" si="7"/>
        <v>0.59916601511597611</v>
      </c>
      <c r="E194">
        <v>3.2301480484522284E-2</v>
      </c>
      <c r="G194">
        <v>192</v>
      </c>
      <c r="H194">
        <f t="shared" ca="1" si="8"/>
        <v>1.0879420262326526E-2</v>
      </c>
    </row>
    <row r="195" spans="2:8" x14ac:dyDescent="0.3">
      <c r="B195" s="113">
        <v>44006</v>
      </c>
      <c r="C195">
        <v>191.85</v>
      </c>
      <c r="D195">
        <f t="shared" ref="D195:D258" si="9">(C195-C196)/C196</f>
        <v>2.1342917823884981</v>
      </c>
      <c r="E195">
        <v>3.2284100080710254E-2</v>
      </c>
      <c r="G195">
        <v>193</v>
      </c>
      <c r="H195">
        <f t="shared" ca="1" si="8"/>
        <v>-6.1939951974260858E-3</v>
      </c>
    </row>
    <row r="196" spans="2:8" x14ac:dyDescent="0.3">
      <c r="B196" s="113">
        <v>38903</v>
      </c>
      <c r="C196">
        <v>61.21</v>
      </c>
      <c r="D196">
        <f t="shared" si="9"/>
        <v>-0.65679843005326599</v>
      </c>
      <c r="E196">
        <v>3.2209106239460432E-2</v>
      </c>
      <c r="G196">
        <v>194</v>
      </c>
      <c r="H196">
        <f t="shared" ref="H196:H259" ca="1" si="10">_xlfn.NORM.INV(RAND(),$L$4,$L$6)</f>
        <v>-4.5287979340198625E-3</v>
      </c>
    </row>
    <row r="197" spans="2:8" x14ac:dyDescent="0.3">
      <c r="B197" s="113">
        <v>44145</v>
      </c>
      <c r="C197">
        <v>178.35</v>
      </c>
      <c r="D197">
        <f t="shared" si="9"/>
        <v>1.6055514974433891</v>
      </c>
      <c r="E197">
        <v>3.2118055555555455E-2</v>
      </c>
      <c r="G197">
        <v>195</v>
      </c>
      <c r="H197">
        <f t="shared" ca="1" si="10"/>
        <v>4.0535282655032909E-2</v>
      </c>
    </row>
    <row r="198" spans="2:8" x14ac:dyDescent="0.3">
      <c r="B198" s="113">
        <v>39535</v>
      </c>
      <c r="C198">
        <v>68.45</v>
      </c>
      <c r="D198">
        <f t="shared" si="9"/>
        <v>3.7109428768066075</v>
      </c>
      <c r="E198">
        <v>3.1961405095733524E-2</v>
      </c>
      <c r="G198">
        <v>196</v>
      </c>
      <c r="H198">
        <f t="shared" ca="1" si="10"/>
        <v>2.0649883272390857E-2</v>
      </c>
    </row>
    <row r="199" spans="2:8" x14ac:dyDescent="0.3">
      <c r="B199" s="113">
        <v>37718</v>
      </c>
      <c r="C199">
        <v>14.53</v>
      </c>
      <c r="D199">
        <f t="shared" si="9"/>
        <v>-0.93721914967162112</v>
      </c>
      <c r="E199">
        <v>3.1960227272727224E-2</v>
      </c>
      <c r="G199">
        <v>197</v>
      </c>
      <c r="H199">
        <f t="shared" ca="1" si="10"/>
        <v>-2.6301061953192949E-2</v>
      </c>
    </row>
    <row r="200" spans="2:8" x14ac:dyDescent="0.3">
      <c r="B200" s="113">
        <v>42325</v>
      </c>
      <c r="C200">
        <v>231.44</v>
      </c>
      <c r="D200">
        <f t="shared" si="9"/>
        <v>7.5214866434378622E-2</v>
      </c>
      <c r="E200">
        <v>3.1924380238986964E-2</v>
      </c>
      <c r="G200">
        <v>198</v>
      </c>
      <c r="H200">
        <f t="shared" ca="1" si="10"/>
        <v>1.7131794326541914E-2</v>
      </c>
    </row>
    <row r="201" spans="2:8" x14ac:dyDescent="0.3">
      <c r="B201" s="113">
        <v>44413</v>
      </c>
      <c r="C201">
        <v>215.25</v>
      </c>
      <c r="D201">
        <f t="shared" si="9"/>
        <v>4.1867469879518069</v>
      </c>
      <c r="E201">
        <v>3.1879194630872514E-2</v>
      </c>
      <c r="G201">
        <v>199</v>
      </c>
      <c r="H201">
        <f t="shared" ca="1" si="10"/>
        <v>5.8619906916883178E-3</v>
      </c>
    </row>
    <row r="202" spans="2:8" x14ac:dyDescent="0.3">
      <c r="B202" s="113">
        <v>38658</v>
      </c>
      <c r="C202">
        <v>41.5</v>
      </c>
      <c r="D202">
        <f t="shared" si="9"/>
        <v>-0.80797704978715523</v>
      </c>
      <c r="E202">
        <v>3.1824962705121862E-2</v>
      </c>
      <c r="G202">
        <v>200</v>
      </c>
      <c r="H202">
        <f t="shared" ca="1" si="10"/>
        <v>1.7448975057066052E-2</v>
      </c>
    </row>
    <row r="203" spans="2:8" x14ac:dyDescent="0.3">
      <c r="B203" s="113">
        <v>42216</v>
      </c>
      <c r="C203">
        <v>216.12</v>
      </c>
      <c r="D203">
        <f t="shared" si="9"/>
        <v>-2.8761459644076962E-2</v>
      </c>
      <c r="E203">
        <v>3.1796046977943263E-2</v>
      </c>
      <c r="G203">
        <v>201</v>
      </c>
      <c r="H203">
        <f t="shared" ca="1" si="10"/>
        <v>7.3024952031107392E-3</v>
      </c>
    </row>
    <row r="204" spans="2:8" x14ac:dyDescent="0.3">
      <c r="B204" s="113">
        <v>41498</v>
      </c>
      <c r="C204">
        <v>222.52</v>
      </c>
      <c r="D204">
        <f t="shared" si="9"/>
        <v>2.8571676200381351</v>
      </c>
      <c r="E204">
        <v>3.166581668134829E-2</v>
      </c>
      <c r="G204">
        <v>202</v>
      </c>
      <c r="H204">
        <f t="shared" ca="1" si="10"/>
        <v>-2.7973867603020851E-2</v>
      </c>
    </row>
    <row r="205" spans="2:8" x14ac:dyDescent="0.3">
      <c r="B205" s="113">
        <v>39786</v>
      </c>
      <c r="C205">
        <v>57.69</v>
      </c>
      <c r="D205">
        <f t="shared" si="9"/>
        <v>-0.7343311075293576</v>
      </c>
      <c r="E205">
        <v>3.1652360515021384E-2</v>
      </c>
      <c r="G205">
        <v>203</v>
      </c>
      <c r="H205">
        <f t="shared" ca="1" si="10"/>
        <v>3.0568232446055214E-2</v>
      </c>
    </row>
    <row r="206" spans="2:8" x14ac:dyDescent="0.3">
      <c r="B206" s="113">
        <v>42093</v>
      </c>
      <c r="C206">
        <v>217.15</v>
      </c>
      <c r="D206">
        <f t="shared" si="9"/>
        <v>-0.11652223442776348</v>
      </c>
      <c r="E206">
        <v>3.1640457979001363E-2</v>
      </c>
      <c r="G206">
        <v>204</v>
      </c>
      <c r="H206">
        <f t="shared" ca="1" si="10"/>
        <v>9.278776284792737E-3</v>
      </c>
    </row>
    <row r="207" spans="2:8" x14ac:dyDescent="0.3">
      <c r="B207" s="113">
        <v>41904</v>
      </c>
      <c r="C207">
        <v>245.79</v>
      </c>
      <c r="D207">
        <f t="shared" si="9"/>
        <v>-0.19610793131643503</v>
      </c>
      <c r="E207">
        <v>3.1560834347588794E-2</v>
      </c>
      <c r="G207">
        <v>205</v>
      </c>
      <c r="H207">
        <f t="shared" ca="1" si="10"/>
        <v>4.3659387507572651E-2</v>
      </c>
    </row>
    <row r="208" spans="2:8" x14ac:dyDescent="0.3">
      <c r="B208" s="113">
        <v>43567</v>
      </c>
      <c r="C208">
        <v>305.75</v>
      </c>
      <c r="D208">
        <f t="shared" si="9"/>
        <v>4.4307282415630551</v>
      </c>
      <c r="E208">
        <v>3.1545209176788207E-2</v>
      </c>
      <c r="G208">
        <v>206</v>
      </c>
      <c r="H208">
        <f t="shared" ca="1" si="10"/>
        <v>-4.3826936221551677E-3</v>
      </c>
    </row>
    <row r="209" spans="2:8" x14ac:dyDescent="0.3">
      <c r="B209" s="113">
        <v>39773</v>
      </c>
      <c r="C209">
        <v>56.3</v>
      </c>
      <c r="D209">
        <f t="shared" si="9"/>
        <v>-0.74219250847147167</v>
      </c>
      <c r="E209">
        <v>3.1513374862587006E-2</v>
      </c>
      <c r="G209">
        <v>207</v>
      </c>
      <c r="H209">
        <f t="shared" ca="1" si="10"/>
        <v>6.9377464109997991E-3</v>
      </c>
    </row>
    <row r="210" spans="2:8" x14ac:dyDescent="0.3">
      <c r="B210" s="113">
        <v>42506</v>
      </c>
      <c r="C210">
        <v>218.38</v>
      </c>
      <c r="D210">
        <f t="shared" si="9"/>
        <v>13.462251655629139</v>
      </c>
      <c r="E210">
        <v>3.1456640846400888E-2</v>
      </c>
      <c r="G210">
        <v>208</v>
      </c>
      <c r="H210">
        <f t="shared" ca="1" si="10"/>
        <v>4.2849307279207056E-3</v>
      </c>
    </row>
    <row r="211" spans="2:8" x14ac:dyDescent="0.3">
      <c r="B211" s="113">
        <v>37511</v>
      </c>
      <c r="C211">
        <v>15.1</v>
      </c>
      <c r="D211">
        <f t="shared" si="9"/>
        <v>-0.76957118876850295</v>
      </c>
      <c r="E211">
        <v>3.1420765027322342E-2</v>
      </c>
      <c r="G211">
        <v>209</v>
      </c>
      <c r="H211">
        <f t="shared" ca="1" si="10"/>
        <v>-5.3270103068160405E-3</v>
      </c>
    </row>
    <row r="212" spans="2:8" x14ac:dyDescent="0.3">
      <c r="B212" s="113">
        <v>40000</v>
      </c>
      <c r="C212">
        <v>65.53</v>
      </c>
      <c r="D212">
        <f t="shared" si="9"/>
        <v>7.5319986872333503E-2</v>
      </c>
      <c r="E212">
        <v>3.1318854265029936E-2</v>
      </c>
      <c r="G212">
        <v>210</v>
      </c>
      <c r="H212">
        <f t="shared" ca="1" si="10"/>
        <v>4.568468526476392E-3</v>
      </c>
    </row>
    <row r="213" spans="2:8" x14ac:dyDescent="0.3">
      <c r="B213" s="113">
        <v>39042</v>
      </c>
      <c r="C213">
        <v>60.94</v>
      </c>
      <c r="D213">
        <f t="shared" si="9"/>
        <v>2.6209150326797386</v>
      </c>
      <c r="E213">
        <v>3.1308173971907161E-2</v>
      </c>
      <c r="G213">
        <v>211</v>
      </c>
      <c r="H213">
        <f t="shared" ca="1" si="10"/>
        <v>7.781417728529587E-4</v>
      </c>
    </row>
    <row r="214" spans="2:8" x14ac:dyDescent="0.3">
      <c r="B214" s="113">
        <v>37841</v>
      </c>
      <c r="C214">
        <v>16.829999999999998</v>
      </c>
      <c r="D214">
        <f t="shared" si="9"/>
        <v>8.4407216494845283E-2</v>
      </c>
      <c r="E214">
        <v>3.1249999999999879E-2</v>
      </c>
      <c r="G214">
        <v>212</v>
      </c>
      <c r="H214">
        <f t="shared" ca="1" si="10"/>
        <v>2.7661268384397059E-3</v>
      </c>
    </row>
    <row r="215" spans="2:8" x14ac:dyDescent="0.3">
      <c r="B215" s="113">
        <v>37497</v>
      </c>
      <c r="C215">
        <v>15.52</v>
      </c>
      <c r="D215">
        <f t="shared" si="9"/>
        <v>-0.75945443273403601</v>
      </c>
      <c r="E215">
        <v>3.1229235880398595E-2</v>
      </c>
      <c r="G215">
        <v>213</v>
      </c>
      <c r="H215">
        <f t="shared" ca="1" si="10"/>
        <v>8.9225825045553958E-3</v>
      </c>
    </row>
    <row r="216" spans="2:8" x14ac:dyDescent="0.3">
      <c r="B216" s="113">
        <v>39006</v>
      </c>
      <c r="C216">
        <v>64.52</v>
      </c>
      <c r="D216">
        <f t="shared" si="9"/>
        <v>-0.77124623293742256</v>
      </c>
      <c r="E216">
        <v>3.1165095093495215E-2</v>
      </c>
      <c r="G216">
        <v>214</v>
      </c>
      <c r="H216">
        <f t="shared" ca="1" si="10"/>
        <v>6.9131893018086268E-3</v>
      </c>
    </row>
    <row r="217" spans="2:8" x14ac:dyDescent="0.3">
      <c r="B217" s="113">
        <v>42836</v>
      </c>
      <c r="C217">
        <v>282.05</v>
      </c>
      <c r="D217">
        <f t="shared" si="9"/>
        <v>2.8244067796610173</v>
      </c>
      <c r="E217">
        <v>3.1072929994516541E-2</v>
      </c>
      <c r="G217">
        <v>215</v>
      </c>
      <c r="H217">
        <f t="shared" ca="1" si="10"/>
        <v>2.0168668283386871E-3</v>
      </c>
    </row>
    <row r="218" spans="2:8" x14ac:dyDescent="0.3">
      <c r="B218" s="113">
        <v>39604</v>
      </c>
      <c r="C218">
        <v>73.75</v>
      </c>
      <c r="D218">
        <f t="shared" si="9"/>
        <v>0.22610141313383211</v>
      </c>
      <c r="E218">
        <v>3.1035928980847182E-2</v>
      </c>
      <c r="G218">
        <v>216</v>
      </c>
      <c r="H218">
        <f t="shared" ca="1" si="10"/>
        <v>1.3490323176563802E-2</v>
      </c>
    </row>
    <row r="219" spans="2:8" x14ac:dyDescent="0.3">
      <c r="B219" s="113">
        <v>38910</v>
      </c>
      <c r="C219">
        <v>60.15</v>
      </c>
      <c r="D219">
        <f t="shared" si="9"/>
        <v>0.23182469793159943</v>
      </c>
      <c r="E219">
        <v>3.1025025711347191E-2</v>
      </c>
      <c r="G219">
        <v>217</v>
      </c>
      <c r="H219">
        <f t="shared" ca="1" si="10"/>
        <v>1.0173771300556807E-2</v>
      </c>
    </row>
    <row r="220" spans="2:8" x14ac:dyDescent="0.3">
      <c r="B220" s="113">
        <v>39156</v>
      </c>
      <c r="C220">
        <v>48.83</v>
      </c>
      <c r="D220">
        <f t="shared" si="9"/>
        <v>-0.51772839506172841</v>
      </c>
      <c r="E220">
        <v>3.0821194849060606E-2</v>
      </c>
      <c r="G220">
        <v>218</v>
      </c>
      <c r="H220">
        <f t="shared" ca="1" si="10"/>
        <v>4.7226997562800001E-2</v>
      </c>
    </row>
    <row r="221" spans="2:8" x14ac:dyDescent="0.3">
      <c r="B221" s="113">
        <v>40359</v>
      </c>
      <c r="C221">
        <v>101.25</v>
      </c>
      <c r="D221">
        <f t="shared" si="9"/>
        <v>0.75142708873897246</v>
      </c>
      <c r="E221">
        <v>3.0744171841596214E-2</v>
      </c>
      <c r="G221">
        <v>219</v>
      </c>
      <c r="H221">
        <f t="shared" ca="1" si="10"/>
        <v>1.4364852371843997E-3</v>
      </c>
    </row>
    <row r="222" spans="2:8" x14ac:dyDescent="0.3">
      <c r="B222" s="113">
        <v>39895</v>
      </c>
      <c r="C222">
        <v>57.81</v>
      </c>
      <c r="D222">
        <f t="shared" si="9"/>
        <v>-0.78785321100917427</v>
      </c>
      <c r="E222">
        <v>3.0665002674273467E-2</v>
      </c>
      <c r="G222">
        <v>220</v>
      </c>
      <c r="H222">
        <f t="shared" ca="1" si="10"/>
        <v>-2.7638851496999919E-2</v>
      </c>
    </row>
    <row r="223" spans="2:8" x14ac:dyDescent="0.3">
      <c r="B223" s="113">
        <v>43286</v>
      </c>
      <c r="C223">
        <v>272.5</v>
      </c>
      <c r="D223">
        <f t="shared" si="9"/>
        <v>1.125916679669215</v>
      </c>
      <c r="E223">
        <v>3.063540090771567E-2</v>
      </c>
      <c r="G223">
        <v>221</v>
      </c>
      <c r="H223">
        <f t="shared" ca="1" si="10"/>
        <v>1.248660125802965E-2</v>
      </c>
    </row>
    <row r="224" spans="2:8" x14ac:dyDescent="0.3">
      <c r="B224" s="113">
        <v>40694</v>
      </c>
      <c r="C224">
        <v>128.18</v>
      </c>
      <c r="D224">
        <f t="shared" si="9"/>
        <v>0.95307024226725612</v>
      </c>
      <c r="E224">
        <v>3.0634397362708066E-2</v>
      </c>
      <c r="G224">
        <v>222</v>
      </c>
      <c r="H224">
        <f t="shared" ca="1" si="10"/>
        <v>1.9329042397449581E-2</v>
      </c>
    </row>
    <row r="225" spans="2:8" x14ac:dyDescent="0.3">
      <c r="B225" s="113">
        <v>39486</v>
      </c>
      <c r="C225">
        <v>65.63</v>
      </c>
      <c r="D225">
        <f t="shared" si="9"/>
        <v>-0.72512146088121965</v>
      </c>
      <c r="E225">
        <v>3.0621859296482347E-2</v>
      </c>
      <c r="G225">
        <v>223</v>
      </c>
      <c r="H225">
        <f t="shared" ca="1" si="10"/>
        <v>2.454700710910088E-2</v>
      </c>
    </row>
    <row r="226" spans="2:8" x14ac:dyDescent="0.3">
      <c r="B226" s="113">
        <v>42031</v>
      </c>
      <c r="C226">
        <v>238.76</v>
      </c>
      <c r="D226">
        <f t="shared" si="9"/>
        <v>-7.5612683417863744E-2</v>
      </c>
      <c r="E226">
        <v>3.0603876203220113E-2</v>
      </c>
      <c r="G226">
        <v>224</v>
      </c>
      <c r="H226">
        <f t="shared" ca="1" si="10"/>
        <v>1.318666371186826E-2</v>
      </c>
    </row>
    <row r="227" spans="2:8" x14ac:dyDescent="0.3">
      <c r="B227" s="113">
        <v>42051</v>
      </c>
      <c r="C227">
        <v>258.29000000000002</v>
      </c>
      <c r="D227">
        <f t="shared" si="9"/>
        <v>10.946808510638299</v>
      </c>
      <c r="E227">
        <v>3.0562981287156465E-2</v>
      </c>
      <c r="G227">
        <v>225</v>
      </c>
      <c r="H227">
        <f t="shared" ca="1" si="10"/>
        <v>1.5078022911118963E-2</v>
      </c>
    </row>
    <row r="228" spans="2:8" x14ac:dyDescent="0.3">
      <c r="B228" s="113">
        <v>37965</v>
      </c>
      <c r="C228">
        <v>21.62</v>
      </c>
      <c r="D228">
        <f t="shared" si="9"/>
        <v>-4.5053003533568885E-2</v>
      </c>
      <c r="E228">
        <v>3.050524308865589E-2</v>
      </c>
      <c r="G228">
        <v>226</v>
      </c>
      <c r="H228">
        <f t="shared" ca="1" si="10"/>
        <v>-8.0378804171356358E-3</v>
      </c>
    </row>
    <row r="229" spans="2:8" x14ac:dyDescent="0.3">
      <c r="B229" s="113">
        <v>38184</v>
      </c>
      <c r="C229">
        <v>22.64</v>
      </c>
      <c r="D229">
        <f t="shared" si="9"/>
        <v>-0.86809601491493826</v>
      </c>
      <c r="E229">
        <v>3.0496131087847142E-2</v>
      </c>
      <c r="G229">
        <v>227</v>
      </c>
      <c r="H229">
        <f t="shared" ca="1" si="10"/>
        <v>-1.7939790503624608E-2</v>
      </c>
    </row>
    <row r="230" spans="2:8" x14ac:dyDescent="0.3">
      <c r="B230" s="113">
        <v>41089</v>
      </c>
      <c r="C230">
        <v>171.64</v>
      </c>
      <c r="D230">
        <f t="shared" si="9"/>
        <v>-0.44471044969265616</v>
      </c>
      <c r="E230">
        <v>3.0252100840336089E-2</v>
      </c>
      <c r="G230">
        <v>228</v>
      </c>
      <c r="H230">
        <f t="shared" ca="1" si="10"/>
        <v>-1.397596572107016E-2</v>
      </c>
    </row>
    <row r="231" spans="2:8" x14ac:dyDescent="0.3">
      <c r="B231" s="113">
        <v>42881</v>
      </c>
      <c r="C231">
        <v>309.10000000000002</v>
      </c>
      <c r="D231">
        <f t="shared" si="9"/>
        <v>10.90677966101695</v>
      </c>
      <c r="E231">
        <v>3.016163972671225E-2</v>
      </c>
      <c r="G231">
        <v>229</v>
      </c>
      <c r="H231">
        <f t="shared" ca="1" si="10"/>
        <v>6.6339688120545578E-3</v>
      </c>
    </row>
    <row r="232" spans="2:8" x14ac:dyDescent="0.3">
      <c r="B232" s="113">
        <v>38049</v>
      </c>
      <c r="C232">
        <v>25.96</v>
      </c>
      <c r="D232">
        <f t="shared" si="9"/>
        <v>-0.92336531365313657</v>
      </c>
      <c r="E232">
        <v>3.0158730158730222E-2</v>
      </c>
      <c r="G232">
        <v>230</v>
      </c>
      <c r="H232">
        <f t="shared" ca="1" si="10"/>
        <v>2.9416872479385162E-3</v>
      </c>
    </row>
    <row r="233" spans="2:8" x14ac:dyDescent="0.3">
      <c r="B233" s="113">
        <v>42929</v>
      </c>
      <c r="C233">
        <v>338.75</v>
      </c>
      <c r="D233">
        <f t="shared" si="9"/>
        <v>5.1102092352092354</v>
      </c>
      <c r="E233">
        <v>3.0104911053671815E-2</v>
      </c>
      <c r="G233">
        <v>231</v>
      </c>
      <c r="H233">
        <f t="shared" ca="1" si="10"/>
        <v>-3.5348922201467674E-2</v>
      </c>
    </row>
    <row r="234" spans="2:8" x14ac:dyDescent="0.3">
      <c r="B234" s="113">
        <v>39646</v>
      </c>
      <c r="C234">
        <v>55.44</v>
      </c>
      <c r="D234">
        <f t="shared" si="9"/>
        <v>1.2122905027932962</v>
      </c>
      <c r="E234">
        <v>3.0100334448160487E-2</v>
      </c>
      <c r="G234">
        <v>232</v>
      </c>
      <c r="H234">
        <f t="shared" ca="1" si="10"/>
        <v>-3.7353072129771487E-3</v>
      </c>
    </row>
    <row r="235" spans="2:8" x14ac:dyDescent="0.3">
      <c r="B235" s="113">
        <v>38000</v>
      </c>
      <c r="C235">
        <v>25.06</v>
      </c>
      <c r="D235">
        <f t="shared" si="9"/>
        <v>0.40313549832026874</v>
      </c>
      <c r="E235">
        <v>3.0004110152075648E-2</v>
      </c>
      <c r="G235">
        <v>233</v>
      </c>
      <c r="H235">
        <f t="shared" ca="1" si="10"/>
        <v>3.566221931674012E-4</v>
      </c>
    </row>
    <row r="236" spans="2:8" x14ac:dyDescent="0.3">
      <c r="B236" s="113">
        <v>37855</v>
      </c>
      <c r="C236">
        <v>17.86</v>
      </c>
      <c r="D236">
        <f t="shared" si="9"/>
        <v>-0.66282801585803286</v>
      </c>
      <c r="E236">
        <v>2.9988465974625119E-2</v>
      </c>
      <c r="G236">
        <v>234</v>
      </c>
      <c r="H236">
        <f t="shared" ca="1" si="10"/>
        <v>2.1690951537711237E-2</v>
      </c>
    </row>
    <row r="237" spans="2:8" x14ac:dyDescent="0.3">
      <c r="B237" s="113">
        <v>39755</v>
      </c>
      <c r="C237">
        <v>52.97</v>
      </c>
      <c r="D237">
        <f t="shared" si="9"/>
        <v>-0.79348927875243669</v>
      </c>
      <c r="E237">
        <v>2.994361267742561E-2</v>
      </c>
      <c r="G237">
        <v>235</v>
      </c>
      <c r="H237">
        <f t="shared" ca="1" si="10"/>
        <v>-1.0512199694141671E-2</v>
      </c>
    </row>
    <row r="238" spans="2:8" x14ac:dyDescent="0.3">
      <c r="B238" s="113">
        <v>42681</v>
      </c>
      <c r="C238">
        <v>256.5</v>
      </c>
      <c r="D238">
        <f t="shared" si="9"/>
        <v>-0.10377358490566034</v>
      </c>
      <c r="E238">
        <v>2.9913671953422961E-2</v>
      </c>
      <c r="G238">
        <v>236</v>
      </c>
      <c r="H238">
        <f t="shared" ca="1" si="10"/>
        <v>-1.1884602626942875E-3</v>
      </c>
    </row>
    <row r="239" spans="2:8" x14ac:dyDescent="0.3">
      <c r="B239" s="113">
        <v>42874</v>
      </c>
      <c r="C239">
        <v>286.2</v>
      </c>
      <c r="D239">
        <f t="shared" si="9"/>
        <v>0.32200101621321991</v>
      </c>
      <c r="E239">
        <v>2.9866858582223866E-2</v>
      </c>
      <c r="G239">
        <v>237</v>
      </c>
      <c r="H239">
        <f t="shared" ca="1" si="10"/>
        <v>-2.5105591147654517E-2</v>
      </c>
    </row>
    <row r="240" spans="2:8" x14ac:dyDescent="0.3">
      <c r="B240" s="113">
        <v>42359</v>
      </c>
      <c r="C240">
        <v>216.49</v>
      </c>
      <c r="D240">
        <f t="shared" si="9"/>
        <v>0.16018220793140417</v>
      </c>
      <c r="E240">
        <v>2.9825896679668968E-2</v>
      </c>
      <c r="G240">
        <v>238</v>
      </c>
      <c r="H240">
        <f t="shared" ca="1" si="10"/>
        <v>2.1969695811801322E-2</v>
      </c>
    </row>
    <row r="241" spans="2:8" x14ac:dyDescent="0.3">
      <c r="B241" s="113">
        <v>44000</v>
      </c>
      <c r="C241">
        <v>186.6</v>
      </c>
      <c r="D241">
        <f t="shared" si="9"/>
        <v>1.2198429693076374</v>
      </c>
      <c r="E241">
        <v>2.9801324503311293E-2</v>
      </c>
      <c r="G241">
        <v>239</v>
      </c>
      <c r="H241">
        <f t="shared" ca="1" si="10"/>
        <v>-4.888150501607424E-3</v>
      </c>
    </row>
    <row r="242" spans="2:8" x14ac:dyDescent="0.3">
      <c r="B242" s="113">
        <v>40170</v>
      </c>
      <c r="C242">
        <v>84.06</v>
      </c>
      <c r="D242">
        <f t="shared" si="9"/>
        <v>4.5085190039318475</v>
      </c>
      <c r="E242">
        <v>2.9768467475193031E-2</v>
      </c>
      <c r="G242">
        <v>240</v>
      </c>
      <c r="H242">
        <f t="shared" ca="1" si="10"/>
        <v>-2.2379182326208558E-2</v>
      </c>
    </row>
    <row r="243" spans="2:8" x14ac:dyDescent="0.3">
      <c r="B243" s="113">
        <v>37473</v>
      </c>
      <c r="C243">
        <v>15.26</v>
      </c>
      <c r="D243">
        <f t="shared" si="9"/>
        <v>-0.47757617254364948</v>
      </c>
      <c r="E243">
        <v>2.9689608636977022E-2</v>
      </c>
      <c r="G243">
        <v>241</v>
      </c>
      <c r="H243">
        <f t="shared" ca="1" si="10"/>
        <v>-3.0347636717020385E-2</v>
      </c>
    </row>
    <row r="244" spans="2:8" x14ac:dyDescent="0.3">
      <c r="B244" s="113">
        <v>38435</v>
      </c>
      <c r="C244">
        <v>29.21</v>
      </c>
      <c r="D244">
        <f t="shared" si="9"/>
        <v>-0.87668341284248741</v>
      </c>
      <c r="E244">
        <v>2.9608741628480782E-2</v>
      </c>
      <c r="G244">
        <v>242</v>
      </c>
      <c r="H244">
        <f t="shared" ca="1" si="10"/>
        <v>2.1943313346595335E-3</v>
      </c>
    </row>
    <row r="245" spans="2:8" x14ac:dyDescent="0.3">
      <c r="B245" s="113">
        <v>41864</v>
      </c>
      <c r="C245">
        <v>236.87</v>
      </c>
      <c r="D245">
        <f t="shared" si="9"/>
        <v>-7.6710192944845088E-2</v>
      </c>
      <c r="E245">
        <v>2.9511474269819156E-2</v>
      </c>
      <c r="G245">
        <v>243</v>
      </c>
      <c r="H245">
        <f t="shared" ca="1" si="10"/>
        <v>-2.4666726846573812E-3</v>
      </c>
    </row>
    <row r="246" spans="2:8" x14ac:dyDescent="0.3">
      <c r="B246" s="113">
        <v>44483</v>
      </c>
      <c r="C246">
        <v>256.55</v>
      </c>
      <c r="D246">
        <f t="shared" si="9"/>
        <v>3.0832404902116828</v>
      </c>
      <c r="E246">
        <v>2.9494382022472003E-2</v>
      </c>
      <c r="G246">
        <v>244</v>
      </c>
      <c r="H246">
        <f t="shared" ca="1" si="10"/>
        <v>2.3608248767417669E-2</v>
      </c>
    </row>
    <row r="247" spans="2:8" x14ac:dyDescent="0.3">
      <c r="B247" s="113">
        <v>39366</v>
      </c>
      <c r="C247">
        <v>62.83</v>
      </c>
      <c r="D247">
        <f t="shared" si="9"/>
        <v>-0.73921886024986516</v>
      </c>
      <c r="E247">
        <v>2.9493691627068608E-2</v>
      </c>
      <c r="G247">
        <v>245</v>
      </c>
      <c r="H247">
        <f t="shared" ca="1" si="10"/>
        <v>2.5496129573002881E-2</v>
      </c>
    </row>
    <row r="248" spans="2:8" x14ac:dyDescent="0.3">
      <c r="B248" s="113">
        <v>42522</v>
      </c>
      <c r="C248">
        <v>240.93</v>
      </c>
      <c r="D248">
        <f t="shared" si="9"/>
        <v>10.295358649789032</v>
      </c>
      <c r="E248">
        <v>2.9483399564158467E-2</v>
      </c>
      <c r="G248">
        <v>246</v>
      </c>
      <c r="H248">
        <f t="shared" ca="1" si="10"/>
        <v>2.1601694194820734E-2</v>
      </c>
    </row>
    <row r="249" spans="2:8" x14ac:dyDescent="0.3">
      <c r="B249" s="113">
        <v>38175</v>
      </c>
      <c r="C249">
        <v>21.33</v>
      </c>
      <c r="D249">
        <f t="shared" si="9"/>
        <v>-0.41927579635175605</v>
      </c>
      <c r="E249">
        <v>2.9440154440154416E-2</v>
      </c>
      <c r="G249">
        <v>247</v>
      </c>
      <c r="H249">
        <f t="shared" ca="1" si="10"/>
        <v>1.9226335941243223E-2</v>
      </c>
    </row>
    <row r="250" spans="2:8" x14ac:dyDescent="0.3">
      <c r="B250" s="113">
        <v>38533</v>
      </c>
      <c r="C250">
        <v>36.729999999999997</v>
      </c>
      <c r="D250">
        <f t="shared" si="9"/>
        <v>-0.72235240758938701</v>
      </c>
      <c r="E250">
        <v>2.9428251121076155E-2</v>
      </c>
      <c r="G250">
        <v>248</v>
      </c>
      <c r="H250">
        <f t="shared" ca="1" si="10"/>
        <v>-3.9183293343970074E-3</v>
      </c>
    </row>
    <row r="251" spans="2:8" x14ac:dyDescent="0.3">
      <c r="B251" s="113">
        <v>40723</v>
      </c>
      <c r="C251">
        <v>132.29</v>
      </c>
      <c r="D251">
        <f t="shared" si="9"/>
        <v>1.496508775240611</v>
      </c>
      <c r="E251">
        <v>2.9414053381059849E-2</v>
      </c>
      <c r="G251">
        <v>249</v>
      </c>
      <c r="H251">
        <f t="shared" ca="1" si="10"/>
        <v>2.6483755388991895E-2</v>
      </c>
    </row>
    <row r="252" spans="2:8" x14ac:dyDescent="0.3">
      <c r="B252" s="113">
        <v>39182</v>
      </c>
      <c r="C252">
        <v>52.99</v>
      </c>
      <c r="D252">
        <f t="shared" si="9"/>
        <v>-0.8102077363896848</v>
      </c>
      <c r="E252">
        <v>2.9331779331779433E-2</v>
      </c>
      <c r="G252">
        <v>250</v>
      </c>
      <c r="H252">
        <f t="shared" ca="1" si="10"/>
        <v>4.0429958079013697E-3</v>
      </c>
    </row>
    <row r="253" spans="2:8" x14ac:dyDescent="0.3">
      <c r="B253" s="113">
        <v>42963</v>
      </c>
      <c r="C253">
        <v>279.2</v>
      </c>
      <c r="D253">
        <f t="shared" si="9"/>
        <v>0.58862019914651487</v>
      </c>
      <c r="E253">
        <v>2.9308755760368621E-2</v>
      </c>
      <c r="G253">
        <v>251</v>
      </c>
      <c r="H253">
        <f t="shared" ca="1" si="10"/>
        <v>-2.8997604882020682E-2</v>
      </c>
    </row>
    <row r="254" spans="2:8" x14ac:dyDescent="0.3">
      <c r="B254" s="113">
        <v>43971</v>
      </c>
      <c r="C254">
        <v>175.75</v>
      </c>
      <c r="D254">
        <f t="shared" si="9"/>
        <v>4.363137015563014</v>
      </c>
      <c r="E254">
        <v>2.9282576866764276E-2</v>
      </c>
      <c r="G254">
        <v>252</v>
      </c>
      <c r="H254">
        <f t="shared" ca="1" si="10"/>
        <v>-2.7705745753023005E-2</v>
      </c>
    </row>
    <row r="255" spans="2:8" x14ac:dyDescent="0.3">
      <c r="B255" s="113">
        <v>38481</v>
      </c>
      <c r="C255">
        <v>32.770000000000003</v>
      </c>
      <c r="D255">
        <f t="shared" si="9"/>
        <v>-0.43363290701693735</v>
      </c>
      <c r="E255">
        <v>2.9208542713567941E-2</v>
      </c>
      <c r="G255">
        <v>253</v>
      </c>
      <c r="H255">
        <f t="shared" ca="1" si="10"/>
        <v>1.4274452690858731E-2</v>
      </c>
    </row>
    <row r="256" spans="2:8" x14ac:dyDescent="0.3">
      <c r="B256" s="113">
        <v>39077</v>
      </c>
      <c r="C256">
        <v>57.86</v>
      </c>
      <c r="D256">
        <f t="shared" si="9"/>
        <v>-0.66889842632331908</v>
      </c>
      <c r="E256">
        <v>2.9171113482746366E-2</v>
      </c>
      <c r="G256">
        <v>254</v>
      </c>
      <c r="H256">
        <f t="shared" ca="1" si="10"/>
        <v>-1.1235852087069799E-2</v>
      </c>
    </row>
    <row r="257" spans="2:8" x14ac:dyDescent="0.3">
      <c r="B257" s="113">
        <v>44140</v>
      </c>
      <c r="C257">
        <v>174.75</v>
      </c>
      <c r="D257">
        <f t="shared" si="9"/>
        <v>1.7593557555660826</v>
      </c>
      <c r="E257">
        <v>2.9151943462897456E-2</v>
      </c>
      <c r="G257">
        <v>255</v>
      </c>
      <c r="H257">
        <f t="shared" ca="1" si="10"/>
        <v>2.3643528835382528E-2</v>
      </c>
    </row>
    <row r="258" spans="2:8" x14ac:dyDescent="0.3">
      <c r="B258" s="113">
        <v>39710</v>
      </c>
      <c r="C258">
        <v>63.33</v>
      </c>
      <c r="D258">
        <f t="shared" si="9"/>
        <v>-0.73308888607915035</v>
      </c>
      <c r="E258">
        <v>2.908677283067922E-2</v>
      </c>
      <c r="G258">
        <v>256</v>
      </c>
      <c r="H258">
        <f t="shared" ca="1" si="10"/>
        <v>2.5875307279302612E-2</v>
      </c>
    </row>
    <row r="259" spans="2:8" x14ac:dyDescent="0.3">
      <c r="B259" s="113">
        <v>42019</v>
      </c>
      <c r="C259">
        <v>237.27</v>
      </c>
      <c r="D259">
        <f t="shared" ref="D259:D322" si="11">(C259-C260)/C260</f>
        <v>15.720930232558141</v>
      </c>
      <c r="E259">
        <v>2.9013791308873264E-2</v>
      </c>
      <c r="G259">
        <v>257</v>
      </c>
      <c r="H259">
        <f t="shared" ca="1" si="10"/>
        <v>-5.0451923704556796E-3</v>
      </c>
    </row>
    <row r="260" spans="2:8" x14ac:dyDescent="0.3">
      <c r="B260" s="113">
        <v>37588</v>
      </c>
      <c r="C260">
        <v>14.19</v>
      </c>
      <c r="D260">
        <f t="shared" si="11"/>
        <v>-0.94846558925004543</v>
      </c>
      <c r="E260">
        <v>2.9006526468455428E-2</v>
      </c>
      <c r="G260">
        <v>258</v>
      </c>
      <c r="H260">
        <f t="shared" ref="H260:H323" ca="1" si="12">_xlfn.NORM.INV(RAND(),$L$4,$L$6)</f>
        <v>2.3999339442427579E-2</v>
      </c>
    </row>
    <row r="261" spans="2:8" x14ac:dyDescent="0.3">
      <c r="B261" s="113">
        <v>43208</v>
      </c>
      <c r="C261">
        <v>275.35000000000002</v>
      </c>
      <c r="D261">
        <f t="shared" si="11"/>
        <v>1.3612897693165253</v>
      </c>
      <c r="E261">
        <v>2.8961136023916291E-2</v>
      </c>
      <c r="G261">
        <v>259</v>
      </c>
      <c r="H261">
        <f t="shared" ca="1" si="12"/>
        <v>-1.1745642524735277E-2</v>
      </c>
    </row>
    <row r="262" spans="2:8" x14ac:dyDescent="0.3">
      <c r="B262" s="113">
        <v>40504</v>
      </c>
      <c r="C262">
        <v>116.61</v>
      </c>
      <c r="D262">
        <f t="shared" si="11"/>
        <v>6.7843791722296389</v>
      </c>
      <c r="E262">
        <v>2.8942027706697265E-2</v>
      </c>
      <c r="G262">
        <v>260</v>
      </c>
      <c r="H262">
        <f t="shared" ca="1" si="12"/>
        <v>-6.9295325864266568E-3</v>
      </c>
    </row>
    <row r="263" spans="2:8" x14ac:dyDescent="0.3">
      <c r="B263" s="113">
        <v>37608</v>
      </c>
      <c r="C263">
        <v>14.98</v>
      </c>
      <c r="D263">
        <f t="shared" si="11"/>
        <v>-0.94207269914926528</v>
      </c>
      <c r="E263">
        <v>2.8846153846153841E-2</v>
      </c>
      <c r="G263">
        <v>261</v>
      </c>
      <c r="H263">
        <f t="shared" ca="1" si="12"/>
        <v>3.0367342889452056E-2</v>
      </c>
    </row>
    <row r="264" spans="2:8" x14ac:dyDescent="0.3">
      <c r="B264" s="113">
        <v>44694</v>
      </c>
      <c r="C264">
        <v>258.60000000000002</v>
      </c>
      <c r="D264">
        <f t="shared" si="11"/>
        <v>-9.1036906854129976E-2</v>
      </c>
      <c r="E264">
        <v>2.8844241098070534E-2</v>
      </c>
      <c r="G264">
        <v>262</v>
      </c>
      <c r="H264">
        <f t="shared" ca="1" si="12"/>
        <v>-9.4975062933759285E-4</v>
      </c>
    </row>
    <row r="265" spans="2:8" x14ac:dyDescent="0.3">
      <c r="B265" s="113">
        <v>43423</v>
      </c>
      <c r="C265">
        <v>284.5</v>
      </c>
      <c r="D265">
        <f t="shared" si="11"/>
        <v>0.48408972352634333</v>
      </c>
      <c r="E265">
        <v>2.8747062014102289E-2</v>
      </c>
      <c r="G265">
        <v>263</v>
      </c>
      <c r="H265">
        <f t="shared" ca="1" si="12"/>
        <v>-2.2947783680061694E-2</v>
      </c>
    </row>
    <row r="266" spans="2:8" x14ac:dyDescent="0.3">
      <c r="B266" s="113">
        <v>43977</v>
      </c>
      <c r="C266">
        <v>191.7</v>
      </c>
      <c r="D266">
        <f t="shared" si="11"/>
        <v>2.4001418942887547</v>
      </c>
      <c r="E266">
        <v>2.8709417762275258E-2</v>
      </c>
      <c r="G266">
        <v>264</v>
      </c>
      <c r="H266">
        <f t="shared" ca="1" si="12"/>
        <v>1.2167888609199071E-2</v>
      </c>
    </row>
    <row r="267" spans="2:8" x14ac:dyDescent="0.3">
      <c r="B267" s="113">
        <v>39888</v>
      </c>
      <c r="C267">
        <v>56.38</v>
      </c>
      <c r="D267">
        <f t="shared" si="11"/>
        <v>-0.2878615637236327</v>
      </c>
      <c r="E267">
        <v>2.8644407954752787E-2</v>
      </c>
      <c r="G267">
        <v>265</v>
      </c>
      <c r="H267">
        <f t="shared" ca="1" si="12"/>
        <v>1.0522894309541739E-3</v>
      </c>
    </row>
    <row r="268" spans="2:8" x14ac:dyDescent="0.3">
      <c r="B268" s="113">
        <v>40021</v>
      </c>
      <c r="C268">
        <v>79.17</v>
      </c>
      <c r="D268">
        <f t="shared" si="11"/>
        <v>2.6019108280254777</v>
      </c>
      <c r="E268">
        <v>2.8582564635572339E-2</v>
      </c>
      <c r="G268">
        <v>266</v>
      </c>
      <c r="H268">
        <f t="shared" ca="1" si="12"/>
        <v>1.1697786662443635E-2</v>
      </c>
    </row>
    <row r="269" spans="2:8" x14ac:dyDescent="0.3">
      <c r="B269" s="113">
        <v>37970</v>
      </c>
      <c r="C269">
        <v>21.98</v>
      </c>
      <c r="D269">
        <f t="shared" si="11"/>
        <v>-0.56127744510978039</v>
      </c>
      <c r="E269">
        <v>2.8544688816097306E-2</v>
      </c>
      <c r="G269">
        <v>267</v>
      </c>
      <c r="H269">
        <f t="shared" ca="1" si="12"/>
        <v>-5.8184774767687051E-3</v>
      </c>
    </row>
    <row r="270" spans="2:8" x14ac:dyDescent="0.3">
      <c r="B270" s="113">
        <v>39171</v>
      </c>
      <c r="C270">
        <v>50.1</v>
      </c>
      <c r="D270">
        <f t="shared" si="11"/>
        <v>0.92989214175654855</v>
      </c>
      <c r="E270">
        <v>2.8536234859371803E-2</v>
      </c>
      <c r="G270">
        <v>268</v>
      </c>
      <c r="H270">
        <f t="shared" ca="1" si="12"/>
        <v>-9.4685479396983401E-4</v>
      </c>
    </row>
    <row r="271" spans="2:8" x14ac:dyDescent="0.3">
      <c r="B271" s="113">
        <v>38247</v>
      </c>
      <c r="C271">
        <v>25.96</v>
      </c>
      <c r="D271">
        <f t="shared" si="11"/>
        <v>0.28387734915924839</v>
      </c>
      <c r="E271">
        <v>2.8526148969889163E-2</v>
      </c>
      <c r="G271">
        <v>269</v>
      </c>
      <c r="H271">
        <f t="shared" ca="1" si="12"/>
        <v>-1.3472886405445413E-2</v>
      </c>
    </row>
    <row r="272" spans="2:8" x14ac:dyDescent="0.3">
      <c r="B272" s="113">
        <v>38134</v>
      </c>
      <c r="C272">
        <v>20.22</v>
      </c>
      <c r="D272">
        <f t="shared" si="11"/>
        <v>-0.68187539332913782</v>
      </c>
      <c r="E272">
        <v>2.8484231943031471E-2</v>
      </c>
      <c r="G272">
        <v>270</v>
      </c>
      <c r="H272">
        <f t="shared" ca="1" si="12"/>
        <v>1.0853520074072073E-2</v>
      </c>
    </row>
    <row r="273" spans="2:8" x14ac:dyDescent="0.3">
      <c r="B273" s="113">
        <v>39625</v>
      </c>
      <c r="C273">
        <v>63.56</v>
      </c>
      <c r="D273">
        <f t="shared" si="11"/>
        <v>-0.17796171753750636</v>
      </c>
      <c r="E273">
        <v>2.8478964401294583E-2</v>
      </c>
      <c r="G273">
        <v>271</v>
      </c>
      <c r="H273">
        <f t="shared" ca="1" si="12"/>
        <v>4.4768429022045992E-3</v>
      </c>
    </row>
    <row r="274" spans="2:8" x14ac:dyDescent="0.3">
      <c r="B274" s="113">
        <v>40060</v>
      </c>
      <c r="C274">
        <v>77.319999999999993</v>
      </c>
      <c r="D274">
        <f t="shared" si="11"/>
        <v>-3.8784744667099081E-4</v>
      </c>
      <c r="E274">
        <v>2.8465017291832751E-2</v>
      </c>
      <c r="G274">
        <v>272</v>
      </c>
      <c r="H274">
        <f t="shared" ca="1" si="12"/>
        <v>-1.483959342712955E-2</v>
      </c>
    </row>
    <row r="275" spans="2:8" x14ac:dyDescent="0.3">
      <c r="B275" s="113">
        <v>40078</v>
      </c>
      <c r="C275">
        <v>77.349999999999994</v>
      </c>
      <c r="D275">
        <f t="shared" si="11"/>
        <v>2.8888888888888884</v>
      </c>
      <c r="E275">
        <v>2.8453663076718531E-2</v>
      </c>
      <c r="G275">
        <v>273</v>
      </c>
      <c r="H275">
        <f t="shared" ca="1" si="12"/>
        <v>9.4227399418120913E-3</v>
      </c>
    </row>
    <row r="276" spans="2:8" x14ac:dyDescent="0.3">
      <c r="B276" s="113">
        <v>37959</v>
      </c>
      <c r="C276">
        <v>19.89</v>
      </c>
      <c r="D276">
        <f t="shared" si="11"/>
        <v>-0.47630331753554495</v>
      </c>
      <c r="E276">
        <v>2.8438469493278218E-2</v>
      </c>
      <c r="G276">
        <v>274</v>
      </c>
      <c r="H276">
        <f t="shared" ca="1" si="12"/>
        <v>1.0804125575802195E-2</v>
      </c>
    </row>
    <row r="277" spans="2:8" x14ac:dyDescent="0.3">
      <c r="B277" s="113">
        <v>38567</v>
      </c>
      <c r="C277">
        <v>37.979999999999997</v>
      </c>
      <c r="D277">
        <f t="shared" si="11"/>
        <v>0.90375939849624054</v>
      </c>
      <c r="E277">
        <v>2.8432168968318364E-2</v>
      </c>
      <c r="G277">
        <v>275</v>
      </c>
      <c r="H277">
        <f t="shared" ca="1" si="12"/>
        <v>-8.2641328017156838E-3</v>
      </c>
    </row>
    <row r="278" spans="2:8" x14ac:dyDescent="0.3">
      <c r="B278" s="113">
        <v>38139</v>
      </c>
      <c r="C278">
        <v>19.95</v>
      </c>
      <c r="D278">
        <f t="shared" si="11"/>
        <v>-0.84078212290502796</v>
      </c>
      <c r="E278">
        <v>2.8350515463917564E-2</v>
      </c>
      <c r="G278">
        <v>276</v>
      </c>
      <c r="H278">
        <f t="shared" ca="1" si="12"/>
        <v>-6.4068919453967128E-3</v>
      </c>
    </row>
    <row r="279" spans="2:8" x14ac:dyDescent="0.3">
      <c r="B279" s="113">
        <v>40676</v>
      </c>
      <c r="C279">
        <v>125.3</v>
      </c>
      <c r="D279">
        <f t="shared" si="11"/>
        <v>5.6261237440507665</v>
      </c>
      <c r="E279">
        <v>2.8313500205170317E-2</v>
      </c>
      <c r="G279">
        <v>277</v>
      </c>
      <c r="H279">
        <f t="shared" ca="1" si="12"/>
        <v>1.6018928222245638E-3</v>
      </c>
    </row>
    <row r="280" spans="2:8" x14ac:dyDescent="0.3">
      <c r="B280" s="113">
        <v>37865</v>
      </c>
      <c r="C280">
        <v>18.91</v>
      </c>
      <c r="D280">
        <f t="shared" si="11"/>
        <v>-0.69768185451638698</v>
      </c>
      <c r="E280">
        <v>2.8276237085372462E-2</v>
      </c>
      <c r="G280">
        <v>278</v>
      </c>
      <c r="H280">
        <f t="shared" ca="1" si="12"/>
        <v>-2.2313991061004939E-2</v>
      </c>
    </row>
    <row r="281" spans="2:8" x14ac:dyDescent="0.3">
      <c r="B281" s="113">
        <v>39689</v>
      </c>
      <c r="C281">
        <v>62.55</v>
      </c>
      <c r="D281">
        <f t="shared" si="11"/>
        <v>7.4373067674338683E-2</v>
      </c>
      <c r="E281">
        <v>2.8275521946408005E-2</v>
      </c>
      <c r="G281">
        <v>279</v>
      </c>
      <c r="H281">
        <f t="shared" ca="1" si="12"/>
        <v>-2.7889414300298499E-2</v>
      </c>
    </row>
    <row r="282" spans="2:8" x14ac:dyDescent="0.3">
      <c r="B282" s="113">
        <v>39841</v>
      </c>
      <c r="C282">
        <v>58.22</v>
      </c>
      <c r="D282">
        <f t="shared" si="11"/>
        <v>1.5761061946902652</v>
      </c>
      <c r="E282">
        <v>2.8258565877781729E-2</v>
      </c>
      <c r="G282">
        <v>280</v>
      </c>
      <c r="H282">
        <f t="shared" ca="1" si="12"/>
        <v>-2.6296513351262436E-2</v>
      </c>
    </row>
    <row r="283" spans="2:8" x14ac:dyDescent="0.3">
      <c r="B283" s="113">
        <v>37988</v>
      </c>
      <c r="C283">
        <v>22.6</v>
      </c>
      <c r="D283">
        <f t="shared" si="11"/>
        <v>-0.90487014353664186</v>
      </c>
      <c r="E283">
        <v>2.8207461328480482E-2</v>
      </c>
      <c r="G283">
        <v>281</v>
      </c>
      <c r="H283">
        <f t="shared" ca="1" si="12"/>
        <v>2.192825171254293E-2</v>
      </c>
    </row>
    <row r="284" spans="2:8" x14ac:dyDescent="0.3">
      <c r="B284" s="113">
        <v>42300</v>
      </c>
      <c r="C284">
        <v>237.57</v>
      </c>
      <c r="D284">
        <f t="shared" si="11"/>
        <v>3.1569553805774277</v>
      </c>
      <c r="E284">
        <v>2.8130003894923618E-2</v>
      </c>
      <c r="G284">
        <v>282</v>
      </c>
      <c r="H284">
        <f t="shared" ca="1" si="12"/>
        <v>1.7840550528313192E-2</v>
      </c>
    </row>
    <row r="285" spans="2:8" x14ac:dyDescent="0.3">
      <c r="B285" s="113">
        <v>39290</v>
      </c>
      <c r="C285">
        <v>57.15</v>
      </c>
      <c r="D285">
        <f t="shared" si="11"/>
        <v>0.10030804774740087</v>
      </c>
      <c r="E285">
        <v>2.8062601187263808E-2</v>
      </c>
      <c r="G285">
        <v>283</v>
      </c>
      <c r="H285">
        <f t="shared" ca="1" si="12"/>
        <v>-2.6627636871680911E-2</v>
      </c>
    </row>
    <row r="286" spans="2:8" x14ac:dyDescent="0.3">
      <c r="B286" s="113">
        <v>38754</v>
      </c>
      <c r="C286">
        <v>51.94</v>
      </c>
      <c r="D286">
        <f t="shared" si="11"/>
        <v>1.27308533916849</v>
      </c>
      <c r="E286">
        <v>2.790421531763302E-2</v>
      </c>
      <c r="G286">
        <v>284</v>
      </c>
      <c r="H286">
        <f t="shared" ca="1" si="12"/>
        <v>1.3014207214922268E-3</v>
      </c>
    </row>
    <row r="287" spans="2:8" x14ac:dyDescent="0.3">
      <c r="B287" s="113">
        <v>38218</v>
      </c>
      <c r="C287">
        <v>22.85</v>
      </c>
      <c r="D287">
        <f t="shared" si="11"/>
        <v>-0.91014549744396389</v>
      </c>
      <c r="E287">
        <v>2.7890238416554251E-2</v>
      </c>
      <c r="G287">
        <v>285</v>
      </c>
      <c r="H287">
        <f t="shared" ca="1" si="12"/>
        <v>-3.2408820428112355E-3</v>
      </c>
    </row>
    <row r="288" spans="2:8" x14ac:dyDescent="0.3">
      <c r="B288" s="113">
        <v>42579</v>
      </c>
      <c r="C288">
        <v>254.3</v>
      </c>
      <c r="D288">
        <f t="shared" si="11"/>
        <v>0.14400107967070053</v>
      </c>
      <c r="E288">
        <v>2.7890056588520638E-2</v>
      </c>
      <c r="G288">
        <v>286</v>
      </c>
      <c r="H288">
        <f t="shared" ca="1" si="12"/>
        <v>-5.5865661459114447E-3</v>
      </c>
    </row>
    <row r="289" spans="2:8" x14ac:dyDescent="0.3">
      <c r="B289" s="113">
        <v>41401</v>
      </c>
      <c r="C289">
        <v>222.29</v>
      </c>
      <c r="D289">
        <f t="shared" si="11"/>
        <v>2.7676271186440675</v>
      </c>
      <c r="E289">
        <v>2.7883103671506527E-2</v>
      </c>
      <c r="G289">
        <v>287</v>
      </c>
      <c r="H289">
        <f t="shared" ca="1" si="12"/>
        <v>1.3948448691509293E-2</v>
      </c>
    </row>
    <row r="290" spans="2:8" x14ac:dyDescent="0.3">
      <c r="B290" s="113">
        <v>38786</v>
      </c>
      <c r="C290">
        <v>59</v>
      </c>
      <c r="D290">
        <f t="shared" si="11"/>
        <v>-0.73835920177383596</v>
      </c>
      <c r="E290">
        <v>2.7874564459930338E-2</v>
      </c>
      <c r="G290">
        <v>288</v>
      </c>
      <c r="H290">
        <f t="shared" ca="1" si="12"/>
        <v>-8.006449126644043E-3</v>
      </c>
    </row>
    <row r="291" spans="2:8" x14ac:dyDescent="0.3">
      <c r="B291" s="113">
        <v>44624</v>
      </c>
      <c r="C291">
        <v>225.5</v>
      </c>
      <c r="D291">
        <f t="shared" si="11"/>
        <v>-0.17520117044623257</v>
      </c>
      <c r="E291">
        <v>2.7803099361896053E-2</v>
      </c>
      <c r="G291">
        <v>289</v>
      </c>
      <c r="H291">
        <f t="shared" ca="1" si="12"/>
        <v>3.3461623480093359E-3</v>
      </c>
    </row>
    <row r="292" spans="2:8" x14ac:dyDescent="0.3">
      <c r="B292" s="113">
        <v>43118</v>
      </c>
      <c r="C292">
        <v>273.39999999999998</v>
      </c>
      <c r="D292">
        <f t="shared" si="11"/>
        <v>4.6093557652851862</v>
      </c>
      <c r="E292">
        <v>2.7626386017665722E-2</v>
      </c>
      <c r="G292">
        <v>290</v>
      </c>
      <c r="H292">
        <f t="shared" ca="1" si="12"/>
        <v>8.539157727953892E-3</v>
      </c>
    </row>
    <row r="293" spans="2:8" x14ac:dyDescent="0.3">
      <c r="B293" s="113">
        <v>38737</v>
      </c>
      <c r="C293">
        <v>48.74</v>
      </c>
      <c r="D293">
        <f t="shared" si="11"/>
        <v>-0.61326668253590411</v>
      </c>
      <c r="E293">
        <v>2.76196500105419E-2</v>
      </c>
      <c r="G293">
        <v>291</v>
      </c>
      <c r="H293">
        <f t="shared" ca="1" si="12"/>
        <v>-1.3417787195829402E-2</v>
      </c>
    </row>
    <row r="294" spans="2:8" x14ac:dyDescent="0.3">
      <c r="B294" s="113">
        <v>40646</v>
      </c>
      <c r="C294">
        <v>126.03</v>
      </c>
      <c r="D294">
        <f t="shared" si="11"/>
        <v>-0.50057459877154742</v>
      </c>
      <c r="E294">
        <v>2.7558092132083125E-2</v>
      </c>
      <c r="G294">
        <v>292</v>
      </c>
      <c r="H294">
        <f t="shared" ca="1" si="12"/>
        <v>2.3154945559995862E-2</v>
      </c>
    </row>
    <row r="295" spans="2:8" x14ac:dyDescent="0.3">
      <c r="B295" s="113">
        <v>42552</v>
      </c>
      <c r="C295">
        <v>252.35</v>
      </c>
      <c r="D295">
        <f t="shared" si="11"/>
        <v>0.14913479052823317</v>
      </c>
      <c r="E295">
        <v>2.7483713355048862E-2</v>
      </c>
      <c r="G295">
        <v>293</v>
      </c>
      <c r="H295">
        <f t="shared" ca="1" si="12"/>
        <v>6.7498993244414045E-3</v>
      </c>
    </row>
    <row r="296" spans="2:8" x14ac:dyDescent="0.3">
      <c r="B296" s="113">
        <v>42473</v>
      </c>
      <c r="C296">
        <v>219.6</v>
      </c>
      <c r="D296">
        <f t="shared" si="11"/>
        <v>3.0124246300018274</v>
      </c>
      <c r="E296">
        <v>2.7416487321044188E-2</v>
      </c>
      <c r="G296">
        <v>294</v>
      </c>
      <c r="H296">
        <f t="shared" ca="1" si="12"/>
        <v>-2.0359141725862596E-2</v>
      </c>
    </row>
    <row r="297" spans="2:8" x14ac:dyDescent="0.3">
      <c r="B297" s="113">
        <v>39771</v>
      </c>
      <c r="C297">
        <v>54.73</v>
      </c>
      <c r="D297">
        <f t="shared" si="11"/>
        <v>-0.77009031716026055</v>
      </c>
      <c r="E297">
        <v>2.7407546461422821E-2</v>
      </c>
      <c r="G297">
        <v>295</v>
      </c>
      <c r="H297">
        <f t="shared" ca="1" si="12"/>
        <v>-7.1991762135771523E-3</v>
      </c>
    </row>
    <row r="298" spans="2:8" x14ac:dyDescent="0.3">
      <c r="B298" s="113">
        <v>44480</v>
      </c>
      <c r="C298">
        <v>238.05</v>
      </c>
      <c r="D298">
        <f t="shared" si="11"/>
        <v>-8.3894554550702369E-2</v>
      </c>
      <c r="E298">
        <v>2.7406128614587928E-2</v>
      </c>
      <c r="G298">
        <v>296</v>
      </c>
      <c r="H298">
        <f t="shared" ca="1" si="12"/>
        <v>-1.8410385690448328E-2</v>
      </c>
    </row>
    <row r="299" spans="2:8" x14ac:dyDescent="0.3">
      <c r="B299" s="113">
        <v>43738</v>
      </c>
      <c r="C299">
        <v>259.85000000000002</v>
      </c>
      <c r="D299">
        <f t="shared" si="11"/>
        <v>13.985582468281432</v>
      </c>
      <c r="E299">
        <v>2.7278118205179024E-2</v>
      </c>
      <c r="G299">
        <v>297</v>
      </c>
      <c r="H299">
        <f t="shared" ca="1" si="12"/>
        <v>7.8895671048287361E-3</v>
      </c>
    </row>
    <row r="300" spans="2:8" x14ac:dyDescent="0.3">
      <c r="B300" s="113">
        <v>37854</v>
      </c>
      <c r="C300">
        <v>17.34</v>
      </c>
      <c r="D300">
        <f t="shared" si="11"/>
        <v>-0.84933530280649927</v>
      </c>
      <c r="E300">
        <v>2.7251184834123275E-2</v>
      </c>
      <c r="G300">
        <v>298</v>
      </c>
      <c r="H300">
        <f t="shared" ca="1" si="12"/>
        <v>1.0536976877885393E-2</v>
      </c>
    </row>
    <row r="301" spans="2:8" x14ac:dyDescent="0.3">
      <c r="B301" s="113">
        <v>40603</v>
      </c>
      <c r="C301">
        <v>115.09</v>
      </c>
      <c r="D301">
        <f t="shared" si="11"/>
        <v>-2.6393706116233741E-2</v>
      </c>
      <c r="E301">
        <v>2.7222420564084228E-2</v>
      </c>
      <c r="G301">
        <v>299</v>
      </c>
      <c r="H301">
        <f t="shared" ca="1" si="12"/>
        <v>3.8740235834023848E-2</v>
      </c>
    </row>
    <row r="302" spans="2:8" x14ac:dyDescent="0.3">
      <c r="B302" s="113">
        <v>40451</v>
      </c>
      <c r="C302">
        <v>118.21</v>
      </c>
      <c r="D302">
        <f t="shared" si="11"/>
        <v>-0.51253608247422688</v>
      </c>
      <c r="E302">
        <v>2.71092188721869E-2</v>
      </c>
      <c r="G302">
        <v>300</v>
      </c>
      <c r="H302">
        <f t="shared" ca="1" si="12"/>
        <v>-2.9721799942462263E-3</v>
      </c>
    </row>
    <row r="303" spans="2:8" x14ac:dyDescent="0.3">
      <c r="B303" s="113">
        <v>43703</v>
      </c>
      <c r="C303">
        <v>242.5</v>
      </c>
      <c r="D303">
        <f t="shared" si="11"/>
        <v>14.985497692814766</v>
      </c>
      <c r="E303">
        <v>2.7107157983905148E-2</v>
      </c>
      <c r="G303">
        <v>301</v>
      </c>
      <c r="H303">
        <f t="shared" ca="1" si="12"/>
        <v>4.8578916712390199E-4</v>
      </c>
    </row>
    <row r="304" spans="2:8" x14ac:dyDescent="0.3">
      <c r="B304" s="113">
        <v>37439</v>
      </c>
      <c r="C304">
        <v>15.17</v>
      </c>
      <c r="D304">
        <f t="shared" si="11"/>
        <v>-0.68856497639088476</v>
      </c>
      <c r="E304">
        <v>2.7081922816519999E-2</v>
      </c>
      <c r="G304">
        <v>302</v>
      </c>
      <c r="H304">
        <f t="shared" ca="1" si="12"/>
        <v>-5.84113744671534E-4</v>
      </c>
    </row>
    <row r="305" spans="2:8" x14ac:dyDescent="0.3">
      <c r="B305" s="113">
        <v>38721</v>
      </c>
      <c r="C305">
        <v>48.71</v>
      </c>
      <c r="D305">
        <f t="shared" si="11"/>
        <v>1.7723392145702903</v>
      </c>
      <c r="E305">
        <v>2.6987138941598168E-2</v>
      </c>
      <c r="G305">
        <v>303</v>
      </c>
      <c r="H305">
        <f t="shared" ca="1" si="12"/>
        <v>-7.3552464395631716E-3</v>
      </c>
    </row>
    <row r="306" spans="2:8" x14ac:dyDescent="0.3">
      <c r="B306" s="113">
        <v>37883</v>
      </c>
      <c r="C306">
        <v>17.57</v>
      </c>
      <c r="D306">
        <f t="shared" si="11"/>
        <v>-0.89743739419765345</v>
      </c>
      <c r="E306">
        <v>2.6884862653419103E-2</v>
      </c>
      <c r="G306">
        <v>304</v>
      </c>
      <c r="H306">
        <f t="shared" ca="1" si="12"/>
        <v>3.0088766743297701E-3</v>
      </c>
    </row>
    <row r="307" spans="2:8" x14ac:dyDescent="0.3">
      <c r="B307" s="113">
        <v>41100</v>
      </c>
      <c r="C307">
        <v>171.31</v>
      </c>
      <c r="D307">
        <f t="shared" si="11"/>
        <v>-0.26570938705529362</v>
      </c>
      <c r="E307">
        <v>2.6853683390277466E-2</v>
      </c>
      <c r="G307">
        <v>305</v>
      </c>
      <c r="H307">
        <f t="shared" ca="1" si="12"/>
        <v>-2.3303822503581803E-2</v>
      </c>
    </row>
    <row r="308" spans="2:8" x14ac:dyDescent="0.3">
      <c r="B308" s="113">
        <v>42712</v>
      </c>
      <c r="C308">
        <v>233.3</v>
      </c>
      <c r="D308">
        <f t="shared" si="11"/>
        <v>-0.14841582712804779</v>
      </c>
      <c r="E308">
        <v>2.6848591549295878E-2</v>
      </c>
      <c r="G308">
        <v>306</v>
      </c>
      <c r="H308">
        <f t="shared" ca="1" si="12"/>
        <v>-1.4316245595894844E-2</v>
      </c>
    </row>
    <row r="309" spans="2:8" x14ac:dyDescent="0.3">
      <c r="B309" s="113">
        <v>44700</v>
      </c>
      <c r="C309">
        <v>273.95999999999998</v>
      </c>
      <c r="D309">
        <f t="shared" si="11"/>
        <v>1.6304368698991836</v>
      </c>
      <c r="E309">
        <v>2.6836581709145307E-2</v>
      </c>
      <c r="G309">
        <v>307</v>
      </c>
      <c r="H309">
        <f t="shared" ca="1" si="12"/>
        <v>1.3225509662326022E-2</v>
      </c>
    </row>
    <row r="310" spans="2:8" x14ac:dyDescent="0.3">
      <c r="B310" s="113">
        <v>40581</v>
      </c>
      <c r="C310">
        <v>104.15</v>
      </c>
      <c r="D310">
        <f t="shared" si="11"/>
        <v>0.95293455840990082</v>
      </c>
      <c r="E310">
        <v>2.6816523710933637E-2</v>
      </c>
      <c r="G310">
        <v>308</v>
      </c>
      <c r="H310">
        <f t="shared" ca="1" si="12"/>
        <v>-1.7057430030053399E-2</v>
      </c>
    </row>
    <row r="311" spans="2:8" x14ac:dyDescent="0.3">
      <c r="B311" s="113">
        <v>38755</v>
      </c>
      <c r="C311">
        <v>53.33</v>
      </c>
      <c r="D311">
        <f t="shared" si="11"/>
        <v>0.50905489530277281</v>
      </c>
      <c r="E311">
        <v>2.6761648055448607E-2</v>
      </c>
      <c r="G311">
        <v>309</v>
      </c>
      <c r="H311">
        <f t="shared" ca="1" si="12"/>
        <v>-1.2242085993169382E-2</v>
      </c>
    </row>
    <row r="312" spans="2:8" x14ac:dyDescent="0.3">
      <c r="B312" s="113">
        <v>38503</v>
      </c>
      <c r="C312">
        <v>35.340000000000003</v>
      </c>
      <c r="D312">
        <f t="shared" si="11"/>
        <v>-0.57215496368038732</v>
      </c>
      <c r="E312">
        <v>2.672864613596751E-2</v>
      </c>
      <c r="G312">
        <v>310</v>
      </c>
      <c r="H312">
        <f t="shared" ca="1" si="12"/>
        <v>-8.5758258490213006E-4</v>
      </c>
    </row>
    <row r="313" spans="2:8" x14ac:dyDescent="0.3">
      <c r="B313" s="113">
        <v>40025</v>
      </c>
      <c r="C313">
        <v>82.6</v>
      </c>
      <c r="D313">
        <f t="shared" si="11"/>
        <v>-0.5954153605015674</v>
      </c>
      <c r="E313">
        <v>2.672467371037901E-2</v>
      </c>
      <c r="G313">
        <v>311</v>
      </c>
      <c r="H313">
        <f t="shared" ca="1" si="12"/>
        <v>-7.99254536555161E-3</v>
      </c>
    </row>
    <row r="314" spans="2:8" x14ac:dyDescent="0.3">
      <c r="B314" s="113">
        <v>41380</v>
      </c>
      <c r="C314">
        <v>204.16</v>
      </c>
      <c r="D314">
        <f t="shared" si="11"/>
        <v>5.139561231846735E-2</v>
      </c>
      <c r="E314">
        <v>2.6703545385969335E-2</v>
      </c>
      <c r="G314">
        <v>312</v>
      </c>
      <c r="H314">
        <f t="shared" ca="1" si="12"/>
        <v>2.4894562748845377E-2</v>
      </c>
    </row>
    <row r="315" spans="2:8" x14ac:dyDescent="0.3">
      <c r="B315" s="113">
        <v>41376</v>
      </c>
      <c r="C315">
        <v>194.18</v>
      </c>
      <c r="D315">
        <f t="shared" si="11"/>
        <v>-0.20959010054137658</v>
      </c>
      <c r="E315">
        <v>2.6646928201332458E-2</v>
      </c>
      <c r="G315">
        <v>313</v>
      </c>
      <c r="H315">
        <f t="shared" ca="1" si="12"/>
        <v>1.0543391244013021E-2</v>
      </c>
    </row>
    <row r="316" spans="2:8" x14ac:dyDescent="0.3">
      <c r="B316" s="113">
        <v>42549</v>
      </c>
      <c r="C316">
        <v>245.67</v>
      </c>
      <c r="D316">
        <f t="shared" si="11"/>
        <v>3.0566380449141346</v>
      </c>
      <c r="E316">
        <v>2.661930631007094E-2</v>
      </c>
      <c r="G316">
        <v>314</v>
      </c>
      <c r="H316">
        <f t="shared" ca="1" si="12"/>
        <v>-2.0349253030204087E-2</v>
      </c>
    </row>
    <row r="317" spans="2:8" x14ac:dyDescent="0.3">
      <c r="B317" s="113">
        <v>39400</v>
      </c>
      <c r="C317">
        <v>60.56</v>
      </c>
      <c r="D317">
        <f t="shared" si="11"/>
        <v>-0.55708330285965035</v>
      </c>
      <c r="E317">
        <v>2.6614680454314296E-2</v>
      </c>
      <c r="G317">
        <v>315</v>
      </c>
      <c r="H317">
        <f t="shared" ca="1" si="12"/>
        <v>3.303679030160786E-2</v>
      </c>
    </row>
    <row r="318" spans="2:8" x14ac:dyDescent="0.3">
      <c r="B318" s="113">
        <v>40752</v>
      </c>
      <c r="C318">
        <v>136.72999999999999</v>
      </c>
      <c r="D318">
        <f t="shared" si="11"/>
        <v>1.5088073394495412</v>
      </c>
      <c r="E318">
        <v>2.6578571964862168E-2</v>
      </c>
      <c r="G318">
        <v>316</v>
      </c>
      <c r="H318">
        <f t="shared" ca="1" si="12"/>
        <v>-7.5609037140233527E-4</v>
      </c>
    </row>
    <row r="319" spans="2:8" x14ac:dyDescent="0.3">
      <c r="B319" s="113">
        <v>38870</v>
      </c>
      <c r="C319">
        <v>54.5</v>
      </c>
      <c r="D319">
        <f t="shared" si="11"/>
        <v>0.13707490089714167</v>
      </c>
      <c r="E319">
        <v>2.6558673949896337E-2</v>
      </c>
      <c r="G319">
        <v>317</v>
      </c>
      <c r="H319">
        <f t="shared" ca="1" si="12"/>
        <v>-2.7773237045223699E-2</v>
      </c>
    </row>
    <row r="320" spans="2:8" x14ac:dyDescent="0.3">
      <c r="B320" s="113">
        <v>39162</v>
      </c>
      <c r="C320">
        <v>47.93</v>
      </c>
      <c r="D320">
        <f t="shared" si="11"/>
        <v>2.4145299145299202E-2</v>
      </c>
      <c r="E320">
        <v>2.6558149496680276E-2</v>
      </c>
      <c r="G320">
        <v>318</v>
      </c>
      <c r="H320">
        <f t="shared" ca="1" si="12"/>
        <v>-2.9930437192645886E-2</v>
      </c>
    </row>
    <row r="321" spans="2:8" x14ac:dyDescent="0.3">
      <c r="B321" s="113">
        <v>38713</v>
      </c>
      <c r="C321">
        <v>46.8</v>
      </c>
      <c r="D321">
        <f t="shared" si="11"/>
        <v>-0.83868187928716686</v>
      </c>
      <c r="E321">
        <v>2.6540908093880097E-2</v>
      </c>
      <c r="G321">
        <v>319</v>
      </c>
      <c r="H321">
        <f t="shared" ca="1" si="12"/>
        <v>2.7916186727744278E-3</v>
      </c>
    </row>
    <row r="322" spans="2:8" x14ac:dyDescent="0.3">
      <c r="B322" s="113">
        <v>44746</v>
      </c>
      <c r="C322">
        <v>290.11</v>
      </c>
      <c r="D322">
        <f t="shared" si="11"/>
        <v>2.6938053097345181E-2</v>
      </c>
      <c r="E322">
        <v>2.6538339053819752E-2</v>
      </c>
      <c r="G322">
        <v>320</v>
      </c>
      <c r="H322">
        <f t="shared" ca="1" si="12"/>
        <v>-1.1303629649719617E-2</v>
      </c>
    </row>
    <row r="323" spans="2:8" x14ac:dyDescent="0.3">
      <c r="B323" s="113">
        <v>43388</v>
      </c>
      <c r="C323">
        <v>282.5</v>
      </c>
      <c r="D323">
        <f t="shared" ref="D323:D386" si="13">(C323-C324)/C324</f>
        <v>2.3921709894332372</v>
      </c>
      <c r="E323">
        <v>2.6526162790697718E-2</v>
      </c>
      <c r="G323">
        <v>321</v>
      </c>
      <c r="H323">
        <f t="shared" ca="1" si="12"/>
        <v>1.3096927679981788E-3</v>
      </c>
    </row>
    <row r="324" spans="2:8" x14ac:dyDescent="0.3">
      <c r="B324" s="113">
        <v>40245</v>
      </c>
      <c r="C324">
        <v>83.28</v>
      </c>
      <c r="D324">
        <f t="shared" si="13"/>
        <v>0.39497487437185924</v>
      </c>
      <c r="E324">
        <v>2.6500677924319066E-2</v>
      </c>
      <c r="G324">
        <v>322</v>
      </c>
      <c r="H324">
        <f t="shared" ref="H324:H387" ca="1" si="14">_xlfn.NORM.INV(RAND(),$L$4,$L$6)</f>
        <v>-3.7638176487393327E-3</v>
      </c>
    </row>
    <row r="325" spans="2:8" x14ac:dyDescent="0.3">
      <c r="B325" s="113">
        <v>39843</v>
      </c>
      <c r="C325">
        <v>59.7</v>
      </c>
      <c r="D325">
        <f t="shared" si="13"/>
        <v>-0.36401406200063918</v>
      </c>
      <c r="E325">
        <v>2.6478679504814414E-2</v>
      </c>
      <c r="G325">
        <v>323</v>
      </c>
      <c r="H325">
        <f t="shared" ca="1" si="14"/>
        <v>-1.4199620323892647E-2</v>
      </c>
    </row>
    <row r="326" spans="2:8" x14ac:dyDescent="0.3">
      <c r="B326" s="113">
        <v>40326</v>
      </c>
      <c r="C326">
        <v>93.87</v>
      </c>
      <c r="D326">
        <f t="shared" si="13"/>
        <v>0.95562500000000006</v>
      </c>
      <c r="E326">
        <v>2.6462547840349935E-2</v>
      </c>
      <c r="G326">
        <v>324</v>
      </c>
      <c r="H326">
        <f t="shared" ca="1" si="14"/>
        <v>1.4480418386923051E-2</v>
      </c>
    </row>
    <row r="327" spans="2:8" x14ac:dyDescent="0.3">
      <c r="B327" s="113">
        <v>38705</v>
      </c>
      <c r="C327">
        <v>48</v>
      </c>
      <c r="D327">
        <f t="shared" si="13"/>
        <v>-0.22667955534074433</v>
      </c>
      <c r="E327">
        <v>2.6298909557408528E-2</v>
      </c>
      <c r="G327">
        <v>325</v>
      </c>
      <c r="H327">
        <f t="shared" ca="1" si="14"/>
        <v>9.8736383243647145E-3</v>
      </c>
    </row>
    <row r="328" spans="2:8" x14ac:dyDescent="0.3">
      <c r="B328" s="113">
        <v>38978</v>
      </c>
      <c r="C328">
        <v>62.07</v>
      </c>
      <c r="D328">
        <f t="shared" si="13"/>
        <v>0.10405549626467452</v>
      </c>
      <c r="E328">
        <v>2.6289682539682599E-2</v>
      </c>
      <c r="G328">
        <v>326</v>
      </c>
      <c r="H328">
        <f t="shared" ca="1" si="14"/>
        <v>-1.4451971946700589E-2</v>
      </c>
    </row>
    <row r="329" spans="2:8" x14ac:dyDescent="0.3">
      <c r="B329" s="113">
        <v>39784</v>
      </c>
      <c r="C329">
        <v>56.22</v>
      </c>
      <c r="D329">
        <f t="shared" si="13"/>
        <v>1.2835093419983752</v>
      </c>
      <c r="E329">
        <v>2.6286966046002148E-2</v>
      </c>
      <c r="G329">
        <v>327</v>
      </c>
      <c r="H329">
        <f t="shared" ca="1" si="14"/>
        <v>2.5921618653411598E-3</v>
      </c>
    </row>
    <row r="330" spans="2:8" x14ac:dyDescent="0.3">
      <c r="B330" s="113">
        <v>37998</v>
      </c>
      <c r="C330">
        <v>24.62</v>
      </c>
      <c r="D330">
        <f t="shared" si="13"/>
        <v>-0.80803118908382066</v>
      </c>
      <c r="E330">
        <v>2.6260942059191439E-2</v>
      </c>
      <c r="G330">
        <v>328</v>
      </c>
      <c r="H330">
        <f t="shared" ca="1" si="14"/>
        <v>1.8651929801362108E-3</v>
      </c>
    </row>
    <row r="331" spans="2:8" x14ac:dyDescent="0.3">
      <c r="B331" s="113">
        <v>40813</v>
      </c>
      <c r="C331">
        <v>128.25</v>
      </c>
      <c r="D331">
        <f t="shared" si="13"/>
        <v>-0.41164327002477291</v>
      </c>
      <c r="E331">
        <v>2.6246299111786837E-2</v>
      </c>
      <c r="G331">
        <v>329</v>
      </c>
      <c r="H331">
        <f t="shared" ca="1" si="14"/>
        <v>-2.9847798608651367E-2</v>
      </c>
    </row>
    <row r="332" spans="2:8" x14ac:dyDescent="0.3">
      <c r="B332" s="113">
        <v>42277</v>
      </c>
      <c r="C332">
        <v>217.98</v>
      </c>
      <c r="D332">
        <f t="shared" si="13"/>
        <v>-7.2622846202935631E-2</v>
      </c>
      <c r="E332">
        <v>2.622287086295369E-2</v>
      </c>
      <c r="G332">
        <v>330</v>
      </c>
      <c r="H332">
        <f t="shared" ca="1" si="14"/>
        <v>7.8440120104538748E-3</v>
      </c>
    </row>
    <row r="333" spans="2:8" x14ac:dyDescent="0.3">
      <c r="B333" s="113">
        <v>41565</v>
      </c>
      <c r="C333">
        <v>235.05</v>
      </c>
      <c r="D333">
        <f t="shared" si="13"/>
        <v>9.8621173171301812E-2</v>
      </c>
      <c r="E333">
        <v>2.6195153896529141E-2</v>
      </c>
      <c r="G333">
        <v>331</v>
      </c>
      <c r="H333">
        <f t="shared" ca="1" si="14"/>
        <v>9.4884237444300308E-3</v>
      </c>
    </row>
    <row r="334" spans="2:8" x14ac:dyDescent="0.3">
      <c r="B334" s="113">
        <v>44617</v>
      </c>
      <c r="C334">
        <v>213.95</v>
      </c>
      <c r="D334">
        <f t="shared" si="13"/>
        <v>0.59568914081145563</v>
      </c>
      <c r="E334">
        <v>2.6139088729016734E-2</v>
      </c>
      <c r="G334">
        <v>332</v>
      </c>
      <c r="H334">
        <f t="shared" ca="1" si="14"/>
        <v>-1.173911370809615E-2</v>
      </c>
    </row>
    <row r="335" spans="2:8" x14ac:dyDescent="0.3">
      <c r="B335" s="113">
        <v>40815</v>
      </c>
      <c r="C335">
        <v>134.08000000000001</v>
      </c>
      <c r="D335">
        <f t="shared" si="13"/>
        <v>-0.36873822975517889</v>
      </c>
      <c r="E335">
        <v>2.6096273054259014E-2</v>
      </c>
      <c r="G335">
        <v>333</v>
      </c>
      <c r="H335">
        <f t="shared" ca="1" si="14"/>
        <v>3.8324993994849941E-4</v>
      </c>
    </row>
    <row r="336" spans="2:8" x14ac:dyDescent="0.3">
      <c r="B336" s="113">
        <v>44400</v>
      </c>
      <c r="C336">
        <v>212.4</v>
      </c>
      <c r="D336">
        <f t="shared" si="13"/>
        <v>0.60872528970688478</v>
      </c>
      <c r="E336">
        <v>2.6086956521739157E-2</v>
      </c>
      <c r="G336">
        <v>334</v>
      </c>
      <c r="H336">
        <f t="shared" ca="1" si="14"/>
        <v>2.8969103524896372E-2</v>
      </c>
    </row>
    <row r="337" spans="2:8" x14ac:dyDescent="0.3">
      <c r="B337" s="113">
        <v>40823</v>
      </c>
      <c r="C337">
        <v>132.03</v>
      </c>
      <c r="D337">
        <f t="shared" si="13"/>
        <v>-0.23327526132404175</v>
      </c>
      <c r="E337">
        <v>2.6033571650606109E-2</v>
      </c>
      <c r="G337">
        <v>335</v>
      </c>
      <c r="H337">
        <f t="shared" ca="1" si="14"/>
        <v>-2.0058291696921041E-2</v>
      </c>
    </row>
    <row r="338" spans="2:8" x14ac:dyDescent="0.3">
      <c r="B338" s="113">
        <v>44116</v>
      </c>
      <c r="C338">
        <v>172.2</v>
      </c>
      <c r="D338">
        <f t="shared" si="13"/>
        <v>0.28622647146698532</v>
      </c>
      <c r="E338">
        <v>2.591599642537977E-2</v>
      </c>
      <c r="G338">
        <v>336</v>
      </c>
      <c r="H338">
        <f t="shared" ca="1" si="14"/>
        <v>1.9466768692466439E-3</v>
      </c>
    </row>
    <row r="339" spans="2:8" x14ac:dyDescent="0.3">
      <c r="B339" s="113">
        <v>40784</v>
      </c>
      <c r="C339">
        <v>133.88</v>
      </c>
      <c r="D339">
        <f t="shared" si="13"/>
        <v>7.4307304785894202</v>
      </c>
      <c r="E339">
        <v>2.5900383141762417E-2</v>
      </c>
      <c r="G339">
        <v>337</v>
      </c>
      <c r="H339">
        <f t="shared" ca="1" si="14"/>
        <v>1.8038368785545222E-2</v>
      </c>
    </row>
    <row r="340" spans="2:8" x14ac:dyDescent="0.3">
      <c r="B340" s="113">
        <v>37442</v>
      </c>
      <c r="C340">
        <v>15.88</v>
      </c>
      <c r="D340">
        <f t="shared" si="13"/>
        <v>-0.92919564829677193</v>
      </c>
      <c r="E340">
        <v>2.583979328165377E-2</v>
      </c>
      <c r="G340">
        <v>338</v>
      </c>
      <c r="H340">
        <f t="shared" ca="1" si="14"/>
        <v>5.1993035436491364E-2</v>
      </c>
    </row>
    <row r="341" spans="2:8" x14ac:dyDescent="0.3">
      <c r="B341" s="113">
        <v>42324</v>
      </c>
      <c r="C341">
        <v>224.28</v>
      </c>
      <c r="D341">
        <f t="shared" si="13"/>
        <v>-8.1083295775801992E-2</v>
      </c>
      <c r="E341">
        <v>2.57958287596049E-2</v>
      </c>
      <c r="G341">
        <v>339</v>
      </c>
      <c r="H341">
        <f t="shared" ca="1" si="14"/>
        <v>1.0749266315678636E-2</v>
      </c>
    </row>
    <row r="342" spans="2:8" x14ac:dyDescent="0.3">
      <c r="B342" s="113">
        <v>41481</v>
      </c>
      <c r="C342">
        <v>244.07</v>
      </c>
      <c r="D342">
        <f t="shared" si="13"/>
        <v>7.9621356217100897E-2</v>
      </c>
      <c r="E342">
        <v>2.5762797343868184E-2</v>
      </c>
      <c r="G342">
        <v>340</v>
      </c>
      <c r="H342">
        <f t="shared" ca="1" si="14"/>
        <v>1.9396954952928713E-2</v>
      </c>
    </row>
    <row r="343" spans="2:8" x14ac:dyDescent="0.3">
      <c r="B343" s="113">
        <v>42100</v>
      </c>
      <c r="C343">
        <v>226.07</v>
      </c>
      <c r="D343">
        <f t="shared" si="13"/>
        <v>0.92171030261815701</v>
      </c>
      <c r="E343">
        <v>2.5725952813067093E-2</v>
      </c>
      <c r="G343">
        <v>341</v>
      </c>
      <c r="H343">
        <f t="shared" ca="1" si="14"/>
        <v>-2.1317610797796902E-2</v>
      </c>
    </row>
    <row r="344" spans="2:8" x14ac:dyDescent="0.3">
      <c r="B344" s="113">
        <v>40627</v>
      </c>
      <c r="C344">
        <v>117.64</v>
      </c>
      <c r="D344">
        <f t="shared" si="13"/>
        <v>0.92662954471012116</v>
      </c>
      <c r="E344">
        <v>2.5721510157816749E-2</v>
      </c>
      <c r="G344">
        <v>342</v>
      </c>
      <c r="H344">
        <f t="shared" ca="1" si="14"/>
        <v>1.2279971080467812E-2</v>
      </c>
    </row>
    <row r="345" spans="2:8" x14ac:dyDescent="0.3">
      <c r="B345" s="113">
        <v>39050</v>
      </c>
      <c r="C345">
        <v>61.06</v>
      </c>
      <c r="D345">
        <f t="shared" si="13"/>
        <v>-0.22777285949158962</v>
      </c>
      <c r="E345">
        <v>2.5701327061985572E-2</v>
      </c>
      <c r="G345">
        <v>343</v>
      </c>
      <c r="H345">
        <f t="shared" ca="1" si="14"/>
        <v>6.0755450489784667E-2</v>
      </c>
    </row>
    <row r="346" spans="2:8" x14ac:dyDescent="0.3">
      <c r="B346" s="113">
        <v>40091</v>
      </c>
      <c r="C346">
        <v>79.069999999999993</v>
      </c>
      <c r="D346">
        <f t="shared" si="13"/>
        <v>-0.57659973226238292</v>
      </c>
      <c r="E346">
        <v>2.5684265144636006E-2</v>
      </c>
      <c r="G346">
        <v>344</v>
      </c>
      <c r="H346">
        <f t="shared" ca="1" si="14"/>
        <v>9.9784442863873925E-3</v>
      </c>
    </row>
    <row r="347" spans="2:8" x14ac:dyDescent="0.3">
      <c r="B347" s="113">
        <v>41232</v>
      </c>
      <c r="C347">
        <v>186.75</v>
      </c>
      <c r="D347">
        <f t="shared" si="13"/>
        <v>-0.21085991971265583</v>
      </c>
      <c r="E347">
        <v>2.5648066783831212E-2</v>
      </c>
      <c r="G347">
        <v>345</v>
      </c>
      <c r="H347">
        <f t="shared" ca="1" si="14"/>
        <v>-1.8682763564022972E-2</v>
      </c>
    </row>
    <row r="348" spans="2:8" x14ac:dyDescent="0.3">
      <c r="B348" s="113">
        <v>43859</v>
      </c>
      <c r="C348">
        <v>236.65</v>
      </c>
      <c r="D348">
        <f t="shared" si="13"/>
        <v>14.903897849462366</v>
      </c>
      <c r="E348">
        <v>2.5568797399783339E-2</v>
      </c>
      <c r="G348">
        <v>346</v>
      </c>
      <c r="H348">
        <f t="shared" ca="1" si="14"/>
        <v>1.593815039156711E-2</v>
      </c>
    </row>
    <row r="349" spans="2:8" x14ac:dyDescent="0.3">
      <c r="B349" s="113">
        <v>37603</v>
      </c>
      <c r="C349">
        <v>14.88</v>
      </c>
      <c r="D349">
        <f t="shared" si="13"/>
        <v>-0.910003628885932</v>
      </c>
      <c r="E349">
        <v>2.5499655410062095E-2</v>
      </c>
      <c r="G349">
        <v>347</v>
      </c>
      <c r="H349">
        <f t="shared" ca="1" si="14"/>
        <v>3.2838772530154902E-3</v>
      </c>
    </row>
    <row r="350" spans="2:8" x14ac:dyDescent="0.3">
      <c r="B350" s="113">
        <v>41079</v>
      </c>
      <c r="C350">
        <v>165.34</v>
      </c>
      <c r="D350">
        <f t="shared" si="13"/>
        <v>3.7634687409968306</v>
      </c>
      <c r="E350">
        <v>2.5491533833653872E-2</v>
      </c>
      <c r="G350">
        <v>348</v>
      </c>
      <c r="H350">
        <f t="shared" ca="1" si="14"/>
        <v>-4.5920027064664595E-3</v>
      </c>
    </row>
    <row r="351" spans="2:8" x14ac:dyDescent="0.3">
      <c r="B351" s="113">
        <v>38499</v>
      </c>
      <c r="C351">
        <v>34.71</v>
      </c>
      <c r="D351">
        <f t="shared" si="13"/>
        <v>-0.71247514910536769</v>
      </c>
      <c r="E351">
        <v>2.5406203840472655E-2</v>
      </c>
      <c r="G351">
        <v>349</v>
      </c>
      <c r="H351">
        <f t="shared" ca="1" si="14"/>
        <v>-3.0941401090957384E-2</v>
      </c>
    </row>
    <row r="352" spans="2:8" x14ac:dyDescent="0.3">
      <c r="B352" s="113">
        <v>40633</v>
      </c>
      <c r="C352">
        <v>120.72</v>
      </c>
      <c r="D352">
        <f t="shared" si="13"/>
        <v>-0.44090403853278992</v>
      </c>
      <c r="E352">
        <v>2.5310005095974215E-2</v>
      </c>
      <c r="G352">
        <v>350</v>
      </c>
      <c r="H352">
        <f t="shared" ca="1" si="14"/>
        <v>1.0089158666793536E-2</v>
      </c>
    </row>
    <row r="353" spans="2:8" x14ac:dyDescent="0.3">
      <c r="B353" s="113">
        <v>42243</v>
      </c>
      <c r="C353">
        <v>215.92</v>
      </c>
      <c r="D353">
        <f t="shared" si="13"/>
        <v>2.5275281816696613</v>
      </c>
      <c r="E353">
        <v>2.5309843772258814E-2</v>
      </c>
      <c r="G353">
        <v>351</v>
      </c>
      <c r="H353">
        <f t="shared" ca="1" si="14"/>
        <v>1.034363674811533E-2</v>
      </c>
    </row>
    <row r="354" spans="2:8" x14ac:dyDescent="0.3">
      <c r="B354" s="113">
        <v>38958</v>
      </c>
      <c r="C354">
        <v>61.21</v>
      </c>
      <c r="D354">
        <f t="shared" si="13"/>
        <v>-0.33067249863313286</v>
      </c>
      <c r="E354">
        <v>2.5293132328308172E-2</v>
      </c>
      <c r="G354">
        <v>352</v>
      </c>
      <c r="H354">
        <f t="shared" ca="1" si="14"/>
        <v>-4.1760190329461942E-4</v>
      </c>
    </row>
    <row r="355" spans="2:8" x14ac:dyDescent="0.3">
      <c r="B355" s="113">
        <v>40325</v>
      </c>
      <c r="C355">
        <v>91.45</v>
      </c>
      <c r="D355">
        <f t="shared" si="13"/>
        <v>-0.46442166910688137</v>
      </c>
      <c r="E355">
        <v>2.5224215246636771E-2</v>
      </c>
      <c r="G355">
        <v>353</v>
      </c>
      <c r="H355">
        <f t="shared" ca="1" si="14"/>
        <v>3.102290927262562E-3</v>
      </c>
    </row>
    <row r="356" spans="2:8" x14ac:dyDescent="0.3">
      <c r="B356" s="113">
        <v>44099</v>
      </c>
      <c r="C356">
        <v>170.75</v>
      </c>
      <c r="D356">
        <f t="shared" si="13"/>
        <v>1.56035387614335</v>
      </c>
      <c r="E356">
        <v>2.5217652356649585E-2</v>
      </c>
      <c r="G356">
        <v>354</v>
      </c>
      <c r="H356">
        <f t="shared" ca="1" si="14"/>
        <v>-6.1093062997074456E-3</v>
      </c>
    </row>
    <row r="357" spans="2:8" x14ac:dyDescent="0.3">
      <c r="B357" s="113">
        <v>39476</v>
      </c>
      <c r="C357">
        <v>66.69</v>
      </c>
      <c r="D357">
        <f t="shared" si="13"/>
        <v>1.7080982156474068E-2</v>
      </c>
      <c r="E357">
        <v>2.5211375864719457E-2</v>
      </c>
      <c r="G357">
        <v>355</v>
      </c>
      <c r="H357">
        <f t="shared" ca="1" si="14"/>
        <v>1.1910792885887657E-2</v>
      </c>
    </row>
    <row r="358" spans="2:8" x14ac:dyDescent="0.3">
      <c r="B358" s="113">
        <v>38825</v>
      </c>
      <c r="C358">
        <v>65.569999999999993</v>
      </c>
      <c r="D358">
        <f t="shared" si="13"/>
        <v>2.7404449515116935</v>
      </c>
      <c r="E358">
        <v>2.5171982489055538E-2</v>
      </c>
      <c r="G358">
        <v>356</v>
      </c>
      <c r="H358">
        <f t="shared" ca="1" si="14"/>
        <v>-3.4266390500593317E-3</v>
      </c>
    </row>
    <row r="359" spans="2:8" x14ac:dyDescent="0.3">
      <c r="B359" s="113">
        <v>37859</v>
      </c>
      <c r="C359">
        <v>17.53</v>
      </c>
      <c r="D359">
        <f t="shared" si="13"/>
        <v>-0.92512386810182812</v>
      </c>
      <c r="E359">
        <v>2.5146198830409337E-2</v>
      </c>
      <c r="G359">
        <v>357</v>
      </c>
      <c r="H359">
        <f t="shared" ca="1" si="14"/>
        <v>1.6555906084538756E-3</v>
      </c>
    </row>
    <row r="360" spans="2:8" x14ac:dyDescent="0.3">
      <c r="B360" s="113">
        <v>41404</v>
      </c>
      <c r="C360">
        <v>234.12</v>
      </c>
      <c r="D360">
        <f t="shared" si="13"/>
        <v>-7.7558804831531431E-3</v>
      </c>
      <c r="E360">
        <v>2.5088664127151009E-2</v>
      </c>
      <c r="G360">
        <v>358</v>
      </c>
      <c r="H360">
        <f t="shared" ca="1" si="14"/>
        <v>3.011835467707507E-2</v>
      </c>
    </row>
    <row r="361" spans="2:8" x14ac:dyDescent="0.3">
      <c r="B361" s="113">
        <v>41716</v>
      </c>
      <c r="C361">
        <v>235.95</v>
      </c>
      <c r="D361">
        <f t="shared" si="13"/>
        <v>-1.7938899525514036E-2</v>
      </c>
      <c r="E361">
        <v>2.5067338604570256E-2</v>
      </c>
      <c r="G361">
        <v>359</v>
      </c>
      <c r="H361">
        <f t="shared" ca="1" si="14"/>
        <v>-1.6388819012094019E-2</v>
      </c>
    </row>
    <row r="362" spans="2:8" x14ac:dyDescent="0.3">
      <c r="B362" s="113">
        <v>42012</v>
      </c>
      <c r="C362">
        <v>240.26</v>
      </c>
      <c r="D362">
        <f t="shared" si="13"/>
        <v>3.9324574009443642</v>
      </c>
      <c r="E362">
        <v>2.5043730534579142E-2</v>
      </c>
      <c r="G362">
        <v>360</v>
      </c>
      <c r="H362">
        <f t="shared" ca="1" si="14"/>
        <v>-3.3129692654474507E-3</v>
      </c>
    </row>
    <row r="363" spans="2:8" x14ac:dyDescent="0.3">
      <c r="B363" s="113">
        <v>39170</v>
      </c>
      <c r="C363">
        <v>48.71</v>
      </c>
      <c r="D363">
        <f t="shared" si="13"/>
        <v>-0.77583985273815004</v>
      </c>
      <c r="E363">
        <v>2.5042087542087494E-2</v>
      </c>
      <c r="G363">
        <v>361</v>
      </c>
      <c r="H363">
        <f t="shared" ca="1" si="14"/>
        <v>3.9855733923187878E-2</v>
      </c>
    </row>
    <row r="364" spans="2:8" x14ac:dyDescent="0.3">
      <c r="B364" s="113">
        <v>44553</v>
      </c>
      <c r="C364">
        <v>217.3</v>
      </c>
      <c r="D364">
        <f t="shared" si="13"/>
        <v>9.8163265306122458</v>
      </c>
      <c r="E364">
        <v>2.5000000000000053E-2</v>
      </c>
      <c r="G364">
        <v>362</v>
      </c>
      <c r="H364">
        <f t="shared" ca="1" si="14"/>
        <v>-2.0893928331282119E-2</v>
      </c>
    </row>
    <row r="365" spans="2:8" x14ac:dyDescent="0.3">
      <c r="B365" s="113">
        <v>38170</v>
      </c>
      <c r="C365">
        <v>20.09</v>
      </c>
      <c r="D365">
        <f t="shared" si="13"/>
        <v>-0.91257995735607678</v>
      </c>
      <c r="E365">
        <v>2.4999999999999918E-2</v>
      </c>
      <c r="G365">
        <v>363</v>
      </c>
      <c r="H365">
        <f t="shared" ca="1" si="14"/>
        <v>-2.3036300695934996E-2</v>
      </c>
    </row>
    <row r="366" spans="2:8" x14ac:dyDescent="0.3">
      <c r="B366" s="113">
        <v>42075</v>
      </c>
      <c r="C366">
        <v>229.81</v>
      </c>
      <c r="D366">
        <f t="shared" si="13"/>
        <v>0.13123307900566081</v>
      </c>
      <c r="E366">
        <v>2.4976584452076154E-2</v>
      </c>
      <c r="G366">
        <v>364</v>
      </c>
      <c r="H366">
        <f t="shared" ca="1" si="14"/>
        <v>4.5898470253930056E-4</v>
      </c>
    </row>
    <row r="367" spans="2:8" x14ac:dyDescent="0.3">
      <c r="B367" s="113">
        <v>44172</v>
      </c>
      <c r="C367">
        <v>203.15</v>
      </c>
      <c r="D367">
        <f t="shared" si="13"/>
        <v>4.1421028348797934E-2</v>
      </c>
      <c r="E367">
        <v>2.4974772956609572E-2</v>
      </c>
      <c r="G367">
        <v>365</v>
      </c>
      <c r="H367">
        <f t="shared" ca="1" si="14"/>
        <v>9.1353399825492548E-3</v>
      </c>
    </row>
    <row r="368" spans="2:8" x14ac:dyDescent="0.3">
      <c r="B368" s="113">
        <v>41240</v>
      </c>
      <c r="C368">
        <v>195.07</v>
      </c>
      <c r="D368">
        <f t="shared" si="13"/>
        <v>12.136026936026937</v>
      </c>
      <c r="E368">
        <v>2.4904113907423846E-2</v>
      </c>
      <c r="G368">
        <v>366</v>
      </c>
      <c r="H368">
        <f t="shared" ca="1" si="14"/>
        <v>-1.4629725497881411E-2</v>
      </c>
    </row>
    <row r="369" spans="2:8" x14ac:dyDescent="0.3">
      <c r="B369" s="113">
        <v>37477</v>
      </c>
      <c r="C369">
        <v>14.85</v>
      </c>
      <c r="D369">
        <f t="shared" si="13"/>
        <v>-0.86916299559471366</v>
      </c>
      <c r="E369">
        <v>2.484472049689437E-2</v>
      </c>
      <c r="G369">
        <v>367</v>
      </c>
      <c r="H369">
        <f t="shared" ca="1" si="14"/>
        <v>-1.6810431779140905E-2</v>
      </c>
    </row>
    <row r="370" spans="2:8" x14ac:dyDescent="0.3">
      <c r="B370" s="113">
        <v>40480</v>
      </c>
      <c r="C370">
        <v>113.5</v>
      </c>
      <c r="D370">
        <f t="shared" si="13"/>
        <v>-0.43969985683961099</v>
      </c>
      <c r="E370">
        <v>2.4830699774266364E-2</v>
      </c>
      <c r="G370">
        <v>368</v>
      </c>
      <c r="H370">
        <f t="shared" ca="1" si="14"/>
        <v>1.1759321149499716E-3</v>
      </c>
    </row>
    <row r="371" spans="2:8" x14ac:dyDescent="0.3">
      <c r="B371" s="113">
        <v>41515</v>
      </c>
      <c r="C371">
        <v>202.57</v>
      </c>
      <c r="D371">
        <f t="shared" si="13"/>
        <v>3.5898747123497735E-2</v>
      </c>
      <c r="E371">
        <v>2.4685113055794402E-2</v>
      </c>
      <c r="G371">
        <v>369</v>
      </c>
      <c r="H371">
        <f t="shared" ca="1" si="14"/>
        <v>7.253571064955177E-3</v>
      </c>
    </row>
    <row r="372" spans="2:8" x14ac:dyDescent="0.3">
      <c r="B372" s="113">
        <v>44159</v>
      </c>
      <c r="C372">
        <v>195.55</v>
      </c>
      <c r="D372">
        <f t="shared" si="13"/>
        <v>2.4020528879610303</v>
      </c>
      <c r="E372">
        <v>2.4626670159811459E-2</v>
      </c>
      <c r="G372">
        <v>370</v>
      </c>
      <c r="H372">
        <f t="shared" ca="1" si="14"/>
        <v>-8.1703707499626334E-3</v>
      </c>
    </row>
    <row r="373" spans="2:8" x14ac:dyDescent="0.3">
      <c r="B373" s="113">
        <v>38931</v>
      </c>
      <c r="C373">
        <v>57.48</v>
      </c>
      <c r="D373">
        <f t="shared" si="13"/>
        <v>-0.13342379014020808</v>
      </c>
      <c r="E373">
        <v>2.4598930481283341E-2</v>
      </c>
      <c r="G373">
        <v>371</v>
      </c>
      <c r="H373">
        <f t="shared" ca="1" si="14"/>
        <v>1.4853878944201508E-2</v>
      </c>
    </row>
    <row r="374" spans="2:8" x14ac:dyDescent="0.3">
      <c r="B374" s="113">
        <v>39534</v>
      </c>
      <c r="C374">
        <v>66.33</v>
      </c>
      <c r="D374">
        <f t="shared" si="13"/>
        <v>-6.1810466760961871E-2</v>
      </c>
      <c r="E374">
        <v>2.4559777571825821E-2</v>
      </c>
      <c r="G374">
        <v>372</v>
      </c>
      <c r="H374">
        <f t="shared" ca="1" si="14"/>
        <v>7.1705818021303167E-3</v>
      </c>
    </row>
    <row r="375" spans="2:8" x14ac:dyDescent="0.3">
      <c r="B375" s="113">
        <v>39560</v>
      </c>
      <c r="C375">
        <v>70.7</v>
      </c>
      <c r="D375">
        <f t="shared" si="13"/>
        <v>0.30780614132445433</v>
      </c>
      <c r="E375">
        <v>2.4489204463121254E-2</v>
      </c>
      <c r="G375">
        <v>373</v>
      </c>
      <c r="H375">
        <f t="shared" ca="1" si="14"/>
        <v>-1.4688810837037672E-2</v>
      </c>
    </row>
    <row r="376" spans="2:8" x14ac:dyDescent="0.3">
      <c r="B376" s="113">
        <v>38758</v>
      </c>
      <c r="C376">
        <v>54.06</v>
      </c>
      <c r="D376">
        <f t="shared" si="13"/>
        <v>-0.53707826682651139</v>
      </c>
      <c r="E376">
        <v>2.4445707788516183E-2</v>
      </c>
      <c r="G376">
        <v>374</v>
      </c>
      <c r="H376">
        <f t="shared" ca="1" si="14"/>
        <v>-2.2148382043567969E-3</v>
      </c>
    </row>
    <row r="377" spans="2:8" x14ac:dyDescent="0.3">
      <c r="B377" s="113">
        <v>40561</v>
      </c>
      <c r="C377">
        <v>116.78</v>
      </c>
      <c r="D377">
        <f t="shared" si="13"/>
        <v>-0.46653876022109542</v>
      </c>
      <c r="E377">
        <v>2.4385964912280712E-2</v>
      </c>
      <c r="G377">
        <v>375</v>
      </c>
      <c r="H377">
        <f t="shared" ca="1" si="14"/>
        <v>-1.2039498386588025E-2</v>
      </c>
    </row>
    <row r="378" spans="2:8" x14ac:dyDescent="0.3">
      <c r="B378" s="113">
        <v>42128</v>
      </c>
      <c r="C378">
        <v>218.91</v>
      </c>
      <c r="D378">
        <f t="shared" si="13"/>
        <v>0.65302423922072028</v>
      </c>
      <c r="E378">
        <v>2.437997192325694E-2</v>
      </c>
      <c r="G378">
        <v>376</v>
      </c>
      <c r="H378">
        <f t="shared" ca="1" si="14"/>
        <v>-2.0446539114332689E-2</v>
      </c>
    </row>
    <row r="379" spans="2:8" x14ac:dyDescent="0.3">
      <c r="B379" s="113">
        <v>40764</v>
      </c>
      <c r="C379">
        <v>132.43</v>
      </c>
      <c r="D379">
        <f t="shared" si="13"/>
        <v>-0.40601031621439776</v>
      </c>
      <c r="E379">
        <v>2.4365717821782221E-2</v>
      </c>
      <c r="G379">
        <v>377</v>
      </c>
      <c r="H379">
        <f t="shared" ca="1" si="14"/>
        <v>3.049608810324729E-2</v>
      </c>
    </row>
    <row r="380" spans="2:8" x14ac:dyDescent="0.3">
      <c r="B380" s="113">
        <v>44274</v>
      </c>
      <c r="C380">
        <v>222.95</v>
      </c>
      <c r="D380">
        <f t="shared" si="13"/>
        <v>6.3540523779993294E-2</v>
      </c>
      <c r="E380">
        <v>2.4351022283482578E-2</v>
      </c>
      <c r="G380">
        <v>378</v>
      </c>
      <c r="H380">
        <f t="shared" ca="1" si="14"/>
        <v>3.1118612682192844E-2</v>
      </c>
    </row>
    <row r="381" spans="2:8" x14ac:dyDescent="0.3">
      <c r="B381" s="113">
        <v>41603</v>
      </c>
      <c r="C381">
        <v>209.63</v>
      </c>
      <c r="D381">
        <f t="shared" si="13"/>
        <v>7.5773322422258591</v>
      </c>
      <c r="E381">
        <v>2.4334229171756608E-2</v>
      </c>
      <c r="G381">
        <v>379</v>
      </c>
      <c r="H381">
        <f t="shared" ca="1" si="14"/>
        <v>-4.9756187567711399E-3</v>
      </c>
    </row>
    <row r="382" spans="2:8" x14ac:dyDescent="0.3">
      <c r="B382" s="113">
        <v>38240</v>
      </c>
      <c r="C382">
        <v>24.44</v>
      </c>
      <c r="D382">
        <f t="shared" si="13"/>
        <v>-0.90578257517347727</v>
      </c>
      <c r="E382">
        <v>2.4308466051969901E-2</v>
      </c>
      <c r="G382">
        <v>380</v>
      </c>
      <c r="H382">
        <f t="shared" ca="1" si="14"/>
        <v>-1.0687351924003673E-2</v>
      </c>
    </row>
    <row r="383" spans="2:8" x14ac:dyDescent="0.3">
      <c r="B383" s="113">
        <v>43768</v>
      </c>
      <c r="C383">
        <v>259.39999999999998</v>
      </c>
      <c r="D383">
        <f t="shared" si="13"/>
        <v>2.0738239127858749</v>
      </c>
      <c r="E383">
        <v>2.4284304047383919E-2</v>
      </c>
      <c r="G383">
        <v>381</v>
      </c>
      <c r="H383">
        <f t="shared" ca="1" si="14"/>
        <v>-3.9738456095992421E-2</v>
      </c>
    </row>
    <row r="384" spans="2:8" x14ac:dyDescent="0.3">
      <c r="B384" s="113">
        <v>40121</v>
      </c>
      <c r="C384">
        <v>84.39</v>
      </c>
      <c r="D384">
        <f t="shared" si="13"/>
        <v>-0.27300137835975186</v>
      </c>
      <c r="E384">
        <v>2.4274790629930817E-2</v>
      </c>
      <c r="G384">
        <v>382</v>
      </c>
      <c r="H384">
        <f t="shared" ca="1" si="14"/>
        <v>1.4158958354474374E-2</v>
      </c>
    </row>
    <row r="385" spans="2:8" x14ac:dyDescent="0.3">
      <c r="B385" s="113">
        <v>40464</v>
      </c>
      <c r="C385">
        <v>116.08</v>
      </c>
      <c r="D385">
        <f t="shared" si="13"/>
        <v>-0.60171556013038263</v>
      </c>
      <c r="E385">
        <v>2.4265419571163859E-2</v>
      </c>
      <c r="G385">
        <v>383</v>
      </c>
      <c r="H385">
        <f t="shared" ca="1" si="14"/>
        <v>-2.5148478672466983E-2</v>
      </c>
    </row>
    <row r="386" spans="2:8" x14ac:dyDescent="0.3">
      <c r="B386" s="113">
        <v>42935</v>
      </c>
      <c r="C386">
        <v>291.45</v>
      </c>
      <c r="D386">
        <f t="shared" si="13"/>
        <v>19.281837160751564</v>
      </c>
      <c r="E386">
        <v>2.4248813916710514E-2</v>
      </c>
      <c r="G386">
        <v>384</v>
      </c>
      <c r="H386">
        <f t="shared" ca="1" si="14"/>
        <v>8.4672832518098637E-3</v>
      </c>
    </row>
    <row r="387" spans="2:8" x14ac:dyDescent="0.3">
      <c r="B387" s="113">
        <v>37592</v>
      </c>
      <c r="C387">
        <v>14.37</v>
      </c>
      <c r="D387">
        <f t="shared" ref="D387:D450" si="15">(C387-C388)/C388</f>
        <v>-0.29246676514032494</v>
      </c>
      <c r="E387">
        <v>2.4233784746970768E-2</v>
      </c>
      <c r="G387">
        <v>385</v>
      </c>
      <c r="H387">
        <f t="shared" ca="1" si="14"/>
        <v>-1.7629586972054773E-2</v>
      </c>
    </row>
    <row r="388" spans="2:8" x14ac:dyDescent="0.3">
      <c r="B388" s="113">
        <v>38131</v>
      </c>
      <c r="C388">
        <v>20.309999999999999</v>
      </c>
      <c r="D388">
        <f t="shared" si="15"/>
        <v>-0.92465219810795773</v>
      </c>
      <c r="E388">
        <v>2.4205748865355547E-2</v>
      </c>
      <c r="G388">
        <v>386</v>
      </c>
      <c r="H388">
        <f t="shared" ref="H388:H451" ca="1" si="16">_xlfn.NORM.INV(RAND(),$L$4,$L$6)</f>
        <v>-1.8706701827291197E-2</v>
      </c>
    </row>
    <row r="389" spans="2:8" x14ac:dyDescent="0.3">
      <c r="B389" s="113">
        <v>44664</v>
      </c>
      <c r="C389">
        <v>269.55</v>
      </c>
      <c r="D389">
        <f t="shared" si="15"/>
        <v>1.4921412721893492</v>
      </c>
      <c r="E389">
        <v>2.4203966866783208E-2</v>
      </c>
      <c r="G389">
        <v>387</v>
      </c>
      <c r="H389">
        <f t="shared" ca="1" si="16"/>
        <v>-3.7072391701276452E-3</v>
      </c>
    </row>
    <row r="390" spans="2:8" x14ac:dyDescent="0.3">
      <c r="B390" s="113">
        <v>40421</v>
      </c>
      <c r="C390">
        <v>108.16</v>
      </c>
      <c r="D390">
        <f t="shared" si="15"/>
        <v>3.7190226876090744</v>
      </c>
      <c r="E390">
        <v>2.4145440772654077E-2</v>
      </c>
      <c r="G390">
        <v>388</v>
      </c>
      <c r="H390">
        <f t="shared" ca="1" si="16"/>
        <v>7.2849711031350937E-3</v>
      </c>
    </row>
    <row r="391" spans="2:8" x14ac:dyDescent="0.3">
      <c r="B391" s="113">
        <v>38203</v>
      </c>
      <c r="C391">
        <v>22.92</v>
      </c>
      <c r="D391">
        <f t="shared" si="15"/>
        <v>-0.7430493273542601</v>
      </c>
      <c r="E391">
        <v>2.4128686327077868E-2</v>
      </c>
      <c r="G391">
        <v>389</v>
      </c>
      <c r="H391">
        <f t="shared" ca="1" si="16"/>
        <v>-7.9664220047154857E-3</v>
      </c>
    </row>
    <row r="392" spans="2:8" x14ac:dyDescent="0.3">
      <c r="B392" s="113">
        <v>40284</v>
      </c>
      <c r="C392">
        <v>89.2</v>
      </c>
      <c r="D392">
        <f t="shared" si="15"/>
        <v>5.487228003784296E-2</v>
      </c>
      <c r="E392">
        <v>2.4110218140068987E-2</v>
      </c>
      <c r="G392">
        <v>390</v>
      </c>
      <c r="H392">
        <f t="shared" ca="1" si="16"/>
        <v>-2.5230207190880528E-2</v>
      </c>
    </row>
    <row r="393" spans="2:8" x14ac:dyDescent="0.3">
      <c r="B393" s="113">
        <v>40203</v>
      </c>
      <c r="C393">
        <v>84.56</v>
      </c>
      <c r="D393">
        <f t="shared" si="15"/>
        <v>0.25014784151389713</v>
      </c>
      <c r="E393">
        <v>2.410076298897916E-2</v>
      </c>
      <c r="G393">
        <v>391</v>
      </c>
      <c r="H393">
        <f t="shared" ca="1" si="16"/>
        <v>1.7802701215456911E-3</v>
      </c>
    </row>
    <row r="394" spans="2:8" x14ac:dyDescent="0.3">
      <c r="B394" s="113">
        <v>38811</v>
      </c>
      <c r="C394">
        <v>67.64</v>
      </c>
      <c r="D394">
        <f t="shared" si="15"/>
        <v>-0.65984410359567502</v>
      </c>
      <c r="E394">
        <v>2.4072672218016705E-2</v>
      </c>
      <c r="G394">
        <v>392</v>
      </c>
      <c r="H394">
        <f t="shared" ca="1" si="16"/>
        <v>-1.2060984669280302E-2</v>
      </c>
    </row>
    <row r="395" spans="2:8" x14ac:dyDescent="0.3">
      <c r="B395" s="113">
        <v>41379</v>
      </c>
      <c r="C395">
        <v>198.85</v>
      </c>
      <c r="D395">
        <f t="shared" si="15"/>
        <v>-0.25940409683426446</v>
      </c>
      <c r="E395">
        <v>2.4049850654032277E-2</v>
      </c>
      <c r="G395">
        <v>393</v>
      </c>
      <c r="H395">
        <f t="shared" ca="1" si="16"/>
        <v>-1.9690773099908417E-3</v>
      </c>
    </row>
    <row r="396" spans="2:8" x14ac:dyDescent="0.3">
      <c r="B396" s="113">
        <v>42795</v>
      </c>
      <c r="C396">
        <v>268.5</v>
      </c>
      <c r="D396">
        <f t="shared" si="15"/>
        <v>2.6195740091668909</v>
      </c>
      <c r="E396">
        <v>2.4027459954233454E-2</v>
      </c>
      <c r="G396">
        <v>394</v>
      </c>
      <c r="H396">
        <f t="shared" ca="1" si="16"/>
        <v>1.8715974009690245E-2</v>
      </c>
    </row>
    <row r="397" spans="2:8" x14ac:dyDescent="0.3">
      <c r="B397" s="113">
        <v>39580</v>
      </c>
      <c r="C397">
        <v>74.180000000000007</v>
      </c>
      <c r="D397">
        <f t="shared" si="15"/>
        <v>0.35711672155140894</v>
      </c>
      <c r="E397">
        <v>2.4019878520154737E-2</v>
      </c>
      <c r="G397">
        <v>395</v>
      </c>
      <c r="H397">
        <f t="shared" ca="1" si="16"/>
        <v>-1.6766101927047781E-2</v>
      </c>
    </row>
    <row r="398" spans="2:8" x14ac:dyDescent="0.3">
      <c r="B398" s="113">
        <v>39237</v>
      </c>
      <c r="C398">
        <v>54.66</v>
      </c>
      <c r="D398">
        <f t="shared" si="15"/>
        <v>2.2769784172661871</v>
      </c>
      <c r="E398">
        <v>2.397901835893582E-2</v>
      </c>
      <c r="G398">
        <v>396</v>
      </c>
      <c r="H398">
        <f t="shared" ca="1" si="16"/>
        <v>3.3513604420068168E-3</v>
      </c>
    </row>
    <row r="399" spans="2:8" x14ac:dyDescent="0.3">
      <c r="B399" s="113">
        <v>37818</v>
      </c>
      <c r="C399">
        <v>16.68</v>
      </c>
      <c r="D399">
        <f t="shared" si="15"/>
        <v>-0.93097454996896334</v>
      </c>
      <c r="E399">
        <v>2.3941068139963204E-2</v>
      </c>
      <c r="G399">
        <v>397</v>
      </c>
      <c r="H399">
        <f t="shared" ca="1" si="16"/>
        <v>1.4050991630062185E-2</v>
      </c>
    </row>
    <row r="400" spans="2:8" x14ac:dyDescent="0.3">
      <c r="B400" s="113">
        <v>42734</v>
      </c>
      <c r="C400">
        <v>241.65</v>
      </c>
      <c r="D400">
        <f t="shared" si="15"/>
        <v>3.0860669597565096</v>
      </c>
      <c r="E400">
        <v>2.394067796610172E-2</v>
      </c>
      <c r="G400">
        <v>398</v>
      </c>
      <c r="H400">
        <f t="shared" ca="1" si="16"/>
        <v>1.6937300279474592E-2</v>
      </c>
    </row>
    <row r="401" spans="2:8" x14ac:dyDescent="0.3">
      <c r="B401" s="113">
        <v>38782</v>
      </c>
      <c r="C401">
        <v>59.14</v>
      </c>
      <c r="D401">
        <f t="shared" si="15"/>
        <v>-0.68776727733488197</v>
      </c>
      <c r="E401">
        <v>2.3891966759002816E-2</v>
      </c>
      <c r="G401">
        <v>399</v>
      </c>
      <c r="H401">
        <f t="shared" ca="1" si="16"/>
        <v>-1.0830320942134096E-2</v>
      </c>
    </row>
    <row r="402" spans="2:8" x14ac:dyDescent="0.3">
      <c r="B402" s="113">
        <v>41282</v>
      </c>
      <c r="C402">
        <v>189.41</v>
      </c>
      <c r="D402">
        <f t="shared" si="15"/>
        <v>-0.14982719152565194</v>
      </c>
      <c r="E402">
        <v>2.3837837837837821E-2</v>
      </c>
      <c r="G402">
        <v>400</v>
      </c>
      <c r="H402">
        <f t="shared" ca="1" si="16"/>
        <v>-3.1253624901343626E-4</v>
      </c>
    </row>
    <row r="403" spans="2:8" x14ac:dyDescent="0.3">
      <c r="B403" s="113">
        <v>42461</v>
      </c>
      <c r="C403">
        <v>222.79</v>
      </c>
      <c r="D403">
        <f t="shared" si="15"/>
        <v>8.5700171821305826</v>
      </c>
      <c r="E403">
        <v>2.3757007627975311E-2</v>
      </c>
      <c r="G403">
        <v>401</v>
      </c>
      <c r="H403">
        <f t="shared" ca="1" si="16"/>
        <v>-9.1549435531888465E-4</v>
      </c>
    </row>
    <row r="404" spans="2:8" x14ac:dyDescent="0.3">
      <c r="B404" s="113">
        <v>38013</v>
      </c>
      <c r="C404">
        <v>23.28</v>
      </c>
      <c r="D404">
        <f t="shared" si="15"/>
        <v>0.12355212355212367</v>
      </c>
      <c r="E404">
        <v>2.3746701846965819E-2</v>
      </c>
      <c r="G404">
        <v>402</v>
      </c>
      <c r="H404">
        <f t="shared" ca="1" si="16"/>
        <v>7.6811084008467272E-3</v>
      </c>
    </row>
    <row r="405" spans="2:8" x14ac:dyDescent="0.3">
      <c r="B405" s="113">
        <v>38174</v>
      </c>
      <c r="C405">
        <v>20.72</v>
      </c>
      <c r="D405">
        <f t="shared" si="15"/>
        <v>-0.90944055944055946</v>
      </c>
      <c r="E405">
        <v>2.3715415019762869E-2</v>
      </c>
      <c r="G405">
        <v>403</v>
      </c>
      <c r="H405">
        <f t="shared" ca="1" si="16"/>
        <v>3.8012007551394243E-3</v>
      </c>
    </row>
    <row r="406" spans="2:8" x14ac:dyDescent="0.3">
      <c r="B406" s="113">
        <v>42699</v>
      </c>
      <c r="C406">
        <v>228.8</v>
      </c>
      <c r="D406">
        <f t="shared" si="15"/>
        <v>3.1084575327706951</v>
      </c>
      <c r="E406">
        <v>2.3713646532438529E-2</v>
      </c>
      <c r="G406">
        <v>404</v>
      </c>
      <c r="H406">
        <f t="shared" ca="1" si="16"/>
        <v>2.1853451290153772E-2</v>
      </c>
    </row>
    <row r="407" spans="2:8" x14ac:dyDescent="0.3">
      <c r="B407" s="113">
        <v>38924</v>
      </c>
      <c r="C407">
        <v>55.69</v>
      </c>
      <c r="D407">
        <f t="shared" si="15"/>
        <v>-0.3300048123195381</v>
      </c>
      <c r="E407">
        <v>2.3713235294117632E-2</v>
      </c>
      <c r="G407">
        <v>405</v>
      </c>
      <c r="H407">
        <f t="shared" ca="1" si="16"/>
        <v>1.3228051730608077E-2</v>
      </c>
    </row>
    <row r="408" spans="2:8" x14ac:dyDescent="0.3">
      <c r="B408" s="113">
        <v>40094</v>
      </c>
      <c r="C408">
        <v>83.12</v>
      </c>
      <c r="D408">
        <f t="shared" si="15"/>
        <v>-0.69288749307223352</v>
      </c>
      <c r="E408">
        <v>2.3645320197044354E-2</v>
      </c>
      <c r="G408">
        <v>406</v>
      </c>
      <c r="H408">
        <f t="shared" ca="1" si="16"/>
        <v>-5.0854745066738179E-3</v>
      </c>
    </row>
    <row r="409" spans="2:8" x14ac:dyDescent="0.3">
      <c r="B409" s="113">
        <v>43669</v>
      </c>
      <c r="C409">
        <v>270.64999999999998</v>
      </c>
      <c r="D409">
        <f t="shared" si="15"/>
        <v>0.78000657678395235</v>
      </c>
      <c r="E409">
        <v>2.3638426626323754E-2</v>
      </c>
      <c r="G409">
        <v>407</v>
      </c>
      <c r="H409">
        <f t="shared" ca="1" si="16"/>
        <v>8.3607630522089197E-3</v>
      </c>
    </row>
    <row r="410" spans="2:8" x14ac:dyDescent="0.3">
      <c r="B410" s="113">
        <v>41009</v>
      </c>
      <c r="C410">
        <v>152.05000000000001</v>
      </c>
      <c r="D410">
        <f t="shared" si="15"/>
        <v>-0.25524098746081497</v>
      </c>
      <c r="E410">
        <v>2.3629998653561461E-2</v>
      </c>
      <c r="G410">
        <v>408</v>
      </c>
      <c r="H410">
        <f t="shared" ca="1" si="16"/>
        <v>-3.866547071067146E-2</v>
      </c>
    </row>
    <row r="411" spans="2:8" x14ac:dyDescent="0.3">
      <c r="B411" s="113">
        <v>41508</v>
      </c>
      <c r="C411">
        <v>204.16</v>
      </c>
      <c r="D411">
        <f t="shared" si="15"/>
        <v>2.6424620874219449</v>
      </c>
      <c r="E411">
        <v>2.361494108799202E-2</v>
      </c>
      <c r="G411">
        <v>409</v>
      </c>
      <c r="H411">
        <f t="shared" ca="1" si="16"/>
        <v>-2.4682455016878192E-2</v>
      </c>
    </row>
    <row r="412" spans="2:8" x14ac:dyDescent="0.3">
      <c r="B412" s="113">
        <v>39742</v>
      </c>
      <c r="C412">
        <v>56.05</v>
      </c>
      <c r="D412">
        <f t="shared" si="15"/>
        <v>-0.13422922459067035</v>
      </c>
      <c r="E412">
        <v>2.3557341124908676E-2</v>
      </c>
      <c r="G412">
        <v>410</v>
      </c>
      <c r="H412">
        <f t="shared" ca="1" si="16"/>
        <v>3.1487193038862841E-3</v>
      </c>
    </row>
    <row r="413" spans="2:8" x14ac:dyDescent="0.3">
      <c r="B413" s="113">
        <v>39974</v>
      </c>
      <c r="C413">
        <v>64.739999999999995</v>
      </c>
      <c r="D413">
        <f t="shared" si="15"/>
        <v>-0.78420000000000001</v>
      </c>
      <c r="E413">
        <v>2.3557312252964344E-2</v>
      </c>
      <c r="G413">
        <v>411</v>
      </c>
      <c r="H413">
        <f t="shared" ca="1" si="16"/>
        <v>-3.2889538702658304E-4</v>
      </c>
    </row>
    <row r="414" spans="2:8" x14ac:dyDescent="0.3">
      <c r="B414" s="113">
        <v>43552</v>
      </c>
      <c r="C414">
        <v>300</v>
      </c>
      <c r="D414">
        <f t="shared" si="15"/>
        <v>5.3870555673834364</v>
      </c>
      <c r="E414">
        <v>2.3541453428863789E-2</v>
      </c>
      <c r="G414">
        <v>412</v>
      </c>
      <c r="H414">
        <f t="shared" ca="1" si="16"/>
        <v>1.3465516634779804E-2</v>
      </c>
    </row>
    <row r="415" spans="2:8" x14ac:dyDescent="0.3">
      <c r="B415" s="113">
        <v>38699</v>
      </c>
      <c r="C415">
        <v>46.97</v>
      </c>
      <c r="D415">
        <f t="shared" si="15"/>
        <v>-0.25337784136067398</v>
      </c>
      <c r="E415">
        <v>2.3534539115275623E-2</v>
      </c>
      <c r="G415">
        <v>413</v>
      </c>
      <c r="H415">
        <f t="shared" ca="1" si="16"/>
        <v>2.575157305499555E-2</v>
      </c>
    </row>
    <row r="416" spans="2:8" x14ac:dyDescent="0.3">
      <c r="B416" s="113">
        <v>39353</v>
      </c>
      <c r="C416">
        <v>62.91</v>
      </c>
      <c r="D416">
        <f t="shared" si="15"/>
        <v>-0.76038849742906112</v>
      </c>
      <c r="E416">
        <v>2.3426061493411383E-2</v>
      </c>
      <c r="G416">
        <v>414</v>
      </c>
      <c r="H416">
        <f t="shared" ca="1" si="16"/>
        <v>1.808934988621496E-2</v>
      </c>
    </row>
    <row r="417" spans="2:8" x14ac:dyDescent="0.3">
      <c r="B417" s="113">
        <v>44487</v>
      </c>
      <c r="C417">
        <v>262.55</v>
      </c>
      <c r="D417">
        <f t="shared" si="15"/>
        <v>17.713471133285818</v>
      </c>
      <c r="E417">
        <v>2.3387253946599101E-2</v>
      </c>
      <c r="G417">
        <v>415</v>
      </c>
      <c r="H417">
        <f t="shared" ca="1" si="16"/>
        <v>-1.951611979638191E-2</v>
      </c>
    </row>
    <row r="418" spans="2:8" x14ac:dyDescent="0.3">
      <c r="B418" s="113">
        <v>37463</v>
      </c>
      <c r="C418">
        <v>14.03</v>
      </c>
      <c r="D418">
        <f t="shared" si="15"/>
        <v>-6.091030789825972E-2</v>
      </c>
      <c r="E418">
        <v>2.3340627279358022E-2</v>
      </c>
      <c r="G418">
        <v>416</v>
      </c>
      <c r="H418">
        <f t="shared" ca="1" si="16"/>
        <v>-2.4400878642450767E-2</v>
      </c>
    </row>
    <row r="419" spans="2:8" x14ac:dyDescent="0.3">
      <c r="B419" s="113">
        <v>37624</v>
      </c>
      <c r="C419">
        <v>14.94</v>
      </c>
      <c r="D419">
        <f t="shared" si="15"/>
        <v>-0.7657572906867357</v>
      </c>
      <c r="E419">
        <v>2.3287671232876703E-2</v>
      </c>
      <c r="G419">
        <v>417</v>
      </c>
      <c r="H419">
        <f t="shared" ca="1" si="16"/>
        <v>-9.6419080637032695E-3</v>
      </c>
    </row>
    <row r="420" spans="2:8" x14ac:dyDescent="0.3">
      <c r="B420" s="113">
        <v>39722</v>
      </c>
      <c r="C420">
        <v>63.78</v>
      </c>
      <c r="D420">
        <f t="shared" si="15"/>
        <v>-0.69808284023668643</v>
      </c>
      <c r="E420">
        <v>2.3263276111022024E-2</v>
      </c>
      <c r="G420">
        <v>418</v>
      </c>
      <c r="H420">
        <f t="shared" ca="1" si="16"/>
        <v>7.9763504465047239E-3</v>
      </c>
    </row>
    <row r="421" spans="2:8" x14ac:dyDescent="0.3">
      <c r="B421" s="113">
        <v>44209</v>
      </c>
      <c r="C421">
        <v>211.25</v>
      </c>
      <c r="D421">
        <f t="shared" si="15"/>
        <v>2.4023192140441294</v>
      </c>
      <c r="E421">
        <v>2.3250181642044135E-2</v>
      </c>
      <c r="G421">
        <v>419</v>
      </c>
      <c r="H421">
        <f t="shared" ca="1" si="16"/>
        <v>2.9142135428603309E-2</v>
      </c>
    </row>
    <row r="422" spans="2:8" x14ac:dyDescent="0.3">
      <c r="B422" s="113">
        <v>39526</v>
      </c>
      <c r="C422">
        <v>62.09</v>
      </c>
      <c r="D422">
        <f t="shared" si="15"/>
        <v>-0.7096563011456628</v>
      </c>
      <c r="E422">
        <v>2.3236651285431835E-2</v>
      </c>
      <c r="G422">
        <v>420</v>
      </c>
      <c r="H422">
        <f t="shared" ca="1" si="16"/>
        <v>-3.1088515914672408E-3</v>
      </c>
    </row>
    <row r="423" spans="2:8" x14ac:dyDescent="0.3">
      <c r="B423" s="113">
        <v>44197</v>
      </c>
      <c r="C423">
        <v>213.85</v>
      </c>
      <c r="D423">
        <f t="shared" si="15"/>
        <v>12.023751522533495</v>
      </c>
      <c r="E423">
        <v>2.320574162679423E-2</v>
      </c>
      <c r="G423">
        <v>421</v>
      </c>
      <c r="H423">
        <f t="shared" ca="1" si="16"/>
        <v>-1.2264937890765662E-3</v>
      </c>
    </row>
    <row r="424" spans="2:8" x14ac:dyDescent="0.3">
      <c r="B424" s="113">
        <v>37826</v>
      </c>
      <c r="C424">
        <v>16.420000000000002</v>
      </c>
      <c r="D424">
        <f t="shared" si="15"/>
        <v>-0.93276003276003272</v>
      </c>
      <c r="E424">
        <v>2.3052959501557693E-2</v>
      </c>
      <c r="G424">
        <v>422</v>
      </c>
      <c r="H424">
        <f t="shared" ca="1" si="16"/>
        <v>1.4534761260834538E-2</v>
      </c>
    </row>
    <row r="425" spans="2:8" x14ac:dyDescent="0.3">
      <c r="B425" s="113">
        <v>41472</v>
      </c>
      <c r="C425">
        <v>244.2</v>
      </c>
      <c r="D425">
        <f t="shared" si="15"/>
        <v>2.2161201106282098</v>
      </c>
      <c r="E425">
        <v>2.3041474654377881E-2</v>
      </c>
      <c r="G425">
        <v>423</v>
      </c>
      <c r="H425">
        <f t="shared" ca="1" si="16"/>
        <v>2.4380597413216878E-2</v>
      </c>
    </row>
    <row r="426" spans="2:8" x14ac:dyDescent="0.3">
      <c r="B426" s="113">
        <v>40071</v>
      </c>
      <c r="C426">
        <v>75.930000000000007</v>
      </c>
      <c r="D426">
        <f t="shared" si="15"/>
        <v>-0.6783308621054861</v>
      </c>
      <c r="E426">
        <v>2.303961196443018E-2</v>
      </c>
      <c r="G426">
        <v>424</v>
      </c>
      <c r="H426">
        <f t="shared" ca="1" si="16"/>
        <v>3.1525152680164668E-2</v>
      </c>
    </row>
    <row r="427" spans="2:8" x14ac:dyDescent="0.3">
      <c r="B427" s="113">
        <v>42515</v>
      </c>
      <c r="C427">
        <v>236.05</v>
      </c>
      <c r="D427">
        <f t="shared" si="15"/>
        <v>11.04951505870342</v>
      </c>
      <c r="E427">
        <v>2.3012914969229446E-2</v>
      </c>
      <c r="G427">
        <v>425</v>
      </c>
      <c r="H427">
        <f t="shared" ca="1" si="16"/>
        <v>-5.6186007462217108E-3</v>
      </c>
    </row>
    <row r="428" spans="2:8" x14ac:dyDescent="0.3">
      <c r="B428" s="113">
        <v>37928</v>
      </c>
      <c r="C428">
        <v>19.59</v>
      </c>
      <c r="D428">
        <f t="shared" si="15"/>
        <v>-0.90973182195189384</v>
      </c>
      <c r="E428">
        <v>2.2976501305483097E-2</v>
      </c>
      <c r="G428">
        <v>426</v>
      </c>
      <c r="H428">
        <f t="shared" ca="1" si="16"/>
        <v>1.7131826713703089E-2</v>
      </c>
    </row>
    <row r="429" spans="2:8" x14ac:dyDescent="0.3">
      <c r="B429" s="113">
        <v>42459</v>
      </c>
      <c r="C429">
        <v>217.02</v>
      </c>
      <c r="D429">
        <f t="shared" si="15"/>
        <v>-0.18840688107703804</v>
      </c>
      <c r="E429">
        <v>2.2955456045251021E-2</v>
      </c>
      <c r="G429">
        <v>427</v>
      </c>
      <c r="H429">
        <f t="shared" ca="1" si="16"/>
        <v>9.5102282510359844E-3</v>
      </c>
    </row>
    <row r="430" spans="2:8" x14ac:dyDescent="0.3">
      <c r="B430" s="113">
        <v>43012</v>
      </c>
      <c r="C430">
        <v>267.39999999999998</v>
      </c>
      <c r="D430">
        <f t="shared" si="15"/>
        <v>3.1938519447929736</v>
      </c>
      <c r="E430">
        <v>2.2953328232593728E-2</v>
      </c>
      <c r="G430">
        <v>428</v>
      </c>
      <c r="H430">
        <f t="shared" ca="1" si="16"/>
        <v>-6.8008289034764743E-3</v>
      </c>
    </row>
    <row r="431" spans="2:8" x14ac:dyDescent="0.3">
      <c r="B431" s="113">
        <v>39717</v>
      </c>
      <c r="C431">
        <v>63.76</v>
      </c>
      <c r="D431">
        <f t="shared" si="15"/>
        <v>3.0845611787315823</v>
      </c>
      <c r="E431">
        <v>2.2942403337076846E-2</v>
      </c>
      <c r="G431">
        <v>429</v>
      </c>
      <c r="H431">
        <f t="shared" ca="1" si="16"/>
        <v>-1.6351640302969608E-2</v>
      </c>
    </row>
    <row r="432" spans="2:8" x14ac:dyDescent="0.3">
      <c r="B432" s="113">
        <v>37778</v>
      </c>
      <c r="C432">
        <v>15.61</v>
      </c>
      <c r="D432">
        <f t="shared" si="15"/>
        <v>-0.72661996497373027</v>
      </c>
      <c r="E432">
        <v>2.2935779816513738E-2</v>
      </c>
      <c r="G432">
        <v>430</v>
      </c>
      <c r="H432">
        <f t="shared" ca="1" si="16"/>
        <v>3.5463342074231172E-2</v>
      </c>
    </row>
    <row r="433" spans="2:8" x14ac:dyDescent="0.3">
      <c r="B433" s="113">
        <v>38937</v>
      </c>
      <c r="C433">
        <v>57.1</v>
      </c>
      <c r="D433">
        <f t="shared" si="15"/>
        <v>-0.21468848851602246</v>
      </c>
      <c r="E433">
        <v>2.2930849158007902E-2</v>
      </c>
      <c r="G433">
        <v>431</v>
      </c>
      <c r="H433">
        <f t="shared" ca="1" si="16"/>
        <v>-5.4627356677132352E-3</v>
      </c>
    </row>
    <row r="434" spans="2:8" x14ac:dyDescent="0.3">
      <c r="B434" s="113">
        <v>39451</v>
      </c>
      <c r="C434">
        <v>72.709999999999994</v>
      </c>
      <c r="D434">
        <f t="shared" si="15"/>
        <v>-0.68965811601007299</v>
      </c>
      <c r="E434">
        <v>2.278801519200999E-2</v>
      </c>
      <c r="G434">
        <v>432</v>
      </c>
      <c r="H434">
        <f t="shared" ca="1" si="16"/>
        <v>2.3633294963082171E-3</v>
      </c>
    </row>
    <row r="435" spans="2:8" x14ac:dyDescent="0.3">
      <c r="B435" s="113">
        <v>41466</v>
      </c>
      <c r="C435">
        <v>234.29</v>
      </c>
      <c r="D435">
        <f t="shared" si="15"/>
        <v>2.2535758922371887</v>
      </c>
      <c r="E435">
        <v>2.2743146499039545E-2</v>
      </c>
      <c r="G435">
        <v>433</v>
      </c>
      <c r="H435">
        <f t="shared" ca="1" si="16"/>
        <v>-1.5971974436248499E-2</v>
      </c>
    </row>
    <row r="436" spans="2:8" x14ac:dyDescent="0.3">
      <c r="B436" s="113">
        <v>40009</v>
      </c>
      <c r="C436">
        <v>72.010000000000005</v>
      </c>
      <c r="D436">
        <f t="shared" si="15"/>
        <v>3.8393817204301075</v>
      </c>
      <c r="E436">
        <v>2.2724044879988761E-2</v>
      </c>
      <c r="G436">
        <v>434</v>
      </c>
      <c r="H436">
        <f t="shared" ca="1" si="16"/>
        <v>-1.2131948813554472E-2</v>
      </c>
    </row>
    <row r="437" spans="2:8" x14ac:dyDescent="0.3">
      <c r="B437" s="113">
        <v>37721</v>
      </c>
      <c r="C437">
        <v>14.88</v>
      </c>
      <c r="D437">
        <f t="shared" si="15"/>
        <v>-0.95063039150630391</v>
      </c>
      <c r="E437">
        <v>2.2680412371134023E-2</v>
      </c>
      <c r="G437">
        <v>435</v>
      </c>
      <c r="H437">
        <f t="shared" ca="1" si="16"/>
        <v>-1.5131754416998216E-2</v>
      </c>
    </row>
    <row r="438" spans="2:8" x14ac:dyDescent="0.3">
      <c r="B438" s="113">
        <v>43602</v>
      </c>
      <c r="C438">
        <v>301.39999999999998</v>
      </c>
      <c r="D438">
        <f t="shared" si="15"/>
        <v>6.8204462895692775</v>
      </c>
      <c r="E438">
        <v>2.2561492790500348E-2</v>
      </c>
      <c r="G438">
        <v>436</v>
      </c>
      <c r="H438">
        <f t="shared" ca="1" si="16"/>
        <v>-1.179348260591882E-2</v>
      </c>
    </row>
    <row r="439" spans="2:8" x14ac:dyDescent="0.3">
      <c r="B439" s="113">
        <v>38545</v>
      </c>
      <c r="C439">
        <v>38.54</v>
      </c>
      <c r="D439">
        <f t="shared" si="15"/>
        <v>-0.87950601844614662</v>
      </c>
      <c r="E439">
        <v>2.2552401167418454E-2</v>
      </c>
      <c r="G439">
        <v>437</v>
      </c>
      <c r="H439">
        <f t="shared" ca="1" si="16"/>
        <v>-8.7806371462161234E-3</v>
      </c>
    </row>
    <row r="440" spans="2:8" x14ac:dyDescent="0.3">
      <c r="B440" s="113">
        <v>43342</v>
      </c>
      <c r="C440">
        <v>319.85000000000002</v>
      </c>
      <c r="D440">
        <f t="shared" si="15"/>
        <v>0.32761912668105614</v>
      </c>
      <c r="E440">
        <v>2.2538363171355533E-2</v>
      </c>
      <c r="G440">
        <v>438</v>
      </c>
      <c r="H440">
        <f t="shared" ca="1" si="16"/>
        <v>9.2756900945766656E-3</v>
      </c>
    </row>
    <row r="441" spans="2:8" x14ac:dyDescent="0.3">
      <c r="B441" s="113">
        <v>41969</v>
      </c>
      <c r="C441">
        <v>240.92</v>
      </c>
      <c r="D441">
        <f t="shared" si="15"/>
        <v>-7.9227976304223166E-2</v>
      </c>
      <c r="E441">
        <v>2.2537243750265157E-2</v>
      </c>
      <c r="G441">
        <v>439</v>
      </c>
      <c r="H441">
        <f t="shared" ca="1" si="16"/>
        <v>2.0180563661483488E-2</v>
      </c>
    </row>
    <row r="442" spans="2:8" x14ac:dyDescent="0.3">
      <c r="B442" s="113">
        <v>43741</v>
      </c>
      <c r="C442">
        <v>261.64999999999998</v>
      </c>
      <c r="D442">
        <f t="shared" si="15"/>
        <v>0.17174205105239571</v>
      </c>
      <c r="E442">
        <v>2.2469714732317198E-2</v>
      </c>
      <c r="G442">
        <v>440</v>
      </c>
      <c r="H442">
        <f t="shared" ca="1" si="16"/>
        <v>3.2938140723976839E-4</v>
      </c>
    </row>
    <row r="443" spans="2:8" x14ac:dyDescent="0.3">
      <c r="B443" s="113">
        <v>44571</v>
      </c>
      <c r="C443">
        <v>223.3</v>
      </c>
      <c r="D443">
        <f t="shared" si="15"/>
        <v>2.9431396786155748</v>
      </c>
      <c r="E443">
        <v>2.243589743589746E-2</v>
      </c>
      <c r="G443">
        <v>441</v>
      </c>
      <c r="H443">
        <f t="shared" ca="1" si="16"/>
        <v>1.2984283647830615E-2</v>
      </c>
    </row>
    <row r="444" spans="2:8" x14ac:dyDescent="0.3">
      <c r="B444" s="113">
        <v>39223</v>
      </c>
      <c r="C444">
        <v>56.63</v>
      </c>
      <c r="D444">
        <f t="shared" si="15"/>
        <v>-0.12119801365611414</v>
      </c>
      <c r="E444">
        <v>2.2386712402960859E-2</v>
      </c>
      <c r="G444">
        <v>442</v>
      </c>
      <c r="H444">
        <f t="shared" ca="1" si="16"/>
        <v>-1.9829330657618282E-2</v>
      </c>
    </row>
    <row r="445" spans="2:8" x14ac:dyDescent="0.3">
      <c r="B445" s="113">
        <v>39707</v>
      </c>
      <c r="C445">
        <v>64.44</v>
      </c>
      <c r="D445">
        <f t="shared" si="15"/>
        <v>0.39601386481802431</v>
      </c>
      <c r="E445">
        <v>2.2370299857210799E-2</v>
      </c>
      <c r="G445">
        <v>443</v>
      </c>
      <c r="H445">
        <f t="shared" ca="1" si="16"/>
        <v>-2.4006380138123871E-2</v>
      </c>
    </row>
    <row r="446" spans="2:8" x14ac:dyDescent="0.3">
      <c r="B446" s="113">
        <v>38684</v>
      </c>
      <c r="C446">
        <v>46.16</v>
      </c>
      <c r="D446">
        <f t="shared" si="15"/>
        <v>-0.7651488170948868</v>
      </c>
      <c r="E446">
        <v>2.236987818383163E-2</v>
      </c>
      <c r="G446">
        <v>444</v>
      </c>
      <c r="H446">
        <f t="shared" ca="1" si="16"/>
        <v>-8.4071979762164427E-3</v>
      </c>
    </row>
    <row r="447" spans="2:8" x14ac:dyDescent="0.3">
      <c r="B447" s="113">
        <v>44034</v>
      </c>
      <c r="C447">
        <v>196.55</v>
      </c>
      <c r="D447">
        <f t="shared" si="15"/>
        <v>-8.7214972367993318E-2</v>
      </c>
      <c r="E447">
        <v>2.236671001300396E-2</v>
      </c>
      <c r="G447">
        <v>445</v>
      </c>
      <c r="H447">
        <f t="shared" ca="1" si="16"/>
        <v>-1.4428592797233911E-2</v>
      </c>
    </row>
    <row r="448" spans="2:8" x14ac:dyDescent="0.3">
      <c r="B448" s="113">
        <v>42499</v>
      </c>
      <c r="C448">
        <v>215.33</v>
      </c>
      <c r="D448">
        <f t="shared" si="15"/>
        <v>2.7678040244969382</v>
      </c>
      <c r="E448">
        <v>2.2362548665843737E-2</v>
      </c>
      <c r="G448">
        <v>446</v>
      </c>
      <c r="H448">
        <f t="shared" ca="1" si="16"/>
        <v>3.8782642990620353E-3</v>
      </c>
    </row>
    <row r="449" spans="2:8" x14ac:dyDescent="0.3">
      <c r="B449" s="113">
        <v>39778</v>
      </c>
      <c r="C449">
        <v>57.15</v>
      </c>
      <c r="D449">
        <f t="shared" si="15"/>
        <v>-0.7485259174513772</v>
      </c>
      <c r="E449">
        <v>2.2361359570661897E-2</v>
      </c>
      <c r="G449">
        <v>447</v>
      </c>
      <c r="H449">
        <f t="shared" ca="1" si="16"/>
        <v>-5.4008707898122081E-3</v>
      </c>
    </row>
    <row r="450" spans="2:8" x14ac:dyDescent="0.3">
      <c r="B450" s="113">
        <v>41402</v>
      </c>
      <c r="C450">
        <v>227.26</v>
      </c>
      <c r="D450">
        <f t="shared" si="15"/>
        <v>-1.3970843457132936E-2</v>
      </c>
      <c r="E450">
        <v>2.2358180754869759E-2</v>
      </c>
      <c r="G450">
        <v>448</v>
      </c>
      <c r="H450">
        <f t="shared" ca="1" si="16"/>
        <v>-4.3430404796687867E-2</v>
      </c>
    </row>
    <row r="451" spans="2:8" x14ac:dyDescent="0.3">
      <c r="B451" s="113">
        <v>41555</v>
      </c>
      <c r="C451">
        <v>230.48</v>
      </c>
      <c r="D451">
        <f t="shared" ref="D451:D514" si="17">(C451-C452)/C452</f>
        <v>2.7024899598393572</v>
      </c>
      <c r="E451">
        <v>2.2356281050390312E-2</v>
      </c>
      <c r="G451">
        <v>449</v>
      </c>
      <c r="H451">
        <f t="shared" ca="1" si="16"/>
        <v>-3.9781254249082543E-3</v>
      </c>
    </row>
    <row r="452" spans="2:8" x14ac:dyDescent="0.3">
      <c r="B452" s="113">
        <v>39629</v>
      </c>
      <c r="C452">
        <v>62.25</v>
      </c>
      <c r="D452">
        <f t="shared" si="17"/>
        <v>-0.73855522889542213</v>
      </c>
      <c r="E452">
        <v>2.2335358843816711E-2</v>
      </c>
      <c r="G452">
        <v>450</v>
      </c>
      <c r="H452">
        <f t="shared" ref="H452:H515" ca="1" si="18">_xlfn.NORM.INV(RAND(),$L$4,$L$6)</f>
        <v>-1.642373613547057E-2</v>
      </c>
    </row>
    <row r="453" spans="2:8" x14ac:dyDescent="0.3">
      <c r="B453" s="113">
        <v>44515</v>
      </c>
      <c r="C453">
        <v>238.1</v>
      </c>
      <c r="D453">
        <f t="shared" si="17"/>
        <v>0.26413591717547119</v>
      </c>
      <c r="E453">
        <v>2.2327179046801152E-2</v>
      </c>
      <c r="G453">
        <v>451</v>
      </c>
      <c r="H453">
        <f t="shared" ca="1" si="18"/>
        <v>1.1397503697936557E-2</v>
      </c>
    </row>
    <row r="454" spans="2:8" x14ac:dyDescent="0.3">
      <c r="B454" s="113">
        <v>41289</v>
      </c>
      <c r="C454">
        <v>188.35</v>
      </c>
      <c r="D454">
        <f t="shared" si="17"/>
        <v>0.39270925761608977</v>
      </c>
      <c r="E454">
        <v>2.230785931393826E-2</v>
      </c>
      <c r="G454">
        <v>452</v>
      </c>
      <c r="H454">
        <f t="shared" ca="1" si="18"/>
        <v>4.6209611647911181E-3</v>
      </c>
    </row>
    <row r="455" spans="2:8" x14ac:dyDescent="0.3">
      <c r="B455" s="113">
        <v>40828</v>
      </c>
      <c r="C455">
        <v>135.24</v>
      </c>
      <c r="D455">
        <f t="shared" si="17"/>
        <v>-0.45013214067899976</v>
      </c>
      <c r="E455">
        <v>2.229949353692658E-2</v>
      </c>
      <c r="G455">
        <v>453</v>
      </c>
      <c r="H455">
        <f t="shared" ca="1" si="18"/>
        <v>2.1688100331874332E-2</v>
      </c>
    </row>
    <row r="456" spans="2:8" x14ac:dyDescent="0.3">
      <c r="B456" s="113">
        <v>42661</v>
      </c>
      <c r="C456">
        <v>245.95</v>
      </c>
      <c r="D456">
        <f t="shared" si="17"/>
        <v>2.8744486452425964</v>
      </c>
      <c r="E456">
        <v>2.2236076475477949E-2</v>
      </c>
      <c r="G456">
        <v>454</v>
      </c>
      <c r="H456">
        <f t="shared" ca="1" si="18"/>
        <v>6.0136818239622464E-3</v>
      </c>
    </row>
    <row r="457" spans="2:8" x14ac:dyDescent="0.3">
      <c r="B457" s="113">
        <v>38960</v>
      </c>
      <c r="C457">
        <v>63.48</v>
      </c>
      <c r="D457">
        <f t="shared" si="17"/>
        <v>-0.70318417730396976</v>
      </c>
      <c r="E457">
        <v>2.222222222222215E-2</v>
      </c>
      <c r="G457">
        <v>455</v>
      </c>
      <c r="H457">
        <f t="shared" ca="1" si="18"/>
        <v>1.0151808278508999E-2</v>
      </c>
    </row>
    <row r="458" spans="2:8" x14ac:dyDescent="0.3">
      <c r="B458" s="113">
        <v>41649</v>
      </c>
      <c r="C458">
        <v>213.87</v>
      </c>
      <c r="D458">
        <f t="shared" si="17"/>
        <v>2.2146400120246503</v>
      </c>
      <c r="E458">
        <v>2.2176552119676982E-2</v>
      </c>
      <c r="G458">
        <v>456</v>
      </c>
      <c r="H458">
        <f t="shared" ca="1" si="18"/>
        <v>1.7577223644377277E-2</v>
      </c>
    </row>
    <row r="459" spans="2:8" x14ac:dyDescent="0.3">
      <c r="B459" s="113">
        <v>39430</v>
      </c>
      <c r="C459">
        <v>66.53</v>
      </c>
      <c r="D459">
        <f t="shared" si="17"/>
        <v>0.24007455731593669</v>
      </c>
      <c r="E459">
        <v>2.2123214011368839E-2</v>
      </c>
      <c r="G459">
        <v>457</v>
      </c>
      <c r="H459">
        <f t="shared" ca="1" si="18"/>
        <v>2.356994092662152E-2</v>
      </c>
    </row>
    <row r="460" spans="2:8" x14ac:dyDescent="0.3">
      <c r="B460" s="113">
        <v>39884</v>
      </c>
      <c r="C460">
        <v>53.65</v>
      </c>
      <c r="D460">
        <f t="shared" si="17"/>
        <v>-0.68258194296532948</v>
      </c>
      <c r="E460">
        <v>2.2099447513812088E-2</v>
      </c>
      <c r="G460">
        <v>458</v>
      </c>
      <c r="H460">
        <f t="shared" ca="1" si="18"/>
        <v>-9.6669179761696671E-4</v>
      </c>
    </row>
    <row r="461" spans="2:8" x14ac:dyDescent="0.3">
      <c r="B461" s="113">
        <v>41117</v>
      </c>
      <c r="C461">
        <v>169.02</v>
      </c>
      <c r="D461">
        <f t="shared" si="17"/>
        <v>3.8568965517241391</v>
      </c>
      <c r="E461">
        <v>2.2071717965773754E-2</v>
      </c>
      <c r="G461">
        <v>459</v>
      </c>
      <c r="H461">
        <f t="shared" ca="1" si="18"/>
        <v>1.6150627927080857E-2</v>
      </c>
    </row>
    <row r="462" spans="2:8" x14ac:dyDescent="0.3">
      <c r="B462" s="113">
        <v>38525</v>
      </c>
      <c r="C462">
        <v>34.799999999999997</v>
      </c>
      <c r="D462">
        <f t="shared" si="17"/>
        <v>-0.1577928363988384</v>
      </c>
      <c r="E462">
        <v>2.2026431718061675E-2</v>
      </c>
      <c r="G462">
        <v>460</v>
      </c>
      <c r="H462">
        <f t="shared" ca="1" si="18"/>
        <v>-2.7573200058167158E-2</v>
      </c>
    </row>
    <row r="463" spans="2:8" x14ac:dyDescent="0.3">
      <c r="B463" s="113">
        <v>38607</v>
      </c>
      <c r="C463">
        <v>41.32</v>
      </c>
      <c r="D463">
        <f t="shared" si="17"/>
        <v>-0.8054705522338873</v>
      </c>
      <c r="E463">
        <v>2.2013356418501127E-2</v>
      </c>
      <c r="G463">
        <v>461</v>
      </c>
      <c r="H463">
        <f t="shared" ca="1" si="18"/>
        <v>2.6199463936497292E-2</v>
      </c>
    </row>
    <row r="464" spans="2:8" x14ac:dyDescent="0.3">
      <c r="B464" s="113">
        <v>41607</v>
      </c>
      <c r="C464">
        <v>212.41</v>
      </c>
      <c r="D464">
        <f t="shared" si="17"/>
        <v>-0.2081640260950606</v>
      </c>
      <c r="E464">
        <v>2.1988067744418749E-2</v>
      </c>
      <c r="G464">
        <v>462</v>
      </c>
      <c r="H464">
        <f t="shared" ca="1" si="18"/>
        <v>-7.1155287676111061E-3</v>
      </c>
    </row>
    <row r="465" spans="2:8" x14ac:dyDescent="0.3">
      <c r="B465" s="113">
        <v>44733</v>
      </c>
      <c r="C465">
        <v>268.25</v>
      </c>
      <c r="D465">
        <f t="shared" si="17"/>
        <v>1.0596590909090908</v>
      </c>
      <c r="E465">
        <v>2.1982627247790237E-2</v>
      </c>
      <c r="G465">
        <v>463</v>
      </c>
      <c r="H465">
        <f t="shared" ca="1" si="18"/>
        <v>8.7544987228449934E-4</v>
      </c>
    </row>
    <row r="466" spans="2:8" x14ac:dyDescent="0.3">
      <c r="B466" s="113">
        <v>40875</v>
      </c>
      <c r="C466">
        <v>130.24</v>
      </c>
      <c r="D466">
        <f t="shared" si="17"/>
        <v>-0.51074380165289246</v>
      </c>
      <c r="E466">
        <v>2.1890937622597147E-2</v>
      </c>
      <c r="G466">
        <v>464</v>
      </c>
      <c r="H466">
        <f t="shared" ca="1" si="18"/>
        <v>-8.8719538120407473E-3</v>
      </c>
    </row>
    <row r="467" spans="2:8" x14ac:dyDescent="0.3">
      <c r="B467" s="113">
        <v>43280</v>
      </c>
      <c r="C467">
        <v>266.2</v>
      </c>
      <c r="D467">
        <f t="shared" si="17"/>
        <v>-0.15719487098306167</v>
      </c>
      <c r="E467">
        <v>2.188099808061416E-2</v>
      </c>
      <c r="G467">
        <v>465</v>
      </c>
      <c r="H467">
        <f t="shared" ca="1" si="18"/>
        <v>9.3871731711839858E-3</v>
      </c>
    </row>
    <row r="468" spans="2:8" x14ac:dyDescent="0.3">
      <c r="B468" s="113">
        <v>42884</v>
      </c>
      <c r="C468">
        <v>315.85000000000002</v>
      </c>
      <c r="D468">
        <f t="shared" si="17"/>
        <v>5.1919231523230751</v>
      </c>
      <c r="E468">
        <v>2.1837593011970236E-2</v>
      </c>
      <c r="G468">
        <v>466</v>
      </c>
      <c r="H468">
        <f t="shared" ca="1" si="18"/>
        <v>9.5696987273560501E-3</v>
      </c>
    </row>
    <row r="469" spans="2:8" x14ac:dyDescent="0.3">
      <c r="B469" s="113">
        <v>39244</v>
      </c>
      <c r="C469">
        <v>51.01</v>
      </c>
      <c r="D469">
        <f t="shared" si="17"/>
        <v>-0.79216069755123664</v>
      </c>
      <c r="E469">
        <v>2.1834935897435823E-2</v>
      </c>
      <c r="G469">
        <v>467</v>
      </c>
      <c r="H469">
        <f t="shared" ca="1" si="18"/>
        <v>1.9099348330528804E-2</v>
      </c>
    </row>
    <row r="470" spans="2:8" x14ac:dyDescent="0.3">
      <c r="B470" s="113">
        <v>42033</v>
      </c>
      <c r="C470">
        <v>245.43</v>
      </c>
      <c r="D470">
        <f t="shared" si="17"/>
        <v>0.57700957398959074</v>
      </c>
      <c r="E470">
        <v>2.1816062284025186E-2</v>
      </c>
      <c r="G470">
        <v>468</v>
      </c>
      <c r="H470">
        <f t="shared" ca="1" si="18"/>
        <v>2.0560128909189188E-3</v>
      </c>
    </row>
    <row r="471" spans="2:8" x14ac:dyDescent="0.3">
      <c r="B471" s="113">
        <v>41011</v>
      </c>
      <c r="C471">
        <v>155.63</v>
      </c>
      <c r="D471">
        <f t="shared" si="17"/>
        <v>9.3615179760319567</v>
      </c>
      <c r="E471">
        <v>2.1797649530562624E-2</v>
      </c>
      <c r="G471">
        <v>469</v>
      </c>
      <c r="H471">
        <f t="shared" ca="1" si="18"/>
        <v>-2.2031285589690759E-2</v>
      </c>
    </row>
    <row r="472" spans="2:8" x14ac:dyDescent="0.3">
      <c r="B472" s="113">
        <v>37739</v>
      </c>
      <c r="C472">
        <v>15.02</v>
      </c>
      <c r="D472">
        <f t="shared" si="17"/>
        <v>-0.90988180236395266</v>
      </c>
      <c r="E472">
        <v>2.1768707482993217E-2</v>
      </c>
      <c r="G472">
        <v>470</v>
      </c>
      <c r="H472">
        <f t="shared" ca="1" si="18"/>
        <v>5.6513752257119779E-3</v>
      </c>
    </row>
    <row r="473" spans="2:8" x14ac:dyDescent="0.3">
      <c r="B473" s="113">
        <v>41081</v>
      </c>
      <c r="C473">
        <v>166.67</v>
      </c>
      <c r="D473">
        <f t="shared" si="17"/>
        <v>-0.37224105461393603</v>
      </c>
      <c r="E473">
        <v>2.1763119176066593E-2</v>
      </c>
      <c r="G473">
        <v>471</v>
      </c>
      <c r="H473">
        <f t="shared" ca="1" si="18"/>
        <v>-8.0517488572295973E-3</v>
      </c>
    </row>
    <row r="474" spans="2:8" x14ac:dyDescent="0.3">
      <c r="B474" s="113">
        <v>42760</v>
      </c>
      <c r="C474">
        <v>265.5</v>
      </c>
      <c r="D474">
        <f t="shared" si="17"/>
        <v>3.7478540772532183</v>
      </c>
      <c r="E474">
        <v>2.1743313450067258E-2</v>
      </c>
      <c r="G474">
        <v>472</v>
      </c>
      <c r="H474">
        <f t="shared" ca="1" si="18"/>
        <v>-3.6279851735465295E-2</v>
      </c>
    </row>
    <row r="475" spans="2:8" x14ac:dyDescent="0.3">
      <c r="B475" s="113">
        <v>39826</v>
      </c>
      <c r="C475">
        <v>55.92</v>
      </c>
      <c r="D475">
        <f t="shared" si="17"/>
        <v>-0.12570356472795496</v>
      </c>
      <c r="E475">
        <v>2.1743102503197605E-2</v>
      </c>
      <c r="G475">
        <v>473</v>
      </c>
      <c r="H475">
        <f t="shared" ca="1" si="18"/>
        <v>-6.4951732345991178E-3</v>
      </c>
    </row>
    <row r="476" spans="2:8" x14ac:dyDescent="0.3">
      <c r="B476" s="113">
        <v>38824</v>
      </c>
      <c r="C476">
        <v>63.96</v>
      </c>
      <c r="D476">
        <f t="shared" si="17"/>
        <v>-0.77975206611570247</v>
      </c>
      <c r="E476">
        <v>2.172523961661341E-2</v>
      </c>
      <c r="G476">
        <v>474</v>
      </c>
      <c r="H476">
        <f t="shared" ca="1" si="18"/>
        <v>1.6435746097766313E-2</v>
      </c>
    </row>
    <row r="477" spans="2:8" x14ac:dyDescent="0.3">
      <c r="B477" s="113">
        <v>43474</v>
      </c>
      <c r="C477">
        <v>290.39999999999998</v>
      </c>
      <c r="D477">
        <f t="shared" si="17"/>
        <v>4.2983032293377113</v>
      </c>
      <c r="E477">
        <v>2.1635883905013111E-2</v>
      </c>
      <c r="G477">
        <v>475</v>
      </c>
      <c r="H477">
        <f t="shared" ca="1" si="18"/>
        <v>-4.5193007619857926E-3</v>
      </c>
    </row>
    <row r="478" spans="2:8" x14ac:dyDescent="0.3">
      <c r="B478" s="113">
        <v>39885</v>
      </c>
      <c r="C478">
        <v>54.81</v>
      </c>
      <c r="D478">
        <f t="shared" si="17"/>
        <v>-0.47089487402258906</v>
      </c>
      <c r="E478">
        <v>2.1621621621621692E-2</v>
      </c>
      <c r="G478">
        <v>476</v>
      </c>
      <c r="H478">
        <f t="shared" ca="1" si="18"/>
        <v>-1.8111839854584231E-2</v>
      </c>
    </row>
    <row r="479" spans="2:8" x14ac:dyDescent="0.3">
      <c r="B479" s="113">
        <v>40403</v>
      </c>
      <c r="C479">
        <v>103.59</v>
      </c>
      <c r="D479">
        <f t="shared" si="17"/>
        <v>1.6990620114643045</v>
      </c>
      <c r="E479">
        <v>2.1597633136094651E-2</v>
      </c>
      <c r="G479">
        <v>477</v>
      </c>
      <c r="H479">
        <f t="shared" ca="1" si="18"/>
        <v>3.0901327575084538E-2</v>
      </c>
    </row>
    <row r="480" spans="2:8" x14ac:dyDescent="0.3">
      <c r="B480" s="113">
        <v>38574</v>
      </c>
      <c r="C480">
        <v>38.380000000000003</v>
      </c>
      <c r="D480">
        <f t="shared" si="17"/>
        <v>-0.42553509953599761</v>
      </c>
      <c r="E480">
        <v>2.1559755123769026E-2</v>
      </c>
      <c r="G480">
        <v>478</v>
      </c>
      <c r="H480">
        <f t="shared" ca="1" si="18"/>
        <v>1.466698279943583E-2</v>
      </c>
    </row>
    <row r="481" spans="2:8" x14ac:dyDescent="0.3">
      <c r="B481" s="113">
        <v>38833</v>
      </c>
      <c r="C481">
        <v>66.81</v>
      </c>
      <c r="D481">
        <f t="shared" si="17"/>
        <v>-0.73249249249249249</v>
      </c>
      <c r="E481">
        <v>2.1559633027522881E-2</v>
      </c>
      <c r="G481">
        <v>479</v>
      </c>
      <c r="H481">
        <f t="shared" ca="1" si="18"/>
        <v>3.7028796156031579E-2</v>
      </c>
    </row>
    <row r="482" spans="2:8" x14ac:dyDescent="0.3">
      <c r="B482" s="113">
        <v>44642</v>
      </c>
      <c r="C482">
        <v>249.75</v>
      </c>
      <c r="D482">
        <f t="shared" si="17"/>
        <v>3.5633107984651931</v>
      </c>
      <c r="E482">
        <v>2.1472392638036811E-2</v>
      </c>
      <c r="G482">
        <v>480</v>
      </c>
      <c r="H482">
        <f t="shared" ca="1" si="18"/>
        <v>-2.2246747273231324E-2</v>
      </c>
    </row>
    <row r="483" spans="2:8" x14ac:dyDescent="0.3">
      <c r="B483" s="113">
        <v>39321</v>
      </c>
      <c r="C483">
        <v>54.73</v>
      </c>
      <c r="D483">
        <f t="shared" si="17"/>
        <v>-0.52487195069016412</v>
      </c>
      <c r="E483">
        <v>2.1463232549458727E-2</v>
      </c>
      <c r="G483">
        <v>481</v>
      </c>
      <c r="H483">
        <f t="shared" ca="1" si="18"/>
        <v>-1.2588169845337956E-2</v>
      </c>
    </row>
    <row r="484" spans="2:8" x14ac:dyDescent="0.3">
      <c r="B484" s="113">
        <v>40555</v>
      </c>
      <c r="C484">
        <v>115.19</v>
      </c>
      <c r="D484">
        <f t="shared" si="17"/>
        <v>-0.55602235498169206</v>
      </c>
      <c r="E484">
        <v>2.145960805178684E-2</v>
      </c>
      <c r="G484">
        <v>482</v>
      </c>
      <c r="H484">
        <f t="shared" ca="1" si="18"/>
        <v>1.234801792870944E-2</v>
      </c>
    </row>
    <row r="485" spans="2:8" x14ac:dyDescent="0.3">
      <c r="B485" s="113">
        <v>41978</v>
      </c>
      <c r="C485">
        <v>259.45</v>
      </c>
      <c r="D485">
        <f t="shared" si="17"/>
        <v>0.11018399657680789</v>
      </c>
      <c r="E485">
        <v>2.1416479666154866E-2</v>
      </c>
      <c r="G485">
        <v>483</v>
      </c>
      <c r="H485">
        <f t="shared" ca="1" si="18"/>
        <v>9.2086074934483262E-3</v>
      </c>
    </row>
    <row r="486" spans="2:8" x14ac:dyDescent="0.3">
      <c r="B486" s="113">
        <v>42702</v>
      </c>
      <c r="C486">
        <v>233.7</v>
      </c>
      <c r="D486">
        <f t="shared" si="17"/>
        <v>2.7374060450983526</v>
      </c>
      <c r="E486">
        <v>2.1416083916083815E-2</v>
      </c>
      <c r="G486">
        <v>484</v>
      </c>
      <c r="H486">
        <f t="shared" ca="1" si="18"/>
        <v>1.544892906582822E-2</v>
      </c>
    </row>
    <row r="487" spans="2:8" x14ac:dyDescent="0.3">
      <c r="B487" s="113">
        <v>39924</v>
      </c>
      <c r="C487">
        <v>62.53</v>
      </c>
      <c r="D487">
        <f t="shared" si="17"/>
        <v>-0.6990132370637786</v>
      </c>
      <c r="E487">
        <v>2.1398235870630552E-2</v>
      </c>
      <c r="G487">
        <v>485</v>
      </c>
      <c r="H487">
        <f t="shared" ca="1" si="18"/>
        <v>-9.5123659271148624E-3</v>
      </c>
    </row>
    <row r="488" spans="2:8" x14ac:dyDescent="0.3">
      <c r="B488" s="113">
        <v>44188</v>
      </c>
      <c r="C488">
        <v>207.75</v>
      </c>
      <c r="D488">
        <f t="shared" si="17"/>
        <v>0.2728219580933709</v>
      </c>
      <c r="E488">
        <v>2.1386430678466049E-2</v>
      </c>
      <c r="G488">
        <v>486</v>
      </c>
      <c r="H488">
        <f t="shared" ca="1" si="18"/>
        <v>5.5353826286027846E-3</v>
      </c>
    </row>
    <row r="489" spans="2:8" x14ac:dyDescent="0.3">
      <c r="B489" s="113">
        <v>41016</v>
      </c>
      <c r="C489">
        <v>163.22</v>
      </c>
      <c r="D489">
        <f t="shared" si="17"/>
        <v>2.4412818890997259</v>
      </c>
      <c r="E489">
        <v>2.1337838683436559E-2</v>
      </c>
      <c r="G489">
        <v>487</v>
      </c>
      <c r="H489">
        <f t="shared" ca="1" si="18"/>
        <v>-2.1493123145859849E-3</v>
      </c>
    </row>
    <row r="490" spans="2:8" x14ac:dyDescent="0.3">
      <c r="B490" s="113">
        <v>38720</v>
      </c>
      <c r="C490">
        <v>47.43</v>
      </c>
      <c r="D490">
        <f t="shared" si="17"/>
        <v>-0.8352552969781174</v>
      </c>
      <c r="E490">
        <v>2.1317829457364386E-2</v>
      </c>
      <c r="G490">
        <v>488</v>
      </c>
      <c r="H490">
        <f t="shared" ca="1" si="18"/>
        <v>-2.2458722380567724E-2</v>
      </c>
    </row>
    <row r="491" spans="2:8" x14ac:dyDescent="0.3">
      <c r="B491" s="113">
        <v>42815</v>
      </c>
      <c r="C491">
        <v>287.89999999999998</v>
      </c>
      <c r="D491">
        <f t="shared" si="17"/>
        <v>1.6495490520890852</v>
      </c>
      <c r="E491">
        <v>2.1284143313231644E-2</v>
      </c>
      <c r="G491">
        <v>489</v>
      </c>
      <c r="H491">
        <f t="shared" ca="1" si="18"/>
        <v>7.2698169369084156E-3</v>
      </c>
    </row>
    <row r="492" spans="2:8" x14ac:dyDescent="0.3">
      <c r="B492" s="113">
        <v>40416</v>
      </c>
      <c r="C492">
        <v>108.66</v>
      </c>
      <c r="D492">
        <f t="shared" si="17"/>
        <v>2.0041470832181365</v>
      </c>
      <c r="E492">
        <v>2.1240601503759313E-2</v>
      </c>
      <c r="G492">
        <v>490</v>
      </c>
      <c r="H492">
        <f t="shared" ca="1" si="18"/>
        <v>2.0732468336144297E-2</v>
      </c>
    </row>
    <row r="493" spans="2:8" x14ac:dyDescent="0.3">
      <c r="B493" s="113">
        <v>38530</v>
      </c>
      <c r="C493">
        <v>36.17</v>
      </c>
      <c r="D493">
        <f t="shared" si="17"/>
        <v>-0.58832233098110631</v>
      </c>
      <c r="E493">
        <v>2.1174477696216824E-2</v>
      </c>
      <c r="G493">
        <v>491</v>
      </c>
      <c r="H493">
        <f t="shared" ca="1" si="18"/>
        <v>-5.9655258893657123E-3</v>
      </c>
    </row>
    <row r="494" spans="2:8" x14ac:dyDescent="0.3">
      <c r="B494" s="113">
        <v>40310</v>
      </c>
      <c r="C494">
        <v>87.86</v>
      </c>
      <c r="D494">
        <f t="shared" si="17"/>
        <v>-0.63192291579388349</v>
      </c>
      <c r="E494">
        <v>2.115295211529513E-2</v>
      </c>
      <c r="G494">
        <v>492</v>
      </c>
      <c r="H494">
        <f t="shared" ca="1" si="18"/>
        <v>1.3668907701943005E-2</v>
      </c>
    </row>
    <row r="495" spans="2:8" x14ac:dyDescent="0.3">
      <c r="B495" s="113">
        <v>41471</v>
      </c>
      <c r="C495">
        <v>238.7</v>
      </c>
      <c r="D495">
        <f t="shared" si="17"/>
        <v>9.5205322321633409E-2</v>
      </c>
      <c r="E495">
        <v>2.1132785763175899E-2</v>
      </c>
      <c r="G495">
        <v>493</v>
      </c>
      <c r="H495">
        <f t="shared" ca="1" si="18"/>
        <v>-8.4775443114926945E-3</v>
      </c>
    </row>
    <row r="496" spans="2:8" x14ac:dyDescent="0.3">
      <c r="B496" s="113">
        <v>41696</v>
      </c>
      <c r="C496">
        <v>217.95</v>
      </c>
      <c r="D496">
        <f t="shared" si="17"/>
        <v>7.3380940655010968E-2</v>
      </c>
      <c r="E496">
        <v>2.113005997001495E-2</v>
      </c>
      <c r="G496">
        <v>494</v>
      </c>
      <c r="H496">
        <f t="shared" ca="1" si="18"/>
        <v>-1.2251410733021348E-2</v>
      </c>
    </row>
    <row r="497" spans="2:8" x14ac:dyDescent="0.3">
      <c r="B497" s="113">
        <v>44054</v>
      </c>
      <c r="C497">
        <v>203.05</v>
      </c>
      <c r="D497">
        <f t="shared" si="17"/>
        <v>1.1709018435475949E-2</v>
      </c>
      <c r="E497">
        <v>2.1121448327885428E-2</v>
      </c>
      <c r="G497">
        <v>495</v>
      </c>
      <c r="H497">
        <f t="shared" ca="1" si="18"/>
        <v>-2.8504639624929579E-2</v>
      </c>
    </row>
    <row r="498" spans="2:8" x14ac:dyDescent="0.3">
      <c r="B498" s="113">
        <v>44035</v>
      </c>
      <c r="C498">
        <v>200.7</v>
      </c>
      <c r="D498">
        <f t="shared" si="17"/>
        <v>-0.29143865842894973</v>
      </c>
      <c r="E498">
        <v>2.1114220300177955E-2</v>
      </c>
      <c r="G498">
        <v>496</v>
      </c>
      <c r="H498">
        <f t="shared" ca="1" si="18"/>
        <v>-2.3956330776325828E-2</v>
      </c>
    </row>
    <row r="499" spans="2:8" x14ac:dyDescent="0.3">
      <c r="B499" s="113">
        <v>43406</v>
      </c>
      <c r="C499">
        <v>283.25</v>
      </c>
      <c r="D499">
        <f t="shared" si="17"/>
        <v>3.9973535638673252</v>
      </c>
      <c r="E499">
        <v>2.108868060562373E-2</v>
      </c>
      <c r="G499">
        <v>497</v>
      </c>
      <c r="H499">
        <f t="shared" ca="1" si="18"/>
        <v>1.8627386116643722E-2</v>
      </c>
    </row>
    <row r="500" spans="2:8" x14ac:dyDescent="0.3">
      <c r="B500" s="113">
        <v>39294</v>
      </c>
      <c r="C500">
        <v>56.68</v>
      </c>
      <c r="D500">
        <f t="shared" si="17"/>
        <v>-0.29546302050963336</v>
      </c>
      <c r="E500">
        <v>2.107728337236537E-2</v>
      </c>
      <c r="G500">
        <v>498</v>
      </c>
      <c r="H500">
        <f t="shared" ca="1" si="18"/>
        <v>-1.9437770379946356E-2</v>
      </c>
    </row>
    <row r="501" spans="2:8" x14ac:dyDescent="0.3">
      <c r="B501" s="113">
        <v>40024</v>
      </c>
      <c r="C501">
        <v>80.45</v>
      </c>
      <c r="D501">
        <f t="shared" si="17"/>
        <v>0.15241369431313564</v>
      </c>
      <c r="E501">
        <v>2.1068663535981677E-2</v>
      </c>
      <c r="G501">
        <v>499</v>
      </c>
      <c r="H501">
        <f t="shared" ca="1" si="18"/>
        <v>9.6419578476962236E-3</v>
      </c>
    </row>
    <row r="502" spans="2:8" x14ac:dyDescent="0.3">
      <c r="B502" s="113">
        <v>39539</v>
      </c>
      <c r="C502">
        <v>69.81</v>
      </c>
      <c r="D502">
        <f t="shared" si="17"/>
        <v>5.6926570779712422E-2</v>
      </c>
      <c r="E502">
        <v>2.1061869240895096E-2</v>
      </c>
      <c r="G502">
        <v>500</v>
      </c>
      <c r="H502">
        <f t="shared" ca="1" si="18"/>
        <v>1.8476369434395599E-2</v>
      </c>
    </row>
    <row r="503" spans="2:8" x14ac:dyDescent="0.3">
      <c r="B503" s="113">
        <v>38810</v>
      </c>
      <c r="C503">
        <v>66.05</v>
      </c>
      <c r="D503">
        <f t="shared" si="17"/>
        <v>-0.70783385677002697</v>
      </c>
      <c r="E503">
        <v>2.1023342093059196E-2</v>
      </c>
      <c r="G503">
        <v>501</v>
      </c>
      <c r="H503">
        <f t="shared" ca="1" si="18"/>
        <v>1.7657714761801641E-2</v>
      </c>
    </row>
    <row r="504" spans="2:8" x14ac:dyDescent="0.3">
      <c r="B504" s="113">
        <v>41710</v>
      </c>
      <c r="C504">
        <v>226.07</v>
      </c>
      <c r="D504">
        <f t="shared" si="17"/>
        <v>2.5657728706624603</v>
      </c>
      <c r="E504">
        <v>2.0954703518041757E-2</v>
      </c>
      <c r="G504">
        <v>502</v>
      </c>
      <c r="H504">
        <f t="shared" ca="1" si="18"/>
        <v>3.7029801131606185E-2</v>
      </c>
    </row>
    <row r="505" spans="2:8" x14ac:dyDescent="0.3">
      <c r="B505" s="113">
        <v>39027</v>
      </c>
      <c r="C505">
        <v>63.4</v>
      </c>
      <c r="D505">
        <f t="shared" si="17"/>
        <v>-0.66258648217136773</v>
      </c>
      <c r="E505">
        <v>2.093397745571654E-2</v>
      </c>
      <c r="G505">
        <v>503</v>
      </c>
      <c r="H505">
        <f t="shared" ca="1" si="18"/>
        <v>1.5266467100807299E-2</v>
      </c>
    </row>
    <row r="506" spans="2:8" x14ac:dyDescent="0.3">
      <c r="B506" s="113">
        <v>44154</v>
      </c>
      <c r="C506">
        <v>187.9</v>
      </c>
      <c r="D506">
        <f t="shared" si="17"/>
        <v>-0.25332803496920325</v>
      </c>
      <c r="E506">
        <v>2.0918228742189592E-2</v>
      </c>
      <c r="G506">
        <v>504</v>
      </c>
      <c r="H506">
        <f t="shared" ca="1" si="18"/>
        <v>4.2733077668974905E-3</v>
      </c>
    </row>
    <row r="507" spans="2:8" x14ac:dyDescent="0.3">
      <c r="B507" s="113">
        <v>42593</v>
      </c>
      <c r="C507">
        <v>251.65</v>
      </c>
      <c r="D507">
        <f t="shared" si="17"/>
        <v>2.8431582162492366</v>
      </c>
      <c r="E507">
        <v>2.0892494929006109E-2</v>
      </c>
      <c r="G507">
        <v>505</v>
      </c>
      <c r="H507">
        <f t="shared" ca="1" si="18"/>
        <v>-2.0156216050099686E-2</v>
      </c>
    </row>
    <row r="508" spans="2:8" x14ac:dyDescent="0.3">
      <c r="B508" s="113">
        <v>39434</v>
      </c>
      <c r="C508">
        <v>65.48</v>
      </c>
      <c r="D508">
        <f t="shared" si="17"/>
        <v>2.1106888361045133</v>
      </c>
      <c r="E508">
        <v>2.0891799189273516E-2</v>
      </c>
      <c r="G508">
        <v>506</v>
      </c>
      <c r="H508">
        <f t="shared" ca="1" si="18"/>
        <v>3.4063850977960046E-2</v>
      </c>
    </row>
    <row r="509" spans="2:8" x14ac:dyDescent="0.3">
      <c r="B509" s="113">
        <v>38120</v>
      </c>
      <c r="C509">
        <v>21.05</v>
      </c>
      <c r="D509">
        <f t="shared" si="17"/>
        <v>-0.91011571800674662</v>
      </c>
      <c r="E509">
        <v>2.0853540252182331E-2</v>
      </c>
      <c r="G509">
        <v>507</v>
      </c>
      <c r="H509">
        <f t="shared" ca="1" si="18"/>
        <v>-1.1095006248636297E-2</v>
      </c>
    </row>
    <row r="510" spans="2:8" x14ac:dyDescent="0.3">
      <c r="B510" s="113">
        <v>41746</v>
      </c>
      <c r="C510">
        <v>234.19</v>
      </c>
      <c r="D510">
        <f t="shared" si="17"/>
        <v>8.5276647681041506</v>
      </c>
      <c r="E510">
        <v>2.0791561328567739E-2</v>
      </c>
      <c r="G510">
        <v>508</v>
      </c>
      <c r="H510">
        <f t="shared" ca="1" si="18"/>
        <v>5.407357395043115E-2</v>
      </c>
    </row>
    <row r="511" spans="2:8" x14ac:dyDescent="0.3">
      <c r="B511" s="113">
        <v>38041</v>
      </c>
      <c r="C511">
        <v>24.58</v>
      </c>
      <c r="D511">
        <f t="shared" si="17"/>
        <v>-0.61974009900990101</v>
      </c>
      <c r="E511">
        <v>2.0764119601328904E-2</v>
      </c>
      <c r="G511">
        <v>509</v>
      </c>
      <c r="H511">
        <f t="shared" ca="1" si="18"/>
        <v>-5.1948365627002124E-3</v>
      </c>
    </row>
    <row r="512" spans="2:8" x14ac:dyDescent="0.3">
      <c r="B512" s="113">
        <v>39713</v>
      </c>
      <c r="C512">
        <v>64.64</v>
      </c>
      <c r="D512">
        <f t="shared" si="17"/>
        <v>0.65743589743589748</v>
      </c>
      <c r="E512">
        <v>2.0685299226275104E-2</v>
      </c>
      <c r="G512">
        <v>510</v>
      </c>
      <c r="H512">
        <f t="shared" ca="1" si="18"/>
        <v>1.2855246956959877E-2</v>
      </c>
    </row>
    <row r="513" spans="2:8" x14ac:dyDescent="0.3">
      <c r="B513" s="113">
        <v>38547</v>
      </c>
      <c r="C513">
        <v>39</v>
      </c>
      <c r="D513">
        <f t="shared" si="17"/>
        <v>-0.84439213182779393</v>
      </c>
      <c r="E513">
        <v>2.0675215912064882E-2</v>
      </c>
      <c r="G513">
        <v>511</v>
      </c>
      <c r="H513">
        <f t="shared" ca="1" si="18"/>
        <v>-2.4158208242733771E-2</v>
      </c>
    </row>
    <row r="514" spans="2:8" x14ac:dyDescent="0.3">
      <c r="B514" s="113">
        <v>42048</v>
      </c>
      <c r="C514">
        <v>250.63</v>
      </c>
      <c r="D514">
        <f t="shared" si="17"/>
        <v>0.14057522526622365</v>
      </c>
      <c r="E514">
        <v>2.0646685127870962E-2</v>
      </c>
      <c r="G514">
        <v>512</v>
      </c>
      <c r="H514">
        <f t="shared" ca="1" si="18"/>
        <v>-2.3969798698166053E-2</v>
      </c>
    </row>
    <row r="515" spans="2:8" x14ac:dyDescent="0.3">
      <c r="B515" s="113">
        <v>42450</v>
      </c>
      <c r="C515">
        <v>219.74</v>
      </c>
      <c r="D515">
        <f t="shared" ref="D515:D578" si="19">(C515-C516)/C516</f>
        <v>-0.23502175805047865</v>
      </c>
      <c r="E515">
        <v>2.0622387366465385E-2</v>
      </c>
      <c r="G515">
        <v>513</v>
      </c>
      <c r="H515">
        <f t="shared" ca="1" si="18"/>
        <v>-2.2694208843262609E-2</v>
      </c>
    </row>
    <row r="516" spans="2:8" x14ac:dyDescent="0.3">
      <c r="B516" s="113">
        <v>43222</v>
      </c>
      <c r="C516">
        <v>287.25</v>
      </c>
      <c r="D516">
        <f t="shared" si="19"/>
        <v>15.056456120737842</v>
      </c>
      <c r="E516">
        <v>2.0607567951678847E-2</v>
      </c>
      <c r="G516">
        <v>514</v>
      </c>
      <c r="H516">
        <f t="shared" ref="H516:H579" ca="1" si="20">_xlfn.NORM.INV(RAND(),$L$4,$L$6)</f>
        <v>-1.5856622983715429E-2</v>
      </c>
    </row>
    <row r="517" spans="2:8" x14ac:dyDescent="0.3">
      <c r="B517" s="113">
        <v>37860</v>
      </c>
      <c r="C517">
        <v>17.89</v>
      </c>
      <c r="D517">
        <f t="shared" si="19"/>
        <v>-0.9212795916571328</v>
      </c>
      <c r="E517">
        <v>2.0536223616657124E-2</v>
      </c>
      <c r="G517">
        <v>515</v>
      </c>
      <c r="H517">
        <f t="shared" ca="1" si="20"/>
        <v>1.4903998334351905E-2</v>
      </c>
    </row>
    <row r="518" spans="2:8" x14ac:dyDescent="0.3">
      <c r="B518" s="113">
        <v>42334</v>
      </c>
      <c r="C518">
        <v>227.26</v>
      </c>
      <c r="D518">
        <f t="shared" si="19"/>
        <v>0.25177637014596516</v>
      </c>
      <c r="E518">
        <v>2.0521801607615939E-2</v>
      </c>
      <c r="G518">
        <v>516</v>
      </c>
      <c r="H518">
        <f t="shared" ca="1" si="20"/>
        <v>2.3408673135072111E-2</v>
      </c>
    </row>
    <row r="519" spans="2:8" x14ac:dyDescent="0.3">
      <c r="B519" s="113">
        <v>43928</v>
      </c>
      <c r="C519">
        <v>181.55</v>
      </c>
      <c r="D519">
        <f t="shared" si="19"/>
        <v>-0.42135458167330675</v>
      </c>
      <c r="E519">
        <v>2.0517144463181595E-2</v>
      </c>
      <c r="G519">
        <v>517</v>
      </c>
      <c r="H519">
        <f t="shared" ca="1" si="20"/>
        <v>2.8383234344788247E-3</v>
      </c>
    </row>
    <row r="520" spans="2:8" x14ac:dyDescent="0.3">
      <c r="B520" s="113">
        <v>43329</v>
      </c>
      <c r="C520">
        <v>313.75</v>
      </c>
      <c r="D520">
        <f t="shared" si="19"/>
        <v>3.9518623737373737</v>
      </c>
      <c r="E520">
        <v>2.0491136770206576E-2</v>
      </c>
      <c r="G520">
        <v>518</v>
      </c>
      <c r="H520">
        <f t="shared" ca="1" si="20"/>
        <v>-2.067809175066459E-3</v>
      </c>
    </row>
    <row r="521" spans="2:8" x14ac:dyDescent="0.3">
      <c r="B521" s="113">
        <v>39531</v>
      </c>
      <c r="C521">
        <v>63.36</v>
      </c>
      <c r="D521">
        <f t="shared" si="19"/>
        <v>-0.74620468656118577</v>
      </c>
      <c r="E521">
        <v>2.0454179416975294E-2</v>
      </c>
      <c r="G521">
        <v>519</v>
      </c>
      <c r="H521">
        <f t="shared" ca="1" si="20"/>
        <v>-1.0774798100055454E-2</v>
      </c>
    </row>
    <row r="522" spans="2:8" x14ac:dyDescent="0.3">
      <c r="B522" s="113">
        <v>42748</v>
      </c>
      <c r="C522">
        <v>249.65</v>
      </c>
      <c r="D522">
        <f t="shared" si="19"/>
        <v>0.57200428184623131</v>
      </c>
      <c r="E522">
        <v>2.0437359493153485E-2</v>
      </c>
      <c r="G522">
        <v>520</v>
      </c>
      <c r="H522">
        <f t="shared" ca="1" si="20"/>
        <v>2.3504112780612027E-3</v>
      </c>
    </row>
    <row r="523" spans="2:8" x14ac:dyDescent="0.3">
      <c r="B523" s="113">
        <v>41047</v>
      </c>
      <c r="C523">
        <v>158.81</v>
      </c>
      <c r="D523">
        <f t="shared" si="19"/>
        <v>-0.25734193789749343</v>
      </c>
      <c r="E523">
        <v>2.0433078455310717E-2</v>
      </c>
      <c r="G523">
        <v>521</v>
      </c>
      <c r="H523">
        <f t="shared" ca="1" si="20"/>
        <v>1.2258675063976491E-2</v>
      </c>
    </row>
    <row r="524" spans="2:8" x14ac:dyDescent="0.3">
      <c r="B524" s="113">
        <v>42271</v>
      </c>
      <c r="C524">
        <v>213.84</v>
      </c>
      <c r="D524">
        <f t="shared" si="19"/>
        <v>8.7244201909959074</v>
      </c>
      <c r="E524">
        <v>2.0423744989501818E-2</v>
      </c>
      <c r="G524">
        <v>522</v>
      </c>
      <c r="H524">
        <f t="shared" ca="1" si="20"/>
        <v>2.144388719423854E-2</v>
      </c>
    </row>
    <row r="525" spans="2:8" x14ac:dyDescent="0.3">
      <c r="B525" s="113">
        <v>37984</v>
      </c>
      <c r="C525">
        <v>21.99</v>
      </c>
      <c r="D525">
        <f t="shared" si="19"/>
        <v>0.57071428571428562</v>
      </c>
      <c r="E525">
        <v>2.0417633410672747E-2</v>
      </c>
      <c r="G525">
        <v>523</v>
      </c>
      <c r="H525">
        <f t="shared" ca="1" si="20"/>
        <v>-2.98243995414472E-4</v>
      </c>
    </row>
    <row r="526" spans="2:8" x14ac:dyDescent="0.3">
      <c r="B526" s="113">
        <v>37431</v>
      </c>
      <c r="C526">
        <v>14</v>
      </c>
      <c r="D526">
        <f t="shared" si="19"/>
        <v>-0.92247632759289</v>
      </c>
      <c r="E526">
        <v>2.0408163265306076E-2</v>
      </c>
      <c r="G526">
        <v>524</v>
      </c>
      <c r="H526">
        <f t="shared" ca="1" si="20"/>
        <v>2.7486018013961687E-2</v>
      </c>
    </row>
    <row r="527" spans="2:8" x14ac:dyDescent="0.3">
      <c r="B527" s="113">
        <v>41180</v>
      </c>
      <c r="C527">
        <v>180.59</v>
      </c>
      <c r="D527">
        <f t="shared" si="19"/>
        <v>0.13002940992428511</v>
      </c>
      <c r="E527">
        <v>2.0397785060458886E-2</v>
      </c>
      <c r="G527">
        <v>525</v>
      </c>
      <c r="H527">
        <f t="shared" ca="1" si="20"/>
        <v>4.6851016095794092E-3</v>
      </c>
    </row>
    <row r="528" spans="2:8" x14ac:dyDescent="0.3">
      <c r="B528" s="113">
        <v>41015</v>
      </c>
      <c r="C528">
        <v>159.81</v>
      </c>
      <c r="D528">
        <f t="shared" si="19"/>
        <v>-0.27490925589836662</v>
      </c>
      <c r="E528">
        <v>2.0367769122717389E-2</v>
      </c>
      <c r="G528">
        <v>526</v>
      </c>
      <c r="H528">
        <f t="shared" ca="1" si="20"/>
        <v>1.5651858288915944E-2</v>
      </c>
    </row>
    <row r="529" spans="2:8" x14ac:dyDescent="0.3">
      <c r="B529" s="113">
        <v>42095</v>
      </c>
      <c r="C529">
        <v>220.4</v>
      </c>
      <c r="D529">
        <f t="shared" si="19"/>
        <v>-0.16594134342478711</v>
      </c>
      <c r="E529">
        <v>2.027590037959446E-2</v>
      </c>
      <c r="G529">
        <v>527</v>
      </c>
      <c r="H529">
        <f t="shared" ca="1" si="20"/>
        <v>1.9561514708990712E-2</v>
      </c>
    </row>
    <row r="530" spans="2:8" x14ac:dyDescent="0.3">
      <c r="B530" s="113">
        <v>43083</v>
      </c>
      <c r="C530">
        <v>264.25</v>
      </c>
      <c r="D530">
        <f t="shared" si="19"/>
        <v>15.402855369335816</v>
      </c>
      <c r="E530">
        <v>2.0270270270270271E-2</v>
      </c>
      <c r="G530">
        <v>528</v>
      </c>
      <c r="H530">
        <f t="shared" ca="1" si="20"/>
        <v>1.4173351054808945E-2</v>
      </c>
    </row>
    <row r="531" spans="2:8" x14ac:dyDescent="0.3">
      <c r="B531" s="113">
        <v>37790</v>
      </c>
      <c r="C531">
        <v>16.11</v>
      </c>
      <c r="D531">
        <f t="shared" si="19"/>
        <v>-0.91831871419155309</v>
      </c>
      <c r="E531">
        <v>2.0265991133628897E-2</v>
      </c>
      <c r="G531">
        <v>529</v>
      </c>
      <c r="H531">
        <f t="shared" ca="1" si="20"/>
        <v>6.7663675410539305E-3</v>
      </c>
    </row>
    <row r="532" spans="2:8" x14ac:dyDescent="0.3">
      <c r="B532" s="113">
        <v>41201</v>
      </c>
      <c r="C532">
        <v>197.23</v>
      </c>
      <c r="D532">
        <f t="shared" si="19"/>
        <v>2.8847157016171108E-2</v>
      </c>
      <c r="E532">
        <v>2.0225532795365181E-2</v>
      </c>
      <c r="G532">
        <v>530</v>
      </c>
      <c r="H532">
        <f t="shared" ca="1" si="20"/>
        <v>-5.1945092301029609E-3</v>
      </c>
    </row>
    <row r="533" spans="2:8" x14ac:dyDescent="0.3">
      <c r="B533" s="113">
        <v>44155</v>
      </c>
      <c r="C533">
        <v>191.7</v>
      </c>
      <c r="D533">
        <f t="shared" si="19"/>
        <v>-0.1316361659720964</v>
      </c>
      <c r="E533">
        <v>2.0223523150611936E-2</v>
      </c>
      <c r="G533">
        <v>531</v>
      </c>
      <c r="H533">
        <f t="shared" ca="1" si="20"/>
        <v>1.0675772054074698E-2</v>
      </c>
    </row>
    <row r="534" spans="2:8" x14ac:dyDescent="0.3">
      <c r="B534" s="113">
        <v>42142</v>
      </c>
      <c r="C534">
        <v>220.76</v>
      </c>
      <c r="D534">
        <f t="shared" si="19"/>
        <v>0.51019291284717461</v>
      </c>
      <c r="E534">
        <v>2.0195018254078306E-2</v>
      </c>
      <c r="G534">
        <v>532</v>
      </c>
      <c r="H534">
        <f t="shared" ca="1" si="20"/>
        <v>-1.2359406218916071E-2</v>
      </c>
    </row>
    <row r="535" spans="2:8" x14ac:dyDescent="0.3">
      <c r="B535" s="113">
        <v>40987</v>
      </c>
      <c r="C535">
        <v>146.18</v>
      </c>
      <c r="D535">
        <f t="shared" si="19"/>
        <v>-0.14062316284538501</v>
      </c>
      <c r="E535">
        <v>2.0097697138869473E-2</v>
      </c>
      <c r="G535">
        <v>533</v>
      </c>
      <c r="H535">
        <f t="shared" ca="1" si="20"/>
        <v>2.0878562340120602E-2</v>
      </c>
    </row>
    <row r="536" spans="2:8" x14ac:dyDescent="0.3">
      <c r="B536" s="113">
        <v>44138</v>
      </c>
      <c r="C536">
        <v>170.1</v>
      </c>
      <c r="D536">
        <f t="shared" si="19"/>
        <v>-0.29661332340900637</v>
      </c>
      <c r="E536">
        <v>2.0089955022488722E-2</v>
      </c>
      <c r="G536">
        <v>534</v>
      </c>
      <c r="H536">
        <f t="shared" ca="1" si="20"/>
        <v>5.2353790002689707E-3</v>
      </c>
    </row>
    <row r="537" spans="2:8" x14ac:dyDescent="0.3">
      <c r="B537" s="113">
        <v>42528</v>
      </c>
      <c r="C537">
        <v>241.83</v>
      </c>
      <c r="D537">
        <f t="shared" si="19"/>
        <v>0.11416724257083621</v>
      </c>
      <c r="E537">
        <v>2.0078457839456783E-2</v>
      </c>
      <c r="G537">
        <v>535</v>
      </c>
      <c r="H537">
        <f t="shared" ca="1" si="20"/>
        <v>1.0097552726893735E-2</v>
      </c>
    </row>
    <row r="538" spans="2:8" x14ac:dyDescent="0.3">
      <c r="B538" s="113">
        <v>42486</v>
      </c>
      <c r="C538">
        <v>217.05</v>
      </c>
      <c r="D538">
        <f t="shared" si="19"/>
        <v>0.25151357896557691</v>
      </c>
      <c r="E538">
        <v>2.0067675533414844E-2</v>
      </c>
      <c r="G538">
        <v>536</v>
      </c>
      <c r="H538">
        <f t="shared" ca="1" si="20"/>
        <v>1.6098790028296277E-2</v>
      </c>
    </row>
    <row r="539" spans="2:8" x14ac:dyDescent="0.3">
      <c r="B539" s="113">
        <v>41173</v>
      </c>
      <c r="C539">
        <v>173.43</v>
      </c>
      <c r="D539">
        <f t="shared" si="19"/>
        <v>-0.28511953833470727</v>
      </c>
      <c r="E539">
        <v>2.0056463945418164E-2</v>
      </c>
      <c r="G539">
        <v>537</v>
      </c>
      <c r="H539">
        <f t="shared" ca="1" si="20"/>
        <v>-4.8846327370024901E-3</v>
      </c>
    </row>
    <row r="540" spans="2:8" x14ac:dyDescent="0.3">
      <c r="B540" s="113">
        <v>44636</v>
      </c>
      <c r="C540">
        <v>242.6</v>
      </c>
      <c r="D540">
        <f t="shared" si="19"/>
        <v>2.7571627690878118</v>
      </c>
      <c r="E540">
        <v>1.9970569686777382E-2</v>
      </c>
      <c r="G540">
        <v>538</v>
      </c>
      <c r="H540">
        <f t="shared" ca="1" si="20"/>
        <v>7.365685845371775E-4</v>
      </c>
    </row>
    <row r="541" spans="2:8" x14ac:dyDescent="0.3">
      <c r="B541" s="113">
        <v>38853</v>
      </c>
      <c r="C541">
        <v>64.569999999999993</v>
      </c>
      <c r="D541">
        <f t="shared" si="19"/>
        <v>3.6620938628158841</v>
      </c>
      <c r="E541">
        <v>1.9902069183383206E-2</v>
      </c>
      <c r="G541">
        <v>539</v>
      </c>
      <c r="H541">
        <f t="shared" ca="1" si="20"/>
        <v>5.5628209264504585E-3</v>
      </c>
    </row>
    <row r="542" spans="2:8" x14ac:dyDescent="0.3">
      <c r="B542" s="113">
        <v>37706</v>
      </c>
      <c r="C542">
        <v>13.85</v>
      </c>
      <c r="D542">
        <f t="shared" si="19"/>
        <v>-0.76137146795313571</v>
      </c>
      <c r="E542">
        <v>1.9882179675994077E-2</v>
      </c>
      <c r="G542">
        <v>540</v>
      </c>
      <c r="H542">
        <f t="shared" ca="1" si="20"/>
        <v>1.5410158482936852E-2</v>
      </c>
    </row>
    <row r="543" spans="2:8" x14ac:dyDescent="0.3">
      <c r="B543" s="113">
        <v>39388</v>
      </c>
      <c r="C543">
        <v>58.04</v>
      </c>
      <c r="D543">
        <f t="shared" si="19"/>
        <v>-0.80348738784492979</v>
      </c>
      <c r="E543">
        <v>1.9855912844842779E-2</v>
      </c>
      <c r="G543">
        <v>541</v>
      </c>
      <c r="H543">
        <f t="shared" ca="1" si="20"/>
        <v>-2.7795394560511711E-2</v>
      </c>
    </row>
    <row r="544" spans="2:8" x14ac:dyDescent="0.3">
      <c r="B544" s="113">
        <v>43476</v>
      </c>
      <c r="C544">
        <v>295.35000000000002</v>
      </c>
      <c r="D544">
        <f t="shared" si="19"/>
        <v>7.4530623926731554</v>
      </c>
      <c r="E544">
        <v>1.9854972375690606E-2</v>
      </c>
      <c r="G544">
        <v>542</v>
      </c>
      <c r="H544">
        <f t="shared" ca="1" si="20"/>
        <v>-2.1378491013698001E-2</v>
      </c>
    </row>
    <row r="545" spans="2:8" x14ac:dyDescent="0.3">
      <c r="B545" s="113">
        <v>38511</v>
      </c>
      <c r="C545">
        <v>34.94</v>
      </c>
      <c r="D545">
        <f t="shared" si="19"/>
        <v>-0.8433745741438049</v>
      </c>
      <c r="E545">
        <v>1.9848219497956794E-2</v>
      </c>
      <c r="G545">
        <v>543</v>
      </c>
      <c r="H545">
        <f t="shared" ca="1" si="20"/>
        <v>2.8791834252484688E-3</v>
      </c>
    </row>
    <row r="546" spans="2:8" x14ac:dyDescent="0.3">
      <c r="B546" s="113">
        <v>41529</v>
      </c>
      <c r="C546">
        <v>223.08</v>
      </c>
      <c r="D546">
        <f t="shared" si="19"/>
        <v>14.491666666666667</v>
      </c>
      <c r="E546">
        <v>1.9840907012892033E-2</v>
      </c>
      <c r="G546">
        <v>544</v>
      </c>
      <c r="H546">
        <f t="shared" ca="1" si="20"/>
        <v>-2.4458062813638735E-2</v>
      </c>
    </row>
    <row r="547" spans="2:8" x14ac:dyDescent="0.3">
      <c r="B547" s="113">
        <v>37655</v>
      </c>
      <c r="C547">
        <v>14.4</v>
      </c>
      <c r="D547">
        <f t="shared" si="19"/>
        <v>-0.89708404802744424</v>
      </c>
      <c r="E547">
        <v>1.9830028328611981E-2</v>
      </c>
      <c r="G547">
        <v>545</v>
      </c>
      <c r="H547">
        <f t="shared" ca="1" si="20"/>
        <v>-1.6739202924628032E-2</v>
      </c>
    </row>
    <row r="548" spans="2:8" x14ac:dyDescent="0.3">
      <c r="B548" s="113">
        <v>40841</v>
      </c>
      <c r="C548">
        <v>139.91999999999999</v>
      </c>
      <c r="D548">
        <f t="shared" si="19"/>
        <v>1.4037107026284139</v>
      </c>
      <c r="E548">
        <v>1.9825072886297368E-2</v>
      </c>
      <c r="G548">
        <v>546</v>
      </c>
      <c r="H548">
        <f t="shared" ca="1" si="20"/>
        <v>6.0562663820656415E-3</v>
      </c>
    </row>
    <row r="549" spans="2:8" x14ac:dyDescent="0.3">
      <c r="B549" s="113">
        <v>39101</v>
      </c>
      <c r="C549">
        <v>58.21</v>
      </c>
      <c r="D549">
        <f t="shared" si="19"/>
        <v>-0.79463750220497442</v>
      </c>
      <c r="E549">
        <v>1.9796776454099555E-2</v>
      </c>
      <c r="G549">
        <v>547</v>
      </c>
      <c r="H549">
        <f t="shared" ca="1" si="20"/>
        <v>4.7940880411323543E-2</v>
      </c>
    </row>
    <row r="550" spans="2:8" x14ac:dyDescent="0.3">
      <c r="B550" s="113">
        <v>42871</v>
      </c>
      <c r="C550">
        <v>283.45</v>
      </c>
      <c r="D550">
        <f t="shared" si="19"/>
        <v>0.49443770759740607</v>
      </c>
      <c r="E550">
        <v>1.9787731606404031E-2</v>
      </c>
      <c r="G550">
        <v>548</v>
      </c>
      <c r="H550">
        <f t="shared" ca="1" si="20"/>
        <v>4.4080506982549011E-3</v>
      </c>
    </row>
    <row r="551" spans="2:8" x14ac:dyDescent="0.3">
      <c r="B551" s="113">
        <v>41234</v>
      </c>
      <c r="C551">
        <v>189.67</v>
      </c>
      <c r="D551">
        <f t="shared" si="19"/>
        <v>2.6272709887167718</v>
      </c>
      <c r="E551">
        <v>1.9786010000537545E-2</v>
      </c>
      <c r="G551">
        <v>549</v>
      </c>
      <c r="H551">
        <f t="shared" ca="1" si="20"/>
        <v>-1.7256974612116648E-3</v>
      </c>
    </row>
    <row r="552" spans="2:8" x14ac:dyDescent="0.3">
      <c r="B552" s="113">
        <v>38742</v>
      </c>
      <c r="C552">
        <v>52.29</v>
      </c>
      <c r="D552">
        <f t="shared" si="19"/>
        <v>-0.19230769230769226</v>
      </c>
      <c r="E552">
        <v>1.9695787831513222E-2</v>
      </c>
      <c r="G552">
        <v>550</v>
      </c>
      <c r="H552">
        <f t="shared" ca="1" si="20"/>
        <v>1.7888951306888785E-2</v>
      </c>
    </row>
    <row r="553" spans="2:8" x14ac:dyDescent="0.3">
      <c r="B553" s="113">
        <v>39533</v>
      </c>
      <c r="C553">
        <v>64.739999999999995</v>
      </c>
      <c r="D553">
        <f t="shared" si="19"/>
        <v>-0.71483944853103121</v>
      </c>
      <c r="E553">
        <v>1.9688139864545484E-2</v>
      </c>
      <c r="G553">
        <v>551</v>
      </c>
      <c r="H553">
        <f t="shared" ca="1" si="20"/>
        <v>9.1150546354976051E-3</v>
      </c>
    </row>
    <row r="554" spans="2:8" x14ac:dyDescent="0.3">
      <c r="B554" s="113">
        <v>41409</v>
      </c>
      <c r="C554">
        <v>227.03</v>
      </c>
      <c r="D554">
        <f t="shared" si="19"/>
        <v>4.2638534662647807</v>
      </c>
      <c r="E554">
        <v>1.9672131147540961E-2</v>
      </c>
      <c r="G554">
        <v>552</v>
      </c>
      <c r="H554">
        <f t="shared" ca="1" si="20"/>
        <v>-2.4346783190999689E-2</v>
      </c>
    </row>
    <row r="555" spans="2:8" x14ac:dyDescent="0.3">
      <c r="B555" s="113">
        <v>38667</v>
      </c>
      <c r="C555">
        <v>43.13</v>
      </c>
      <c r="D555">
        <f t="shared" si="19"/>
        <v>-0.72179578146165257</v>
      </c>
      <c r="E555">
        <v>1.962174940898358E-2</v>
      </c>
      <c r="G555">
        <v>553</v>
      </c>
      <c r="H555">
        <f t="shared" ca="1" si="20"/>
        <v>3.8019836605466518E-2</v>
      </c>
    </row>
    <row r="556" spans="2:8" x14ac:dyDescent="0.3">
      <c r="B556" s="113">
        <v>41061</v>
      </c>
      <c r="C556">
        <v>155.03</v>
      </c>
      <c r="D556">
        <f t="shared" si="19"/>
        <v>0.36038961038961048</v>
      </c>
      <c r="E556">
        <v>1.9598816178888454E-2</v>
      </c>
      <c r="G556">
        <v>554</v>
      </c>
      <c r="H556">
        <f t="shared" ca="1" si="20"/>
        <v>-5.2461089991707795E-2</v>
      </c>
    </row>
    <row r="557" spans="2:8" x14ac:dyDescent="0.3">
      <c r="B557" s="113">
        <v>40512</v>
      </c>
      <c r="C557">
        <v>113.96</v>
      </c>
      <c r="D557">
        <f t="shared" si="19"/>
        <v>-9.6201126179712979E-2</v>
      </c>
      <c r="E557">
        <v>1.9593808714324038E-2</v>
      </c>
      <c r="G557">
        <v>555</v>
      </c>
      <c r="H557">
        <f t="shared" ca="1" si="20"/>
        <v>1.6674491212766519E-2</v>
      </c>
    </row>
    <row r="558" spans="2:8" x14ac:dyDescent="0.3">
      <c r="B558" s="113">
        <v>40686</v>
      </c>
      <c r="C558">
        <v>126.09</v>
      </c>
      <c r="D558">
        <f t="shared" si="19"/>
        <v>0.9627957658779579</v>
      </c>
      <c r="E558">
        <v>1.9568205708741019E-2</v>
      </c>
      <c r="G558">
        <v>556</v>
      </c>
      <c r="H558">
        <f t="shared" ca="1" si="20"/>
        <v>8.9971360434676004E-3</v>
      </c>
    </row>
    <row r="559" spans="2:8" x14ac:dyDescent="0.3">
      <c r="B559" s="113">
        <v>39671</v>
      </c>
      <c r="C559">
        <v>64.239999999999995</v>
      </c>
      <c r="D559">
        <f t="shared" si="19"/>
        <v>0.11760612386917185</v>
      </c>
      <c r="E559">
        <v>1.9520710998254195E-2</v>
      </c>
      <c r="G559">
        <v>557</v>
      </c>
      <c r="H559">
        <f t="shared" ca="1" si="20"/>
        <v>-1.5532998004359406E-2</v>
      </c>
    </row>
    <row r="560" spans="2:8" x14ac:dyDescent="0.3">
      <c r="B560" s="113">
        <v>39889</v>
      </c>
      <c r="C560">
        <v>57.48</v>
      </c>
      <c r="D560">
        <f t="shared" si="19"/>
        <v>-0.40552280484021103</v>
      </c>
      <c r="E560">
        <v>1.9510464703795572E-2</v>
      </c>
      <c r="G560">
        <v>558</v>
      </c>
      <c r="H560">
        <f t="shared" ca="1" si="20"/>
        <v>-6.5436861346623387E-4</v>
      </c>
    </row>
    <row r="561" spans="2:8" x14ac:dyDescent="0.3">
      <c r="B561" s="113">
        <v>40344</v>
      </c>
      <c r="C561">
        <v>96.69</v>
      </c>
      <c r="D561">
        <f t="shared" si="19"/>
        <v>-0.53165415354807455</v>
      </c>
      <c r="E561">
        <v>1.9506537326022713E-2</v>
      </c>
      <c r="G561">
        <v>559</v>
      </c>
      <c r="H561">
        <f t="shared" ca="1" si="20"/>
        <v>2.6176618223729409E-3</v>
      </c>
    </row>
    <row r="562" spans="2:8" x14ac:dyDescent="0.3">
      <c r="B562" s="113">
        <v>44208</v>
      </c>
      <c r="C562">
        <v>206.45</v>
      </c>
      <c r="D562">
        <f t="shared" si="19"/>
        <v>2.6572187776793621</v>
      </c>
      <c r="E562">
        <v>1.9506172839506116E-2</v>
      </c>
      <c r="G562">
        <v>560</v>
      </c>
      <c r="H562">
        <f t="shared" ca="1" si="20"/>
        <v>-1.8395790179696277E-2</v>
      </c>
    </row>
    <row r="563" spans="2:8" x14ac:dyDescent="0.3">
      <c r="B563" s="113">
        <v>39139</v>
      </c>
      <c r="C563">
        <v>56.45</v>
      </c>
      <c r="D563">
        <f t="shared" si="19"/>
        <v>-9.2735454837672718E-2</v>
      </c>
      <c r="E563">
        <v>1.9505147191620109E-2</v>
      </c>
      <c r="G563">
        <v>561</v>
      </c>
      <c r="H563">
        <f t="shared" ca="1" si="20"/>
        <v>-1.8551634874124933E-2</v>
      </c>
    </row>
    <row r="564" spans="2:8" x14ac:dyDescent="0.3">
      <c r="B564" s="113">
        <v>39017</v>
      </c>
      <c r="C564">
        <v>62.22</v>
      </c>
      <c r="D564">
        <f t="shared" si="19"/>
        <v>1.050758075148319</v>
      </c>
      <c r="E564">
        <v>1.9498607242339795E-2</v>
      </c>
      <c r="G564">
        <v>562</v>
      </c>
      <c r="H564">
        <f t="shared" ca="1" si="20"/>
        <v>-2.5955368877654983E-2</v>
      </c>
    </row>
    <row r="565" spans="2:8" x14ac:dyDescent="0.3">
      <c r="B565" s="113">
        <v>38415</v>
      </c>
      <c r="C565">
        <v>30.34</v>
      </c>
      <c r="D565">
        <f t="shared" si="19"/>
        <v>-0.86512558346299173</v>
      </c>
      <c r="E565">
        <v>1.9489247311827898E-2</v>
      </c>
      <c r="G565">
        <v>563</v>
      </c>
      <c r="H565">
        <f t="shared" ca="1" si="20"/>
        <v>2.5951903160061705E-2</v>
      </c>
    </row>
    <row r="566" spans="2:8" x14ac:dyDescent="0.3">
      <c r="B566" s="113">
        <v>44538</v>
      </c>
      <c r="C566">
        <v>224.95</v>
      </c>
      <c r="D566">
        <f t="shared" si="19"/>
        <v>2.8380822385258484</v>
      </c>
      <c r="E566">
        <v>1.9487876727849459E-2</v>
      </c>
      <c r="G566">
        <v>564</v>
      </c>
      <c r="H566">
        <f t="shared" ca="1" si="20"/>
        <v>4.6032167500908321E-2</v>
      </c>
    </row>
    <row r="567" spans="2:8" x14ac:dyDescent="0.3">
      <c r="B567" s="113">
        <v>39065</v>
      </c>
      <c r="C567">
        <v>58.61</v>
      </c>
      <c r="D567">
        <f t="shared" si="19"/>
        <v>0.89553686934023269</v>
      </c>
      <c r="E567">
        <v>1.9481648982431682E-2</v>
      </c>
      <c r="G567">
        <v>565</v>
      </c>
      <c r="H567">
        <f t="shared" ca="1" si="20"/>
        <v>-5.567937264267976E-4</v>
      </c>
    </row>
    <row r="568" spans="2:8" x14ac:dyDescent="0.3">
      <c r="B568" s="113">
        <v>38463</v>
      </c>
      <c r="C568">
        <v>30.92</v>
      </c>
      <c r="D568">
        <f t="shared" si="19"/>
        <v>-0.23427439326399208</v>
      </c>
      <c r="E568">
        <v>1.9452687108473574E-2</v>
      </c>
      <c r="G568">
        <v>566</v>
      </c>
      <c r="H568">
        <f t="shared" ca="1" si="20"/>
        <v>1.4667405788600513E-3</v>
      </c>
    </row>
    <row r="569" spans="2:8" x14ac:dyDescent="0.3">
      <c r="B569" s="113">
        <v>38601</v>
      </c>
      <c r="C569">
        <v>40.380000000000003</v>
      </c>
      <c r="D569">
        <f t="shared" si="19"/>
        <v>-0.86515278009684426</v>
      </c>
      <c r="E569">
        <v>1.9439535470840777E-2</v>
      </c>
      <c r="G569">
        <v>567</v>
      </c>
      <c r="H569">
        <f t="shared" ca="1" si="20"/>
        <v>1.1920835189216095E-2</v>
      </c>
    </row>
    <row r="570" spans="2:8" x14ac:dyDescent="0.3">
      <c r="B570" s="113">
        <v>43543</v>
      </c>
      <c r="C570">
        <v>299.45</v>
      </c>
      <c r="D570">
        <f t="shared" si="19"/>
        <v>4.259968382223783</v>
      </c>
      <c r="E570">
        <v>1.9404255319148897E-2</v>
      </c>
      <c r="G570">
        <v>568</v>
      </c>
      <c r="H570">
        <f t="shared" ca="1" si="20"/>
        <v>-1.3845839515916482E-2</v>
      </c>
    </row>
    <row r="571" spans="2:8" x14ac:dyDescent="0.3">
      <c r="B571" s="113">
        <v>39829</v>
      </c>
      <c r="C571">
        <v>56.93</v>
      </c>
      <c r="D571">
        <f t="shared" si="19"/>
        <v>-0.67073452862926541</v>
      </c>
      <c r="E571">
        <v>1.9337511190689317E-2</v>
      </c>
      <c r="G571">
        <v>569</v>
      </c>
      <c r="H571">
        <f t="shared" ca="1" si="20"/>
        <v>4.5815468392709658E-3</v>
      </c>
    </row>
    <row r="572" spans="2:8" x14ac:dyDescent="0.3">
      <c r="B572" s="113">
        <v>41177</v>
      </c>
      <c r="C572">
        <v>172.9</v>
      </c>
      <c r="D572">
        <f t="shared" si="19"/>
        <v>0.93986312128351857</v>
      </c>
      <c r="E572">
        <v>1.9337342294540743E-2</v>
      </c>
      <c r="G572">
        <v>570</v>
      </c>
      <c r="H572">
        <f t="shared" ca="1" si="20"/>
        <v>2.2473103702533845E-2</v>
      </c>
    </row>
    <row r="573" spans="2:8" x14ac:dyDescent="0.3">
      <c r="B573" s="113">
        <v>40142</v>
      </c>
      <c r="C573">
        <v>89.13</v>
      </c>
      <c r="D573">
        <f t="shared" si="19"/>
        <v>-0.6160671979323713</v>
      </c>
      <c r="E573">
        <v>1.9327538883806013E-2</v>
      </c>
      <c r="G573">
        <v>571</v>
      </c>
      <c r="H573">
        <f t="shared" ca="1" si="20"/>
        <v>-3.1702258121629801E-2</v>
      </c>
    </row>
    <row r="574" spans="2:8" x14ac:dyDescent="0.3">
      <c r="B574" s="113">
        <v>44594</v>
      </c>
      <c r="C574">
        <v>232.15</v>
      </c>
      <c r="D574">
        <f t="shared" si="19"/>
        <v>3.9288747346072186</v>
      </c>
      <c r="E574">
        <v>1.9319429198682792E-2</v>
      </c>
      <c r="G574">
        <v>572</v>
      </c>
      <c r="H574">
        <f t="shared" ca="1" si="20"/>
        <v>-2.1816308807440246E-2</v>
      </c>
    </row>
    <row r="575" spans="2:8" x14ac:dyDescent="0.3">
      <c r="B575" s="113">
        <v>38716</v>
      </c>
      <c r="C575">
        <v>47.1</v>
      </c>
      <c r="D575">
        <f t="shared" si="19"/>
        <v>-0.75386705685618738</v>
      </c>
      <c r="E575">
        <v>1.9259900454447101E-2</v>
      </c>
      <c r="G575">
        <v>573</v>
      </c>
      <c r="H575">
        <f t="shared" ca="1" si="20"/>
        <v>8.4186084843772377E-4</v>
      </c>
    </row>
    <row r="576" spans="2:8" x14ac:dyDescent="0.3">
      <c r="B576" s="113">
        <v>41218</v>
      </c>
      <c r="C576">
        <v>191.36</v>
      </c>
      <c r="D576">
        <f t="shared" si="19"/>
        <v>-0.18344356731384673</v>
      </c>
      <c r="E576">
        <v>1.922769640479368E-2</v>
      </c>
      <c r="G576">
        <v>574</v>
      </c>
      <c r="H576">
        <f t="shared" ca="1" si="20"/>
        <v>-7.8062210854326509E-3</v>
      </c>
    </row>
    <row r="577" spans="2:8" x14ac:dyDescent="0.3">
      <c r="B577" s="113">
        <v>44232</v>
      </c>
      <c r="C577">
        <v>234.35</v>
      </c>
      <c r="D577">
        <f t="shared" si="19"/>
        <v>14.675585284280938</v>
      </c>
      <c r="E577">
        <v>1.9134594477060257E-2</v>
      </c>
      <c r="G577">
        <v>575</v>
      </c>
      <c r="H577">
        <f t="shared" ca="1" si="20"/>
        <v>1.6606542718783691E-2</v>
      </c>
    </row>
    <row r="578" spans="2:8" x14ac:dyDescent="0.3">
      <c r="B578" s="113">
        <v>37753</v>
      </c>
      <c r="C578">
        <v>14.95</v>
      </c>
      <c r="D578">
        <f t="shared" si="19"/>
        <v>-0.74797707349966291</v>
      </c>
      <c r="E578">
        <v>1.9086571233810454E-2</v>
      </c>
      <c r="G578">
        <v>576</v>
      </c>
      <c r="H578">
        <f t="shared" ca="1" si="20"/>
        <v>1.3304302811660259E-2</v>
      </c>
    </row>
    <row r="579" spans="2:8" x14ac:dyDescent="0.3">
      <c r="B579" s="113">
        <v>39104</v>
      </c>
      <c r="C579">
        <v>59.32</v>
      </c>
      <c r="D579">
        <f t="shared" ref="D579:D642" si="21">(C579-C580)/C580</f>
        <v>-0.54136384722436992</v>
      </c>
      <c r="E579">
        <v>1.9068888507129348E-2</v>
      </c>
      <c r="G579">
        <v>577</v>
      </c>
      <c r="H579">
        <f t="shared" ca="1" si="20"/>
        <v>8.0071669964464059E-3</v>
      </c>
    </row>
    <row r="580" spans="2:8" x14ac:dyDescent="0.3">
      <c r="B580" s="113">
        <v>40718</v>
      </c>
      <c r="C580">
        <v>129.34</v>
      </c>
      <c r="D580">
        <f t="shared" si="21"/>
        <v>-0.54369377315223144</v>
      </c>
      <c r="E580">
        <v>1.9067128900094561E-2</v>
      </c>
      <c r="G580">
        <v>578</v>
      </c>
      <c r="H580">
        <f t="shared" ref="H580:H643" ca="1" si="22">_xlfn.NORM.INV(RAND(),$L$4,$L$6)</f>
        <v>3.2103569764556951E-3</v>
      </c>
    </row>
    <row r="581" spans="2:8" x14ac:dyDescent="0.3">
      <c r="B581" s="113">
        <v>43453</v>
      </c>
      <c r="C581">
        <v>283.45</v>
      </c>
      <c r="D581">
        <f t="shared" si="21"/>
        <v>0.29193254329990875</v>
      </c>
      <c r="E581">
        <v>1.9054467014201014E-2</v>
      </c>
      <c r="G581">
        <v>579</v>
      </c>
      <c r="H581">
        <f t="shared" ca="1" si="22"/>
        <v>-2.710552766327102E-4</v>
      </c>
    </row>
    <row r="582" spans="2:8" x14ac:dyDescent="0.3">
      <c r="B582" s="113">
        <v>44623</v>
      </c>
      <c r="C582">
        <v>219.4</v>
      </c>
      <c r="D582">
        <f t="shared" si="21"/>
        <v>-0.17456734386756961</v>
      </c>
      <c r="E582">
        <v>1.9043195541105406E-2</v>
      </c>
      <c r="G582">
        <v>580</v>
      </c>
      <c r="H582">
        <f t="shared" ca="1" si="22"/>
        <v>-1.9617116675904205E-3</v>
      </c>
    </row>
    <row r="583" spans="2:8" x14ac:dyDescent="0.3">
      <c r="B583" s="113">
        <v>43199</v>
      </c>
      <c r="C583">
        <v>265.8</v>
      </c>
      <c r="D583">
        <f t="shared" si="21"/>
        <v>-7.5639019300991123E-2</v>
      </c>
      <c r="E583">
        <v>1.8976423231742336E-2</v>
      </c>
      <c r="G583">
        <v>581</v>
      </c>
      <c r="H583">
        <f t="shared" ca="1" si="22"/>
        <v>-3.3914997222461073E-2</v>
      </c>
    </row>
    <row r="584" spans="2:8" x14ac:dyDescent="0.3">
      <c r="B584" s="113">
        <v>43433</v>
      </c>
      <c r="C584">
        <v>287.55</v>
      </c>
      <c r="D584">
        <f t="shared" si="21"/>
        <v>3.8580841358337561</v>
      </c>
      <c r="E584">
        <v>1.89581856839122E-2</v>
      </c>
      <c r="G584">
        <v>582</v>
      </c>
      <c r="H584">
        <f t="shared" ca="1" si="22"/>
        <v>7.9961436831058434E-3</v>
      </c>
    </row>
    <row r="585" spans="2:8" x14ac:dyDescent="0.3">
      <c r="B585" s="113">
        <v>38943</v>
      </c>
      <c r="C585">
        <v>59.19</v>
      </c>
      <c r="D585">
        <f t="shared" si="21"/>
        <v>-0.43757126567844923</v>
      </c>
      <c r="E585">
        <v>1.8936133585815015E-2</v>
      </c>
      <c r="G585">
        <v>583</v>
      </c>
      <c r="H585">
        <f t="shared" ca="1" si="22"/>
        <v>4.8331602740097589E-3</v>
      </c>
    </row>
    <row r="586" spans="2:8" x14ac:dyDescent="0.3">
      <c r="B586" s="113">
        <v>40396</v>
      </c>
      <c r="C586">
        <v>105.24</v>
      </c>
      <c r="D586">
        <f t="shared" si="21"/>
        <v>-0.19461238233718522</v>
      </c>
      <c r="E586">
        <v>1.887888469358107E-2</v>
      </c>
      <c r="G586">
        <v>584</v>
      </c>
      <c r="H586">
        <f t="shared" ca="1" si="22"/>
        <v>4.2810005224106946E-3</v>
      </c>
    </row>
    <row r="587" spans="2:8" x14ac:dyDescent="0.3">
      <c r="B587" s="113">
        <v>40814</v>
      </c>
      <c r="C587">
        <v>130.66999999999999</v>
      </c>
      <c r="D587">
        <f t="shared" si="21"/>
        <v>0.84718688153802657</v>
      </c>
      <c r="E587">
        <v>1.8869395711500876E-2</v>
      </c>
      <c r="G587">
        <v>585</v>
      </c>
      <c r="H587">
        <f t="shared" ca="1" si="22"/>
        <v>3.1500846649248522E-2</v>
      </c>
    </row>
    <row r="588" spans="2:8" x14ac:dyDescent="0.3">
      <c r="B588" s="113">
        <v>40003</v>
      </c>
      <c r="C588">
        <v>70.739999999999995</v>
      </c>
      <c r="D588">
        <f t="shared" si="21"/>
        <v>-0.71602906346593875</v>
      </c>
      <c r="E588">
        <v>1.8867924528301713E-2</v>
      </c>
      <c r="G588">
        <v>586</v>
      </c>
      <c r="H588">
        <f t="shared" ca="1" si="22"/>
        <v>2.5483503518507748E-2</v>
      </c>
    </row>
    <row r="589" spans="2:8" x14ac:dyDescent="0.3">
      <c r="B589" s="113">
        <v>41478</v>
      </c>
      <c r="C589">
        <v>249.11</v>
      </c>
      <c r="D589">
        <f t="shared" si="21"/>
        <v>4.8353244319512774</v>
      </c>
      <c r="E589">
        <v>1.8854805725971428E-2</v>
      </c>
      <c r="G589">
        <v>587</v>
      </c>
      <c r="H589">
        <f t="shared" ca="1" si="22"/>
        <v>2.5142303095842075E-2</v>
      </c>
    </row>
    <row r="590" spans="2:8" x14ac:dyDescent="0.3">
      <c r="B590" s="113">
        <v>38635</v>
      </c>
      <c r="C590">
        <v>42.69</v>
      </c>
      <c r="D590">
        <f t="shared" si="21"/>
        <v>1.3213703099510601</v>
      </c>
      <c r="E590">
        <v>1.8854415274462986E-2</v>
      </c>
      <c r="G590">
        <v>588</v>
      </c>
      <c r="H590">
        <f t="shared" ca="1" si="22"/>
        <v>-4.8453867715389691E-3</v>
      </c>
    </row>
    <row r="591" spans="2:8" x14ac:dyDescent="0.3">
      <c r="B591" s="113">
        <v>37862</v>
      </c>
      <c r="C591">
        <v>18.39</v>
      </c>
      <c r="D591">
        <f t="shared" si="21"/>
        <v>-0.91523392486748101</v>
      </c>
      <c r="E591">
        <v>1.88365650969529E-2</v>
      </c>
      <c r="G591">
        <v>589</v>
      </c>
      <c r="H591">
        <f t="shared" ca="1" si="22"/>
        <v>2.7854025633305007E-2</v>
      </c>
    </row>
    <row r="592" spans="2:8" x14ac:dyDescent="0.3">
      <c r="B592" s="113">
        <v>42471</v>
      </c>
      <c r="C592">
        <v>216.95</v>
      </c>
      <c r="D592">
        <f t="shared" si="21"/>
        <v>-0.19108873974645788</v>
      </c>
      <c r="E592">
        <v>1.8831595754672636E-2</v>
      </c>
      <c r="G592">
        <v>590</v>
      </c>
      <c r="H592">
        <f t="shared" ca="1" si="22"/>
        <v>-1.8817486340546002E-2</v>
      </c>
    </row>
    <row r="593" spans="2:8" x14ac:dyDescent="0.3">
      <c r="B593" s="113">
        <v>43152</v>
      </c>
      <c r="C593">
        <v>268.2</v>
      </c>
      <c r="D593">
        <f t="shared" si="21"/>
        <v>0.21286121286121285</v>
      </c>
      <c r="E593">
        <v>1.8803418803418761E-2</v>
      </c>
      <c r="G593">
        <v>591</v>
      </c>
      <c r="H593">
        <f t="shared" ca="1" si="22"/>
        <v>1.8605630174333379E-2</v>
      </c>
    </row>
    <row r="594" spans="2:8" x14ac:dyDescent="0.3">
      <c r="B594" s="113">
        <v>42487</v>
      </c>
      <c r="C594">
        <v>221.13</v>
      </c>
      <c r="D594">
        <f t="shared" si="21"/>
        <v>2.2089682194166307</v>
      </c>
      <c r="E594">
        <v>1.8797512093987487E-2</v>
      </c>
      <c r="G594">
        <v>592</v>
      </c>
      <c r="H594">
        <f t="shared" ca="1" si="22"/>
        <v>-2.5686781010683783E-2</v>
      </c>
    </row>
    <row r="595" spans="2:8" x14ac:dyDescent="0.3">
      <c r="B595" s="113">
        <v>39553</v>
      </c>
      <c r="C595">
        <v>68.91</v>
      </c>
      <c r="D595">
        <f t="shared" si="21"/>
        <v>-0.1654353881555044</v>
      </c>
      <c r="E595">
        <v>1.8775872264931933E-2</v>
      </c>
      <c r="G595">
        <v>593</v>
      </c>
      <c r="H595">
        <f t="shared" ca="1" si="22"/>
        <v>-1.1217682417295436E-2</v>
      </c>
    </row>
    <row r="596" spans="2:8" x14ac:dyDescent="0.3">
      <c r="B596" s="113">
        <v>40200</v>
      </c>
      <c r="C596">
        <v>82.57</v>
      </c>
      <c r="D596">
        <f t="shared" si="21"/>
        <v>-0.65064522953247306</v>
      </c>
      <c r="E596">
        <v>1.8753855644663739E-2</v>
      </c>
      <c r="G596">
        <v>594</v>
      </c>
      <c r="H596">
        <f t="shared" ca="1" si="22"/>
        <v>2.4257416336565994E-2</v>
      </c>
    </row>
    <row r="597" spans="2:8" x14ac:dyDescent="0.3">
      <c r="B597" s="113">
        <v>44631</v>
      </c>
      <c r="C597">
        <v>236.35</v>
      </c>
      <c r="D597">
        <f t="shared" si="21"/>
        <v>13.987317691819911</v>
      </c>
      <c r="E597">
        <v>1.8749999999999975E-2</v>
      </c>
      <c r="G597">
        <v>595</v>
      </c>
      <c r="H597">
        <f t="shared" ca="1" si="22"/>
        <v>1.3994236095781907E-2</v>
      </c>
    </row>
    <row r="598" spans="2:8" x14ac:dyDescent="0.3">
      <c r="B598" s="113">
        <v>37784</v>
      </c>
      <c r="C598">
        <v>15.77</v>
      </c>
      <c r="D598">
        <f t="shared" si="21"/>
        <v>-0.88353888191418661</v>
      </c>
      <c r="E598">
        <v>1.8733850129198912E-2</v>
      </c>
      <c r="G598">
        <v>596</v>
      </c>
      <c r="H598">
        <f t="shared" ca="1" si="22"/>
        <v>-1.4943241207188882E-2</v>
      </c>
    </row>
    <row r="599" spans="2:8" x14ac:dyDescent="0.3">
      <c r="B599" s="113">
        <v>40772</v>
      </c>
      <c r="C599">
        <v>135.41</v>
      </c>
      <c r="D599">
        <f t="shared" si="21"/>
        <v>7.885170603674541</v>
      </c>
      <c r="E599">
        <v>1.8733072524827032E-2</v>
      </c>
      <c r="G599">
        <v>597</v>
      </c>
      <c r="H599">
        <f t="shared" ca="1" si="22"/>
        <v>3.099490669930594E-3</v>
      </c>
    </row>
    <row r="600" spans="2:8" x14ac:dyDescent="0.3">
      <c r="B600" s="113">
        <v>37482</v>
      </c>
      <c r="C600">
        <v>15.24</v>
      </c>
      <c r="D600">
        <f t="shared" si="21"/>
        <v>-0.84192511150295612</v>
      </c>
      <c r="E600">
        <v>1.8716577540106909E-2</v>
      </c>
      <c r="G600">
        <v>598</v>
      </c>
      <c r="H600">
        <f t="shared" ca="1" si="22"/>
        <v>3.9407031716918632E-3</v>
      </c>
    </row>
    <row r="601" spans="2:8" x14ac:dyDescent="0.3">
      <c r="B601" s="113">
        <v>40333</v>
      </c>
      <c r="C601">
        <v>96.41</v>
      </c>
      <c r="D601">
        <f t="shared" si="21"/>
        <v>-0.47175497233028324</v>
      </c>
      <c r="E601">
        <v>1.8702451394759043E-2</v>
      </c>
      <c r="G601">
        <v>599</v>
      </c>
      <c r="H601">
        <f t="shared" ca="1" si="22"/>
        <v>-3.475651371693181E-4</v>
      </c>
    </row>
    <row r="602" spans="2:8" x14ac:dyDescent="0.3">
      <c r="B602" s="113">
        <v>41186</v>
      </c>
      <c r="C602">
        <v>182.51</v>
      </c>
      <c r="D602">
        <f t="shared" si="21"/>
        <v>4.1527385657820428</v>
      </c>
      <c r="E602">
        <v>1.8698370171913344E-2</v>
      </c>
      <c r="G602">
        <v>600</v>
      </c>
      <c r="H602">
        <f t="shared" ca="1" si="22"/>
        <v>-6.2844446224850307E-3</v>
      </c>
    </row>
    <row r="603" spans="2:8" x14ac:dyDescent="0.3">
      <c r="B603" s="113">
        <v>38527</v>
      </c>
      <c r="C603">
        <v>35.42</v>
      </c>
      <c r="D603">
        <f t="shared" si="21"/>
        <v>-0.82508641975308639</v>
      </c>
      <c r="E603">
        <v>1.8694276675294753E-2</v>
      </c>
      <c r="G603">
        <v>601</v>
      </c>
      <c r="H603">
        <f t="shared" ca="1" si="22"/>
        <v>-2.9131069905051522E-2</v>
      </c>
    </row>
    <row r="604" spans="2:8" x14ac:dyDescent="0.3">
      <c r="B604" s="113">
        <v>42418</v>
      </c>
      <c r="C604">
        <v>202.5</v>
      </c>
      <c r="D604">
        <f t="shared" si="21"/>
        <v>-0.25152467196451678</v>
      </c>
      <c r="E604">
        <v>1.8662910609185613E-2</v>
      </c>
      <c r="G604">
        <v>602</v>
      </c>
      <c r="H604">
        <f t="shared" ca="1" si="22"/>
        <v>1.4924505135298291E-2</v>
      </c>
    </row>
    <row r="605" spans="2:8" x14ac:dyDescent="0.3">
      <c r="B605" s="113">
        <v>43109</v>
      </c>
      <c r="C605">
        <v>270.55</v>
      </c>
      <c r="D605">
        <f t="shared" si="21"/>
        <v>2.6300818462364148</v>
      </c>
      <c r="E605">
        <v>1.8637048192771039E-2</v>
      </c>
      <c r="G605">
        <v>603</v>
      </c>
      <c r="H605">
        <f t="shared" ca="1" si="22"/>
        <v>1.4860692900930002E-2</v>
      </c>
    </row>
    <row r="606" spans="2:8" x14ac:dyDescent="0.3">
      <c r="B606" s="113">
        <v>39574</v>
      </c>
      <c r="C606">
        <v>74.53</v>
      </c>
      <c r="D606">
        <f t="shared" si="21"/>
        <v>0.37357169185403621</v>
      </c>
      <c r="E606">
        <v>1.858685253519201E-2</v>
      </c>
      <c r="G606">
        <v>604</v>
      </c>
      <c r="H606">
        <f t="shared" ca="1" si="22"/>
        <v>2.5970224389055187E-2</v>
      </c>
    </row>
    <row r="607" spans="2:8" x14ac:dyDescent="0.3">
      <c r="B607" s="113">
        <v>39212</v>
      </c>
      <c r="C607">
        <v>54.26</v>
      </c>
      <c r="D607">
        <f t="shared" si="21"/>
        <v>-0.82325732899022808</v>
      </c>
      <c r="E607">
        <v>1.8584569175896279E-2</v>
      </c>
      <c r="G607">
        <v>605</v>
      </c>
      <c r="H607">
        <f t="shared" ca="1" si="22"/>
        <v>-5.6639969780132434E-3</v>
      </c>
    </row>
    <row r="608" spans="2:8" x14ac:dyDescent="0.3">
      <c r="B608" s="113">
        <v>43605</v>
      </c>
      <c r="C608">
        <v>307</v>
      </c>
      <c r="D608">
        <f t="shared" si="21"/>
        <v>1.8497168848046039</v>
      </c>
      <c r="E608">
        <v>1.8579960185799677E-2</v>
      </c>
      <c r="G608">
        <v>606</v>
      </c>
      <c r="H608">
        <f t="shared" ca="1" si="22"/>
        <v>1.3653835056972426E-2</v>
      </c>
    </row>
    <row r="609" spans="2:8" x14ac:dyDescent="0.3">
      <c r="B609" s="113">
        <v>40408</v>
      </c>
      <c r="C609">
        <v>107.73</v>
      </c>
      <c r="D609">
        <f t="shared" si="21"/>
        <v>0.73143683702989404</v>
      </c>
      <c r="E609">
        <v>1.8530774321641373E-2</v>
      </c>
      <c r="G609">
        <v>607</v>
      </c>
      <c r="H609">
        <f t="shared" ca="1" si="22"/>
        <v>-1.0629062329744234E-3</v>
      </c>
    </row>
    <row r="610" spans="2:8" x14ac:dyDescent="0.3">
      <c r="B610" s="113">
        <v>38989</v>
      </c>
      <c r="C610">
        <v>62.22</v>
      </c>
      <c r="D610">
        <f t="shared" si="21"/>
        <v>-0.67898049736869259</v>
      </c>
      <c r="E610">
        <v>1.8497299066950326E-2</v>
      </c>
      <c r="G610">
        <v>608</v>
      </c>
      <c r="H610">
        <f t="shared" ca="1" si="22"/>
        <v>3.7182653556141103E-3</v>
      </c>
    </row>
    <row r="611" spans="2:8" x14ac:dyDescent="0.3">
      <c r="B611" s="113">
        <v>41340</v>
      </c>
      <c r="C611">
        <v>193.82</v>
      </c>
      <c r="D611">
        <f t="shared" si="21"/>
        <v>2.9108151735270376</v>
      </c>
      <c r="E611">
        <v>1.8497109826589499E-2</v>
      </c>
      <c r="G611">
        <v>609</v>
      </c>
      <c r="H611">
        <f t="shared" ca="1" si="22"/>
        <v>-3.7309144520547448E-2</v>
      </c>
    </row>
    <row r="612" spans="2:8" x14ac:dyDescent="0.3">
      <c r="B612" s="113">
        <v>39175</v>
      </c>
      <c r="C612">
        <v>49.56</v>
      </c>
      <c r="D612">
        <f t="shared" si="21"/>
        <v>-0.40845070422535207</v>
      </c>
      <c r="E612">
        <v>1.8495684340320711E-2</v>
      </c>
      <c r="G612">
        <v>610</v>
      </c>
      <c r="H612">
        <f t="shared" ca="1" si="22"/>
        <v>-1.0729617837992459E-3</v>
      </c>
    </row>
    <row r="613" spans="2:8" x14ac:dyDescent="0.3">
      <c r="B613" s="113">
        <v>40193</v>
      </c>
      <c r="C613">
        <v>83.78</v>
      </c>
      <c r="D613">
        <f t="shared" si="21"/>
        <v>0.12577264176296693</v>
      </c>
      <c r="E613">
        <v>1.8477996596158473E-2</v>
      </c>
      <c r="G613">
        <v>611</v>
      </c>
      <c r="H613">
        <f t="shared" ca="1" si="22"/>
        <v>-1.6503077417813799E-2</v>
      </c>
    </row>
    <row r="614" spans="2:8" x14ac:dyDescent="0.3">
      <c r="B614" s="113">
        <v>39461</v>
      </c>
      <c r="C614">
        <v>74.42</v>
      </c>
      <c r="D614">
        <f t="shared" si="21"/>
        <v>0.45124804992199691</v>
      </c>
      <c r="E614">
        <v>1.8475434514848895E-2</v>
      </c>
      <c r="G614">
        <v>612</v>
      </c>
      <c r="H614">
        <f t="shared" ca="1" si="22"/>
        <v>-6.4473882442887412E-3</v>
      </c>
    </row>
    <row r="615" spans="2:8" x14ac:dyDescent="0.3">
      <c r="B615" s="113">
        <v>38741</v>
      </c>
      <c r="C615">
        <v>51.28</v>
      </c>
      <c r="D615">
        <f t="shared" si="21"/>
        <v>-0.79124771015672701</v>
      </c>
      <c r="E615">
        <v>1.8470705064548155E-2</v>
      </c>
      <c r="G615">
        <v>613</v>
      </c>
      <c r="H615">
        <f t="shared" ca="1" si="22"/>
        <v>2.2777292603780357E-2</v>
      </c>
    </row>
    <row r="616" spans="2:8" x14ac:dyDescent="0.3">
      <c r="B616" s="113">
        <v>43707</v>
      </c>
      <c r="C616">
        <v>245.65</v>
      </c>
      <c r="D616">
        <f t="shared" si="21"/>
        <v>7.550295857988166</v>
      </c>
      <c r="E616">
        <v>1.8449419568822626E-2</v>
      </c>
      <c r="G616">
        <v>614</v>
      </c>
      <c r="H616">
        <f t="shared" ca="1" si="22"/>
        <v>-7.0319270850082161E-3</v>
      </c>
    </row>
    <row r="617" spans="2:8" x14ac:dyDescent="0.3">
      <c r="B617" s="113">
        <v>38359</v>
      </c>
      <c r="C617">
        <v>28.73</v>
      </c>
      <c r="D617">
        <f t="shared" si="21"/>
        <v>-0.87318472743323772</v>
      </c>
      <c r="E617">
        <v>1.8433179723502287E-2</v>
      </c>
      <c r="G617">
        <v>615</v>
      </c>
      <c r="H617">
        <f t="shared" ca="1" si="22"/>
        <v>-1.1665354731113881E-2</v>
      </c>
    </row>
    <row r="618" spans="2:8" x14ac:dyDescent="0.3">
      <c r="B618" s="113">
        <v>44504</v>
      </c>
      <c r="C618">
        <v>226.55</v>
      </c>
      <c r="D618">
        <f t="shared" si="21"/>
        <v>7.5991450961766793E-2</v>
      </c>
      <c r="E618">
        <v>1.8431108114183064E-2</v>
      </c>
      <c r="G618">
        <v>616</v>
      </c>
      <c r="H618">
        <f t="shared" ca="1" si="22"/>
        <v>-8.9526954534591002E-3</v>
      </c>
    </row>
    <row r="619" spans="2:8" x14ac:dyDescent="0.3">
      <c r="B619" s="113">
        <v>41691</v>
      </c>
      <c r="C619">
        <v>210.55</v>
      </c>
      <c r="D619">
        <f t="shared" si="21"/>
        <v>2.1206462131317623</v>
      </c>
      <c r="E619">
        <v>1.8428944568056507E-2</v>
      </c>
      <c r="G619">
        <v>617</v>
      </c>
      <c r="H619">
        <f t="shared" ca="1" si="22"/>
        <v>1.2507763498722046E-2</v>
      </c>
    </row>
    <row r="620" spans="2:8" x14ac:dyDescent="0.3">
      <c r="B620" s="113">
        <v>39443</v>
      </c>
      <c r="C620">
        <v>67.47</v>
      </c>
      <c r="D620">
        <f t="shared" si="21"/>
        <v>-0.69121281464530893</v>
      </c>
      <c r="E620">
        <v>1.8415094339622625E-2</v>
      </c>
      <c r="G620">
        <v>618</v>
      </c>
      <c r="H620">
        <f t="shared" ca="1" si="22"/>
        <v>1.8189771343041102E-3</v>
      </c>
    </row>
    <row r="621" spans="2:8" x14ac:dyDescent="0.3">
      <c r="B621" s="113">
        <v>44286</v>
      </c>
      <c r="C621">
        <v>218.5</v>
      </c>
      <c r="D621">
        <f t="shared" si="21"/>
        <v>-0.22586359610274578</v>
      </c>
      <c r="E621">
        <v>1.8410626893497966E-2</v>
      </c>
      <c r="G621">
        <v>619</v>
      </c>
      <c r="H621">
        <f t="shared" ca="1" si="22"/>
        <v>8.2367444650221656E-3</v>
      </c>
    </row>
    <row r="622" spans="2:8" x14ac:dyDescent="0.3">
      <c r="B622" s="113">
        <v>43227</v>
      </c>
      <c r="C622">
        <v>282.25</v>
      </c>
      <c r="D622">
        <f t="shared" si="21"/>
        <v>-1.1902678102573E-2</v>
      </c>
      <c r="E622">
        <v>1.8401587587948846E-2</v>
      </c>
      <c r="G622">
        <v>620</v>
      </c>
      <c r="H622">
        <f t="shared" ca="1" si="22"/>
        <v>1.6568417043669983E-2</v>
      </c>
    </row>
    <row r="623" spans="2:8" x14ac:dyDescent="0.3">
      <c r="B623" s="113">
        <v>43430</v>
      </c>
      <c r="C623">
        <v>285.64999999999998</v>
      </c>
      <c r="D623">
        <f t="shared" si="21"/>
        <v>3.1530968304739746</v>
      </c>
      <c r="E623">
        <v>1.8360071301247692E-2</v>
      </c>
      <c r="G623">
        <v>621</v>
      </c>
      <c r="H623">
        <f t="shared" ca="1" si="22"/>
        <v>2.4267728029621516E-2</v>
      </c>
    </row>
    <row r="624" spans="2:8" x14ac:dyDescent="0.3">
      <c r="B624" s="113">
        <v>38839</v>
      </c>
      <c r="C624">
        <v>68.78</v>
      </c>
      <c r="D624">
        <f t="shared" si="21"/>
        <v>1.2484472049689441</v>
      </c>
      <c r="E624">
        <v>1.8359490672194178E-2</v>
      </c>
      <c r="G624">
        <v>622</v>
      </c>
      <c r="H624">
        <f t="shared" ca="1" si="22"/>
        <v>5.4783943325387554E-3</v>
      </c>
    </row>
    <row r="625" spans="2:8" x14ac:dyDescent="0.3">
      <c r="B625" s="113">
        <v>38379</v>
      </c>
      <c r="C625">
        <v>30.59</v>
      </c>
      <c r="D625">
        <f t="shared" si="21"/>
        <v>-0.86429173506055634</v>
      </c>
      <c r="E625">
        <v>1.8308921438082579E-2</v>
      </c>
      <c r="G625">
        <v>623</v>
      </c>
      <c r="H625">
        <f t="shared" ca="1" si="22"/>
        <v>-3.1054924592422938E-2</v>
      </c>
    </row>
    <row r="626" spans="2:8" x14ac:dyDescent="0.3">
      <c r="B626" s="113">
        <v>41422</v>
      </c>
      <c r="C626">
        <v>225.41</v>
      </c>
      <c r="D626">
        <f t="shared" si="21"/>
        <v>-0.33132601601898554</v>
      </c>
      <c r="E626">
        <v>1.8295988435128221E-2</v>
      </c>
      <c r="G626">
        <v>624</v>
      </c>
      <c r="H626">
        <f t="shared" ca="1" si="22"/>
        <v>-1.6537344723944643E-2</v>
      </c>
    </row>
    <row r="627" spans="2:8" x14ac:dyDescent="0.3">
      <c r="B627" s="113">
        <v>42922</v>
      </c>
      <c r="C627">
        <v>337.1</v>
      </c>
      <c r="D627">
        <f t="shared" si="21"/>
        <v>4.1702453987730062</v>
      </c>
      <c r="E627">
        <v>1.8275185017369012E-2</v>
      </c>
      <c r="G627">
        <v>625</v>
      </c>
      <c r="H627">
        <f t="shared" ca="1" si="22"/>
        <v>6.671769102344109E-3</v>
      </c>
    </row>
    <row r="628" spans="2:8" x14ac:dyDescent="0.3">
      <c r="B628" s="113">
        <v>39990</v>
      </c>
      <c r="C628">
        <v>65.2</v>
      </c>
      <c r="D628">
        <f t="shared" si="21"/>
        <v>-0.66963923794081892</v>
      </c>
      <c r="E628">
        <v>1.8272684679056718E-2</v>
      </c>
      <c r="G628">
        <v>626</v>
      </c>
      <c r="H628">
        <f t="shared" ca="1" si="22"/>
        <v>3.282114072164035E-2</v>
      </c>
    </row>
    <row r="629" spans="2:8" x14ac:dyDescent="0.3">
      <c r="B629" s="113">
        <v>41341</v>
      </c>
      <c r="C629">
        <v>197.36</v>
      </c>
      <c r="D629">
        <f t="shared" si="21"/>
        <v>1</v>
      </c>
      <c r="E629">
        <v>1.8264369002167064E-2</v>
      </c>
      <c r="G629">
        <v>627</v>
      </c>
      <c r="H629">
        <f t="shared" ca="1" si="22"/>
        <v>8.2979506284391671E-3</v>
      </c>
    </row>
    <row r="630" spans="2:8" x14ac:dyDescent="0.3">
      <c r="B630" s="113">
        <v>40381</v>
      </c>
      <c r="C630">
        <v>98.68</v>
      </c>
      <c r="D630">
        <f t="shared" si="21"/>
        <v>-0.59407651172357046</v>
      </c>
      <c r="E630">
        <v>1.8264369002167064E-2</v>
      </c>
      <c r="G630">
        <v>628</v>
      </c>
      <c r="H630">
        <f t="shared" ca="1" si="22"/>
        <v>3.0497480273573341E-2</v>
      </c>
    </row>
    <row r="631" spans="2:8" x14ac:dyDescent="0.3">
      <c r="B631" s="113">
        <v>42670</v>
      </c>
      <c r="C631">
        <v>243.1</v>
      </c>
      <c r="D631">
        <f t="shared" si="21"/>
        <v>1.7244200381037766</v>
      </c>
      <c r="E631">
        <v>1.8219895287958091E-2</v>
      </c>
      <c r="G631">
        <v>629</v>
      </c>
      <c r="H631">
        <f t="shared" ca="1" si="22"/>
        <v>-1.830309904695428E-2</v>
      </c>
    </row>
    <row r="632" spans="2:8" x14ac:dyDescent="0.3">
      <c r="B632" s="113">
        <v>40266</v>
      </c>
      <c r="C632">
        <v>89.23</v>
      </c>
      <c r="D632">
        <f t="shared" si="21"/>
        <v>0.40674759577487002</v>
      </c>
      <c r="E632">
        <v>1.8142400730260196E-2</v>
      </c>
      <c r="G632">
        <v>630</v>
      </c>
      <c r="H632">
        <f t="shared" ca="1" si="22"/>
        <v>-2.939875243119713E-2</v>
      </c>
    </row>
    <row r="633" spans="2:8" x14ac:dyDescent="0.3">
      <c r="B633" s="113">
        <v>39945</v>
      </c>
      <c r="C633">
        <v>63.43</v>
      </c>
      <c r="D633">
        <f t="shared" si="21"/>
        <v>1.0500969618616676</v>
      </c>
      <c r="E633">
        <v>1.8138041733547394E-2</v>
      </c>
      <c r="G633">
        <v>631</v>
      </c>
      <c r="H633">
        <f t="shared" ca="1" si="22"/>
        <v>1.215329032535588E-3</v>
      </c>
    </row>
    <row r="634" spans="2:8" x14ac:dyDescent="0.3">
      <c r="B634" s="113">
        <v>38450</v>
      </c>
      <c r="C634">
        <v>30.94</v>
      </c>
      <c r="D634">
        <f t="shared" si="21"/>
        <v>-0.4560478199718706</v>
      </c>
      <c r="E634">
        <v>1.8098058571898674E-2</v>
      </c>
      <c r="G634">
        <v>632</v>
      </c>
      <c r="H634">
        <f t="shared" ca="1" si="22"/>
        <v>-4.1411252163182595E-2</v>
      </c>
    </row>
    <row r="635" spans="2:8" x14ac:dyDescent="0.3">
      <c r="B635" s="113">
        <v>39324</v>
      </c>
      <c r="C635">
        <v>56.88</v>
      </c>
      <c r="D635">
        <f t="shared" si="21"/>
        <v>-0.65763813651137593</v>
      </c>
      <c r="E635">
        <v>1.807768032933605E-2</v>
      </c>
      <c r="G635">
        <v>633</v>
      </c>
      <c r="H635">
        <f t="shared" ca="1" si="22"/>
        <v>1.6376639134157954E-2</v>
      </c>
    </row>
    <row r="636" spans="2:8" x14ac:dyDescent="0.3">
      <c r="B636" s="113">
        <v>41095</v>
      </c>
      <c r="C636">
        <v>166.14</v>
      </c>
      <c r="D636">
        <f t="shared" si="21"/>
        <v>-0.22808158713933935</v>
      </c>
      <c r="E636">
        <v>1.8077088056866159E-2</v>
      </c>
      <c r="G636">
        <v>634</v>
      </c>
      <c r="H636">
        <f t="shared" ca="1" si="22"/>
        <v>3.6496062387725175E-3</v>
      </c>
    </row>
    <row r="637" spans="2:8" x14ac:dyDescent="0.3">
      <c r="B637" s="113">
        <v>41393</v>
      </c>
      <c r="C637">
        <v>215.23</v>
      </c>
      <c r="D637">
        <f t="shared" si="21"/>
        <v>2.2009220701963121</v>
      </c>
      <c r="E637">
        <v>1.8021000851385877E-2</v>
      </c>
      <c r="G637">
        <v>635</v>
      </c>
      <c r="H637">
        <f t="shared" ca="1" si="22"/>
        <v>-2.386331389181495E-3</v>
      </c>
    </row>
    <row r="638" spans="2:8" x14ac:dyDescent="0.3">
      <c r="B638" s="113">
        <v>39493</v>
      </c>
      <c r="C638">
        <v>67.239999999999995</v>
      </c>
      <c r="D638">
        <f t="shared" si="21"/>
        <v>3.7519434628975263</v>
      </c>
      <c r="E638">
        <v>1.8016654049962118E-2</v>
      </c>
      <c r="G638">
        <v>636</v>
      </c>
      <c r="H638">
        <f t="shared" ca="1" si="22"/>
        <v>2.0265596947451744E-3</v>
      </c>
    </row>
    <row r="639" spans="2:8" x14ac:dyDescent="0.3">
      <c r="B639" s="113">
        <v>37434</v>
      </c>
      <c r="C639">
        <v>14.15</v>
      </c>
      <c r="D639">
        <f t="shared" si="21"/>
        <v>-0.87437855113636354</v>
      </c>
      <c r="E639">
        <v>1.7985611510791366E-2</v>
      </c>
      <c r="G639">
        <v>637</v>
      </c>
      <c r="H639">
        <f t="shared" ca="1" si="22"/>
        <v>4.4724628531780253E-4</v>
      </c>
    </row>
    <row r="640" spans="2:8" x14ac:dyDescent="0.3">
      <c r="B640" s="113">
        <v>40536</v>
      </c>
      <c r="C640">
        <v>112.64</v>
      </c>
      <c r="D640">
        <f t="shared" si="21"/>
        <v>-0.53123309334554081</v>
      </c>
      <c r="E640">
        <v>1.7984636240397603E-2</v>
      </c>
      <c r="G640">
        <v>638</v>
      </c>
      <c r="H640">
        <f t="shared" ca="1" si="22"/>
        <v>-2.7452348174808829E-2</v>
      </c>
    </row>
    <row r="641" spans="2:8" x14ac:dyDescent="0.3">
      <c r="B641" s="113">
        <v>42516</v>
      </c>
      <c r="C641">
        <v>240.29</v>
      </c>
      <c r="D641">
        <f t="shared" si="21"/>
        <v>1.1283436669619131</v>
      </c>
      <c r="E641">
        <v>1.7962296123702523E-2</v>
      </c>
      <c r="G641">
        <v>639</v>
      </c>
      <c r="H641">
        <f t="shared" ca="1" si="22"/>
        <v>1.2917818743364527E-2</v>
      </c>
    </row>
    <row r="642" spans="2:8" x14ac:dyDescent="0.3">
      <c r="B642" s="113">
        <v>40522</v>
      </c>
      <c r="C642">
        <v>112.9</v>
      </c>
      <c r="D642">
        <f t="shared" si="21"/>
        <v>5.6294773928361712</v>
      </c>
      <c r="E642">
        <v>1.7942475881345319E-2</v>
      </c>
      <c r="G642">
        <v>640</v>
      </c>
      <c r="H642">
        <f t="shared" ca="1" si="22"/>
        <v>-1.0788138896588135E-2</v>
      </c>
    </row>
    <row r="643" spans="2:8" x14ac:dyDescent="0.3">
      <c r="B643" s="113">
        <v>37806</v>
      </c>
      <c r="C643">
        <v>17.03</v>
      </c>
      <c r="D643">
        <f t="shared" ref="D643:D706" si="23">(C643-C644)/C644</f>
        <v>-0.91935789373993748</v>
      </c>
      <c r="E643">
        <v>1.7931858936043078E-2</v>
      </c>
      <c r="G643">
        <v>641</v>
      </c>
      <c r="H643">
        <f t="shared" ca="1" si="22"/>
        <v>2.1158255553390726E-2</v>
      </c>
    </row>
    <row r="644" spans="2:8" x14ac:dyDescent="0.3">
      <c r="B644" s="113">
        <v>42397</v>
      </c>
      <c r="C644">
        <v>211.18</v>
      </c>
      <c r="D644">
        <f t="shared" si="23"/>
        <v>3.0760470951553756</v>
      </c>
      <c r="E644">
        <v>1.788210343664148E-2</v>
      </c>
      <c r="G644">
        <v>642</v>
      </c>
      <c r="H644">
        <f t="shared" ref="H644:H707" ca="1" si="24">_xlfn.NORM.INV(RAND(),$L$4,$L$6)</f>
        <v>6.1151377805115188E-3</v>
      </c>
    </row>
    <row r="645" spans="2:8" x14ac:dyDescent="0.3">
      <c r="B645" s="113">
        <v>39314</v>
      </c>
      <c r="C645">
        <v>51.81</v>
      </c>
      <c r="D645">
        <f t="shared" si="23"/>
        <v>-0.18022151898734176</v>
      </c>
      <c r="E645">
        <v>1.7878192534381214E-2</v>
      </c>
      <c r="G645">
        <v>643</v>
      </c>
      <c r="H645">
        <f t="shared" ca="1" si="24"/>
        <v>9.201717446346817E-3</v>
      </c>
    </row>
    <row r="646" spans="2:8" x14ac:dyDescent="0.3">
      <c r="B646" s="113">
        <v>38981</v>
      </c>
      <c r="C646">
        <v>63.2</v>
      </c>
      <c r="D646">
        <f t="shared" si="23"/>
        <v>2.3599149388623073</v>
      </c>
      <c r="E646">
        <v>1.7877274923498138E-2</v>
      </c>
      <c r="G646">
        <v>644</v>
      </c>
      <c r="H646">
        <f t="shared" ca="1" si="24"/>
        <v>1.0113082688365513E-2</v>
      </c>
    </row>
    <row r="647" spans="2:8" x14ac:dyDescent="0.3">
      <c r="B647" s="113">
        <v>37872</v>
      </c>
      <c r="C647">
        <v>18.809999999999999</v>
      </c>
      <c r="D647">
        <f t="shared" si="23"/>
        <v>-0.92689467547609794</v>
      </c>
      <c r="E647">
        <v>1.7857142857142766E-2</v>
      </c>
      <c r="G647">
        <v>645</v>
      </c>
      <c r="H647">
        <f t="shared" ca="1" si="24"/>
        <v>-7.9752503428139904E-3</v>
      </c>
    </row>
    <row r="648" spans="2:8" x14ac:dyDescent="0.3">
      <c r="B648" s="113">
        <v>42612</v>
      </c>
      <c r="C648">
        <v>257.3</v>
      </c>
      <c r="D648">
        <f t="shared" si="23"/>
        <v>0.52347681923145262</v>
      </c>
      <c r="E648">
        <v>1.7800632911392403E-2</v>
      </c>
      <c r="G648">
        <v>646</v>
      </c>
      <c r="H648">
        <f t="shared" ca="1" si="24"/>
        <v>-1.5086357768291871E-2</v>
      </c>
    </row>
    <row r="649" spans="2:8" x14ac:dyDescent="0.3">
      <c r="B649" s="113">
        <v>41115</v>
      </c>
      <c r="C649">
        <v>168.89</v>
      </c>
      <c r="D649">
        <f t="shared" si="23"/>
        <v>6.368673647469457</v>
      </c>
      <c r="E649">
        <v>1.7777509943352952E-2</v>
      </c>
      <c r="G649">
        <v>647</v>
      </c>
      <c r="H649">
        <f t="shared" ca="1" si="24"/>
        <v>-7.6129047598484569E-3</v>
      </c>
    </row>
    <row r="650" spans="2:8" x14ac:dyDescent="0.3">
      <c r="B650" s="113">
        <v>38215</v>
      </c>
      <c r="C650">
        <v>22.92</v>
      </c>
      <c r="D650">
        <f t="shared" si="23"/>
        <v>-0.90144055041926463</v>
      </c>
      <c r="E650">
        <v>1.776198934280649E-2</v>
      </c>
      <c r="G650">
        <v>648</v>
      </c>
      <c r="H650">
        <f t="shared" ca="1" si="24"/>
        <v>-3.8508680731265108E-3</v>
      </c>
    </row>
    <row r="651" spans="2:8" x14ac:dyDescent="0.3">
      <c r="B651" s="113">
        <v>42709</v>
      </c>
      <c r="C651">
        <v>232.55</v>
      </c>
      <c r="D651">
        <f t="shared" si="23"/>
        <v>0.13009038779278848</v>
      </c>
      <c r="E651">
        <v>1.7724288840262632E-2</v>
      </c>
      <c r="G651">
        <v>649</v>
      </c>
      <c r="H651">
        <f t="shared" ca="1" si="24"/>
        <v>2.0964239402473682E-2</v>
      </c>
    </row>
    <row r="652" spans="2:8" x14ac:dyDescent="0.3">
      <c r="B652" s="113">
        <v>42177</v>
      </c>
      <c r="C652">
        <v>205.78</v>
      </c>
      <c r="D652">
        <f t="shared" si="23"/>
        <v>-0.14151022110972045</v>
      </c>
      <c r="E652">
        <v>1.7705242334322517E-2</v>
      </c>
      <c r="G652">
        <v>650</v>
      </c>
      <c r="H652">
        <f t="shared" ca="1" si="24"/>
        <v>6.2199325647394306E-3</v>
      </c>
    </row>
    <row r="653" spans="2:8" x14ac:dyDescent="0.3">
      <c r="B653" s="113">
        <v>42536</v>
      </c>
      <c r="C653">
        <v>239.7</v>
      </c>
      <c r="D653">
        <f t="shared" si="23"/>
        <v>-0.12294182217343587</v>
      </c>
      <c r="E653">
        <v>1.7704750987135344E-2</v>
      </c>
      <c r="G653">
        <v>651</v>
      </c>
      <c r="H653">
        <f t="shared" ca="1" si="24"/>
        <v>3.6567997961937118E-2</v>
      </c>
    </row>
    <row r="654" spans="2:8" x14ac:dyDescent="0.3">
      <c r="B654" s="113">
        <v>43300</v>
      </c>
      <c r="C654">
        <v>273.3</v>
      </c>
      <c r="D654">
        <f t="shared" si="23"/>
        <v>0.28623870481927721</v>
      </c>
      <c r="E654">
        <v>1.768758145596723E-2</v>
      </c>
      <c r="G654">
        <v>652</v>
      </c>
      <c r="H654">
        <f t="shared" ca="1" si="24"/>
        <v>-1.9834408545811609E-2</v>
      </c>
    </row>
    <row r="655" spans="2:8" x14ac:dyDescent="0.3">
      <c r="B655" s="113">
        <v>41814</v>
      </c>
      <c r="C655">
        <v>212.48</v>
      </c>
      <c r="D655">
        <f t="shared" si="23"/>
        <v>2.3445616244294034</v>
      </c>
      <c r="E655">
        <v>1.7624521072796832E-2</v>
      </c>
      <c r="G655">
        <v>653</v>
      </c>
      <c r="H655">
        <f t="shared" ca="1" si="24"/>
        <v>-2.4323836449247739E-3</v>
      </c>
    </row>
    <row r="656" spans="2:8" x14ac:dyDescent="0.3">
      <c r="B656" s="113">
        <v>39419</v>
      </c>
      <c r="C656">
        <v>63.53</v>
      </c>
      <c r="D656">
        <f t="shared" si="23"/>
        <v>8.5611756664388208E-2</v>
      </c>
      <c r="E656">
        <v>1.761973410219448E-2</v>
      </c>
      <c r="G656">
        <v>654</v>
      </c>
      <c r="H656">
        <f t="shared" ca="1" si="24"/>
        <v>2.7417211322051833E-3</v>
      </c>
    </row>
    <row r="657" spans="2:8" x14ac:dyDescent="0.3">
      <c r="B657" s="113">
        <v>39798</v>
      </c>
      <c r="C657">
        <v>58.52</v>
      </c>
      <c r="D657">
        <f t="shared" si="23"/>
        <v>-0.78053628351771975</v>
      </c>
      <c r="E657">
        <v>1.7562163102069296E-2</v>
      </c>
      <c r="G657">
        <v>655</v>
      </c>
      <c r="H657">
        <f t="shared" ca="1" si="24"/>
        <v>-3.6496157775401813E-3</v>
      </c>
    </row>
    <row r="658" spans="2:8" x14ac:dyDescent="0.3">
      <c r="B658" s="113">
        <v>44687</v>
      </c>
      <c r="C658">
        <v>266.64999999999998</v>
      </c>
      <c r="D658">
        <f t="shared" si="23"/>
        <v>0.2296518330643301</v>
      </c>
      <c r="E658">
        <v>1.7553901927113015E-2</v>
      </c>
      <c r="G658">
        <v>656</v>
      </c>
      <c r="H658">
        <f t="shared" ca="1" si="24"/>
        <v>2.6025533895735879E-3</v>
      </c>
    </row>
    <row r="659" spans="2:8" x14ac:dyDescent="0.3">
      <c r="B659" s="113">
        <v>42153</v>
      </c>
      <c r="C659">
        <v>216.85</v>
      </c>
      <c r="D659">
        <f t="shared" si="23"/>
        <v>7.8546198178099918E-3</v>
      </c>
      <c r="E659">
        <v>1.7549622260804188E-2</v>
      </c>
      <c r="G659">
        <v>657</v>
      </c>
      <c r="H659">
        <f t="shared" ca="1" si="24"/>
        <v>-1.5606434258884647E-2</v>
      </c>
    </row>
    <row r="660" spans="2:8" x14ac:dyDescent="0.3">
      <c r="B660" s="113">
        <v>41676</v>
      </c>
      <c r="C660">
        <v>215.16</v>
      </c>
      <c r="D660">
        <f t="shared" si="23"/>
        <v>7.499375468398696E-2</v>
      </c>
      <c r="E660">
        <v>1.7545519035232954E-2</v>
      </c>
      <c r="G660">
        <v>658</v>
      </c>
      <c r="H660">
        <f t="shared" ca="1" si="24"/>
        <v>1.0281701797876131E-3</v>
      </c>
    </row>
    <row r="661" spans="2:8" x14ac:dyDescent="0.3">
      <c r="B661" s="113">
        <v>43986</v>
      </c>
      <c r="C661">
        <v>200.15</v>
      </c>
      <c r="D661">
        <f t="shared" si="23"/>
        <v>-6.2573181584000687E-2</v>
      </c>
      <c r="E661">
        <v>1.753940010167777E-2</v>
      </c>
      <c r="G661">
        <v>659</v>
      </c>
      <c r="H661">
        <f t="shared" ca="1" si="24"/>
        <v>-1.696588816372957E-2</v>
      </c>
    </row>
    <row r="662" spans="2:8" x14ac:dyDescent="0.3">
      <c r="B662" s="113">
        <v>42445</v>
      </c>
      <c r="C662">
        <v>213.51</v>
      </c>
      <c r="D662">
        <f t="shared" si="23"/>
        <v>-0.24139278735121691</v>
      </c>
      <c r="E662">
        <v>1.7538006958013524E-2</v>
      </c>
      <c r="G662">
        <v>660</v>
      </c>
      <c r="H662">
        <f t="shared" ca="1" si="24"/>
        <v>-5.6476393287005315E-3</v>
      </c>
    </row>
    <row r="663" spans="2:8" x14ac:dyDescent="0.3">
      <c r="B663" s="113">
        <v>43124</v>
      </c>
      <c r="C663">
        <v>281.45</v>
      </c>
      <c r="D663">
        <f t="shared" si="23"/>
        <v>1.4370075331197505</v>
      </c>
      <c r="E663">
        <v>1.7534345625451791E-2</v>
      </c>
      <c r="G663">
        <v>661</v>
      </c>
      <c r="H663">
        <f t="shared" ca="1" si="24"/>
        <v>3.6179685717897717E-2</v>
      </c>
    </row>
    <row r="664" spans="2:8" x14ac:dyDescent="0.3">
      <c r="B664" s="113">
        <v>40541</v>
      </c>
      <c r="C664">
        <v>115.49</v>
      </c>
      <c r="D664">
        <f t="shared" si="23"/>
        <v>-0.52088778261771418</v>
      </c>
      <c r="E664">
        <v>1.7533039647577048E-2</v>
      </c>
      <c r="G664">
        <v>662</v>
      </c>
      <c r="H664">
        <f t="shared" ca="1" si="24"/>
        <v>-4.274355914668561E-3</v>
      </c>
    </row>
    <row r="665" spans="2:8" x14ac:dyDescent="0.3">
      <c r="B665" s="113">
        <v>43816</v>
      </c>
      <c r="C665">
        <v>241.05</v>
      </c>
      <c r="D665">
        <f t="shared" si="23"/>
        <v>3.1841694150321125</v>
      </c>
      <c r="E665">
        <v>1.7517940059096689E-2</v>
      </c>
      <c r="G665">
        <v>663</v>
      </c>
      <c r="H665">
        <f t="shared" ca="1" si="24"/>
        <v>1.254895693817348E-4</v>
      </c>
    </row>
    <row r="666" spans="2:8" x14ac:dyDescent="0.3">
      <c r="B666" s="113">
        <v>39328</v>
      </c>
      <c r="C666">
        <v>57.61</v>
      </c>
      <c r="D666">
        <f t="shared" si="23"/>
        <v>-0.16880680998412931</v>
      </c>
      <c r="E666">
        <v>1.7484987636877464E-2</v>
      </c>
      <c r="G666">
        <v>664</v>
      </c>
      <c r="H666">
        <f t="shared" ca="1" si="24"/>
        <v>2.33269938038335E-2</v>
      </c>
    </row>
    <row r="667" spans="2:8" x14ac:dyDescent="0.3">
      <c r="B667" s="113">
        <v>39595</v>
      </c>
      <c r="C667">
        <v>69.31</v>
      </c>
      <c r="D667">
        <f t="shared" si="23"/>
        <v>-0.76453201970443352</v>
      </c>
      <c r="E667">
        <v>1.7469172049324688E-2</v>
      </c>
      <c r="G667">
        <v>665</v>
      </c>
      <c r="H667">
        <f t="shared" ca="1" si="24"/>
        <v>-8.7909538401744064E-3</v>
      </c>
    </row>
    <row r="668" spans="2:8" x14ac:dyDescent="0.3">
      <c r="B668" s="113">
        <v>43599</v>
      </c>
      <c r="C668">
        <v>294.35000000000002</v>
      </c>
      <c r="D668">
        <f t="shared" si="23"/>
        <v>18.41622691292876</v>
      </c>
      <c r="E668">
        <v>1.7455928102315974E-2</v>
      </c>
      <c r="G668">
        <v>666</v>
      </c>
      <c r="H668">
        <f t="shared" ca="1" si="24"/>
        <v>2.292146153406395E-2</v>
      </c>
    </row>
    <row r="669" spans="2:8" x14ac:dyDescent="0.3">
      <c r="B669" s="113">
        <v>37727</v>
      </c>
      <c r="C669">
        <v>15.16</v>
      </c>
      <c r="D669">
        <f t="shared" si="23"/>
        <v>-0.94226081657525895</v>
      </c>
      <c r="E669">
        <v>1.7449664429530186E-2</v>
      </c>
      <c r="G669">
        <v>667</v>
      </c>
      <c r="H669">
        <f t="shared" ca="1" si="24"/>
        <v>4.6990167381894448E-3</v>
      </c>
    </row>
    <row r="670" spans="2:8" x14ac:dyDescent="0.3">
      <c r="B670" s="113">
        <v>42055</v>
      </c>
      <c r="C670">
        <v>262.56</v>
      </c>
      <c r="D670">
        <f t="shared" si="23"/>
        <v>3.731663362768066</v>
      </c>
      <c r="E670">
        <v>1.7437805161590329E-2</v>
      </c>
      <c r="G670">
        <v>668</v>
      </c>
      <c r="H670">
        <f t="shared" ca="1" si="24"/>
        <v>-1.4019679479794372E-3</v>
      </c>
    </row>
    <row r="671" spans="2:8" x14ac:dyDescent="0.3">
      <c r="B671" s="113">
        <v>38929</v>
      </c>
      <c r="C671">
        <v>55.49</v>
      </c>
      <c r="D671">
        <f t="shared" si="23"/>
        <v>0.28241275710654029</v>
      </c>
      <c r="E671">
        <v>1.7418408507517472E-2</v>
      </c>
      <c r="G671">
        <v>669</v>
      </c>
      <c r="H671">
        <f t="shared" ca="1" si="24"/>
        <v>-1.735872122562578E-3</v>
      </c>
    </row>
    <row r="672" spans="2:8" x14ac:dyDescent="0.3">
      <c r="B672" s="113">
        <v>38672</v>
      </c>
      <c r="C672">
        <v>43.27</v>
      </c>
      <c r="D672">
        <f t="shared" si="23"/>
        <v>-0.83380065296715955</v>
      </c>
      <c r="E672">
        <v>1.7399482718081401E-2</v>
      </c>
      <c r="G672">
        <v>670</v>
      </c>
      <c r="H672">
        <f t="shared" ca="1" si="24"/>
        <v>-1.0473069176098746E-2</v>
      </c>
    </row>
    <row r="673" spans="2:8" x14ac:dyDescent="0.3">
      <c r="B673" s="113">
        <v>42629</v>
      </c>
      <c r="C673">
        <v>260.35000000000002</v>
      </c>
      <c r="D673">
        <f t="shared" si="23"/>
        <v>0.2019852262234535</v>
      </c>
      <c r="E673">
        <v>1.7389605314576072E-2</v>
      </c>
      <c r="G673">
        <v>671</v>
      </c>
      <c r="H673">
        <f t="shared" ca="1" si="24"/>
        <v>2.8810686027258808E-2</v>
      </c>
    </row>
    <row r="674" spans="2:8" x14ac:dyDescent="0.3">
      <c r="B674" s="113">
        <v>44347</v>
      </c>
      <c r="C674">
        <v>216.6</v>
      </c>
      <c r="D674">
        <f t="shared" si="23"/>
        <v>2.4884844580447734</v>
      </c>
      <c r="E674">
        <v>1.7379051197745368E-2</v>
      </c>
      <c r="G674">
        <v>672</v>
      </c>
      <c r="H674">
        <f t="shared" ca="1" si="24"/>
        <v>-2.9426720184208072E-2</v>
      </c>
    </row>
    <row r="675" spans="2:8" x14ac:dyDescent="0.3">
      <c r="B675" s="113">
        <v>38980</v>
      </c>
      <c r="C675">
        <v>62.09</v>
      </c>
      <c r="D675">
        <f t="shared" si="23"/>
        <v>-0.71060358890701469</v>
      </c>
      <c r="E675">
        <v>1.7368507291496024E-2</v>
      </c>
      <c r="G675">
        <v>673</v>
      </c>
      <c r="H675">
        <f t="shared" ca="1" si="24"/>
        <v>-8.9828263775965506E-3</v>
      </c>
    </row>
    <row r="676" spans="2:8" x14ac:dyDescent="0.3">
      <c r="B676" s="113">
        <v>44285</v>
      </c>
      <c r="C676">
        <v>214.55</v>
      </c>
      <c r="D676">
        <f t="shared" si="23"/>
        <v>-0.14204022873595387</v>
      </c>
      <c r="E676">
        <v>1.730678046467523E-2</v>
      </c>
      <c r="G676">
        <v>674</v>
      </c>
      <c r="H676">
        <f t="shared" ca="1" si="24"/>
        <v>-1.7782003623864485E-2</v>
      </c>
    </row>
    <row r="677" spans="2:8" x14ac:dyDescent="0.3">
      <c r="B677" s="113">
        <v>41906</v>
      </c>
      <c r="C677">
        <v>250.07</v>
      </c>
      <c r="D677">
        <f t="shared" si="23"/>
        <v>0.14789993114528346</v>
      </c>
      <c r="E677">
        <v>1.7289073305670817E-2</v>
      </c>
      <c r="G677">
        <v>675</v>
      </c>
      <c r="H677">
        <f t="shared" ca="1" si="24"/>
        <v>-1.3889131591044882E-2</v>
      </c>
    </row>
    <row r="678" spans="2:8" x14ac:dyDescent="0.3">
      <c r="B678" s="113">
        <v>44211</v>
      </c>
      <c r="C678">
        <v>217.85</v>
      </c>
      <c r="D678">
        <f t="shared" si="23"/>
        <v>1.4829040346478233</v>
      </c>
      <c r="E678">
        <v>1.7277609152463173E-2</v>
      </c>
      <c r="G678">
        <v>676</v>
      </c>
      <c r="H678">
        <f t="shared" ca="1" si="24"/>
        <v>3.734216734502957E-2</v>
      </c>
    </row>
    <row r="679" spans="2:8" x14ac:dyDescent="0.3">
      <c r="B679" s="113">
        <v>40112</v>
      </c>
      <c r="C679">
        <v>87.74</v>
      </c>
      <c r="D679">
        <f t="shared" si="23"/>
        <v>0.37890931950337875</v>
      </c>
      <c r="E679">
        <v>1.7275362318840519E-2</v>
      </c>
      <c r="G679">
        <v>677</v>
      </c>
      <c r="H679">
        <f t="shared" ca="1" si="24"/>
        <v>-7.5126108693836756E-3</v>
      </c>
    </row>
    <row r="680" spans="2:8" x14ac:dyDescent="0.3">
      <c r="B680" s="113">
        <v>39692</v>
      </c>
      <c r="C680">
        <v>63.63</v>
      </c>
      <c r="D680">
        <f t="shared" si="23"/>
        <v>-0.4193813304133589</v>
      </c>
      <c r="E680">
        <v>1.7266187050359798E-2</v>
      </c>
      <c r="G680">
        <v>678</v>
      </c>
      <c r="H680">
        <f t="shared" ca="1" si="24"/>
        <v>1.7782158846915575E-2</v>
      </c>
    </row>
    <row r="681" spans="2:8" x14ac:dyDescent="0.3">
      <c r="B681" s="113">
        <v>40409</v>
      </c>
      <c r="C681">
        <v>109.59</v>
      </c>
      <c r="D681">
        <f t="shared" si="23"/>
        <v>2.441896984924623</v>
      </c>
      <c r="E681">
        <v>1.7265385686438314E-2</v>
      </c>
      <c r="G681">
        <v>679</v>
      </c>
      <c r="H681">
        <f t="shared" ca="1" si="24"/>
        <v>1.6547577833267373E-2</v>
      </c>
    </row>
    <row r="682" spans="2:8" x14ac:dyDescent="0.3">
      <c r="B682" s="113">
        <v>38478</v>
      </c>
      <c r="C682">
        <v>31.84</v>
      </c>
      <c r="D682">
        <f t="shared" si="23"/>
        <v>-0.88023321421854428</v>
      </c>
      <c r="E682">
        <v>1.7252396166134158E-2</v>
      </c>
      <c r="G682">
        <v>680</v>
      </c>
      <c r="H682">
        <f t="shared" ca="1" si="24"/>
        <v>2.759428410739216E-3</v>
      </c>
    </row>
    <row r="683" spans="2:8" x14ac:dyDescent="0.3">
      <c r="B683" s="113">
        <v>43776</v>
      </c>
      <c r="C683">
        <v>265.85000000000002</v>
      </c>
      <c r="D683">
        <f t="shared" si="23"/>
        <v>0.11002087682672243</v>
      </c>
      <c r="E683">
        <v>1.7218289649894775E-2</v>
      </c>
      <c r="G683">
        <v>681</v>
      </c>
      <c r="H683">
        <f t="shared" ca="1" si="24"/>
        <v>1.2796325423009581E-2</v>
      </c>
    </row>
    <row r="684" spans="2:8" x14ac:dyDescent="0.3">
      <c r="B684" s="113">
        <v>44517</v>
      </c>
      <c r="C684">
        <v>239.5</v>
      </c>
      <c r="D684">
        <f t="shared" si="23"/>
        <v>3.8234784116525027E-2</v>
      </c>
      <c r="E684">
        <v>1.720110426842222E-2</v>
      </c>
      <c r="G684">
        <v>682</v>
      </c>
      <c r="H684">
        <f t="shared" ca="1" si="24"/>
        <v>-2.1496920846572763E-2</v>
      </c>
    </row>
    <row r="685" spans="2:8" x14ac:dyDescent="0.3">
      <c r="B685" s="113">
        <v>42118</v>
      </c>
      <c r="C685">
        <v>230.68</v>
      </c>
      <c r="D685">
        <f t="shared" si="23"/>
        <v>-8.8221343873517766E-2</v>
      </c>
      <c r="E685">
        <v>1.710758377425042E-2</v>
      </c>
      <c r="G685">
        <v>683</v>
      </c>
      <c r="H685">
        <f t="shared" ca="1" si="24"/>
        <v>-1.2269571388760156E-2</v>
      </c>
    </row>
    <row r="686" spans="2:8" x14ac:dyDescent="0.3">
      <c r="B686" s="113">
        <v>43693</v>
      </c>
      <c r="C686">
        <v>253</v>
      </c>
      <c r="D686">
        <f t="shared" si="23"/>
        <v>0.88034188034188021</v>
      </c>
      <c r="E686">
        <v>1.7085427135678392E-2</v>
      </c>
      <c r="G686">
        <v>684</v>
      </c>
      <c r="H686">
        <f t="shared" ca="1" si="24"/>
        <v>8.3564068096307284E-4</v>
      </c>
    </row>
    <row r="687" spans="2:8" x14ac:dyDescent="0.3">
      <c r="B687" s="113">
        <v>40724</v>
      </c>
      <c r="C687">
        <v>134.55000000000001</v>
      </c>
      <c r="D687">
        <f t="shared" si="23"/>
        <v>0.63765822784810144</v>
      </c>
      <c r="E687">
        <v>1.7083679794391259E-2</v>
      </c>
      <c r="G687">
        <v>685</v>
      </c>
      <c r="H687">
        <f t="shared" ca="1" si="24"/>
        <v>-7.0586682559204104E-3</v>
      </c>
    </row>
    <row r="688" spans="2:8" x14ac:dyDescent="0.3">
      <c r="B688" s="113">
        <v>40108</v>
      </c>
      <c r="C688">
        <v>82.16</v>
      </c>
      <c r="D688">
        <f t="shared" si="23"/>
        <v>-0.70047393364928912</v>
      </c>
      <c r="E688">
        <v>1.7083436494181672E-2</v>
      </c>
      <c r="G688">
        <v>686</v>
      </c>
      <c r="H688">
        <f t="shared" ca="1" si="24"/>
        <v>-7.9015556202454481E-3</v>
      </c>
    </row>
    <row r="689" spans="2:8" x14ac:dyDescent="0.3">
      <c r="B689" s="113">
        <v>42768</v>
      </c>
      <c r="C689">
        <v>274.3</v>
      </c>
      <c r="D689">
        <f t="shared" si="23"/>
        <v>3.7391154111955771</v>
      </c>
      <c r="E689">
        <v>1.705598813496486E-2</v>
      </c>
      <c r="G689">
        <v>687</v>
      </c>
      <c r="H689">
        <f t="shared" ca="1" si="24"/>
        <v>2.540523428969875E-2</v>
      </c>
    </row>
    <row r="690" spans="2:8" x14ac:dyDescent="0.3">
      <c r="B690" s="113">
        <v>39113</v>
      </c>
      <c r="C690">
        <v>57.88</v>
      </c>
      <c r="D690">
        <f t="shared" si="23"/>
        <v>0.21163910404019257</v>
      </c>
      <c r="E690">
        <v>1.7044456158847407E-2</v>
      </c>
      <c r="G690">
        <v>688</v>
      </c>
      <c r="H690">
        <f t="shared" ca="1" si="24"/>
        <v>-1.7226625777030408E-2</v>
      </c>
    </row>
    <row r="691" spans="2:8" x14ac:dyDescent="0.3">
      <c r="B691" s="113">
        <v>38700</v>
      </c>
      <c r="C691">
        <v>47.77</v>
      </c>
      <c r="D691">
        <f t="shared" si="23"/>
        <v>-0.78266606005459505</v>
      </c>
      <c r="E691">
        <v>1.7032148179689253E-2</v>
      </c>
      <c r="G691">
        <v>689</v>
      </c>
      <c r="H691">
        <f t="shared" ca="1" si="24"/>
        <v>-1.543320417993233E-2</v>
      </c>
    </row>
    <row r="692" spans="2:8" x14ac:dyDescent="0.3">
      <c r="B692" s="113">
        <v>42219</v>
      </c>
      <c r="C692">
        <v>219.8</v>
      </c>
      <c r="D692">
        <f t="shared" si="23"/>
        <v>-0.10340607791148274</v>
      </c>
      <c r="E692">
        <v>1.7027577271886019E-2</v>
      </c>
      <c r="G692">
        <v>690</v>
      </c>
      <c r="H692">
        <f t="shared" ca="1" si="24"/>
        <v>2.305107227351583E-2</v>
      </c>
    </row>
    <row r="693" spans="2:8" x14ac:dyDescent="0.3">
      <c r="B693" s="113">
        <v>43817</v>
      </c>
      <c r="C693">
        <v>245.15</v>
      </c>
      <c r="D693">
        <f t="shared" si="23"/>
        <v>10.077722548576594</v>
      </c>
      <c r="E693">
        <v>1.7008919311346168E-2</v>
      </c>
      <c r="G693">
        <v>691</v>
      </c>
      <c r="H693">
        <f t="shared" ca="1" si="24"/>
        <v>1.5986573615914049E-3</v>
      </c>
    </row>
    <row r="694" spans="2:8" x14ac:dyDescent="0.3">
      <c r="B694" s="113">
        <v>38191</v>
      </c>
      <c r="C694">
        <v>22.13</v>
      </c>
      <c r="D694">
        <f t="shared" si="23"/>
        <v>0.47927807486631002</v>
      </c>
      <c r="E694">
        <v>1.7003676470588116E-2</v>
      </c>
      <c r="G694">
        <v>692</v>
      </c>
      <c r="H694">
        <f t="shared" ca="1" si="24"/>
        <v>-1.6023238389909846E-2</v>
      </c>
    </row>
    <row r="695" spans="2:8" x14ac:dyDescent="0.3">
      <c r="B695" s="113">
        <v>37481</v>
      </c>
      <c r="C695">
        <v>14.96</v>
      </c>
      <c r="D695">
        <f t="shared" si="23"/>
        <v>-0.93392226148409896</v>
      </c>
      <c r="E695">
        <v>1.6995241332426921E-2</v>
      </c>
      <c r="G695">
        <v>693</v>
      </c>
      <c r="H695">
        <f t="shared" ca="1" si="24"/>
        <v>-1.1668222467942748E-2</v>
      </c>
    </row>
    <row r="696" spans="2:8" x14ac:dyDescent="0.3">
      <c r="B696" s="113">
        <v>41829</v>
      </c>
      <c r="C696">
        <v>226.4</v>
      </c>
      <c r="D696">
        <f t="shared" si="23"/>
        <v>11.185145317545748</v>
      </c>
      <c r="E696">
        <v>1.6979606504357207E-2</v>
      </c>
      <c r="G696">
        <v>694</v>
      </c>
      <c r="H696">
        <f t="shared" ca="1" si="24"/>
        <v>6.8991021726168885E-3</v>
      </c>
    </row>
    <row r="697" spans="2:8" x14ac:dyDescent="0.3">
      <c r="B697" s="113">
        <v>37874</v>
      </c>
      <c r="C697">
        <v>18.579999999999998</v>
      </c>
      <c r="D697">
        <f t="shared" si="23"/>
        <v>-0.9151636911556551</v>
      </c>
      <c r="E697">
        <v>1.6967706622878966E-2</v>
      </c>
      <c r="G697">
        <v>695</v>
      </c>
      <c r="H697">
        <f t="shared" ca="1" si="24"/>
        <v>1.7492488630881819E-2</v>
      </c>
    </row>
    <row r="698" spans="2:8" x14ac:dyDescent="0.3">
      <c r="B698" s="113">
        <v>42510</v>
      </c>
      <c r="C698">
        <v>219.01</v>
      </c>
      <c r="D698">
        <f t="shared" si="23"/>
        <v>1.2528895053166803E-2</v>
      </c>
      <c r="E698">
        <v>1.6948365527488751E-2</v>
      </c>
      <c r="G698">
        <v>696</v>
      </c>
      <c r="H698">
        <f t="shared" ca="1" si="24"/>
        <v>-1.1171844175741368E-2</v>
      </c>
    </row>
    <row r="699" spans="2:8" x14ac:dyDescent="0.3">
      <c r="B699" s="113">
        <v>44176</v>
      </c>
      <c r="C699">
        <v>216.3</v>
      </c>
      <c r="D699">
        <f t="shared" si="23"/>
        <v>2.2385087587962267</v>
      </c>
      <c r="E699">
        <v>1.6925246826516329E-2</v>
      </c>
      <c r="G699">
        <v>697</v>
      </c>
      <c r="H699">
        <f t="shared" ca="1" si="24"/>
        <v>-3.511144160627596E-2</v>
      </c>
    </row>
    <row r="700" spans="2:8" x14ac:dyDescent="0.3">
      <c r="B700" s="113">
        <v>39615</v>
      </c>
      <c r="C700">
        <v>66.790000000000006</v>
      </c>
      <c r="D700">
        <f t="shared" si="23"/>
        <v>-0.68487850908233061</v>
      </c>
      <c r="E700">
        <v>1.6900121802679649E-2</v>
      </c>
      <c r="G700">
        <v>698</v>
      </c>
      <c r="H700">
        <f t="shared" ca="1" si="24"/>
        <v>2.2017294782035131E-2</v>
      </c>
    </row>
    <row r="701" spans="2:8" x14ac:dyDescent="0.3">
      <c r="B701" s="113">
        <v>41450</v>
      </c>
      <c r="C701">
        <v>211.95</v>
      </c>
      <c r="D701">
        <f t="shared" si="23"/>
        <v>9.9989621172807457</v>
      </c>
      <c r="E701">
        <v>1.6888163891954047E-2</v>
      </c>
      <c r="G701">
        <v>699</v>
      </c>
      <c r="H701">
        <f t="shared" ca="1" si="24"/>
        <v>-5.2885259612260784E-3</v>
      </c>
    </row>
    <row r="702" spans="2:8" x14ac:dyDescent="0.3">
      <c r="B702" s="113">
        <v>37956</v>
      </c>
      <c r="C702">
        <v>19.27</v>
      </c>
      <c r="D702">
        <f t="shared" si="23"/>
        <v>-0.74607985241797348</v>
      </c>
      <c r="E702">
        <v>1.688654353562007E-2</v>
      </c>
      <c r="G702">
        <v>700</v>
      </c>
      <c r="H702">
        <f t="shared" ca="1" si="24"/>
        <v>1.6941335587380382E-2</v>
      </c>
    </row>
    <row r="703" spans="2:8" x14ac:dyDescent="0.3">
      <c r="B703" s="113">
        <v>40046</v>
      </c>
      <c r="C703">
        <v>75.89</v>
      </c>
      <c r="D703">
        <f t="shared" si="23"/>
        <v>-0.65100022993791684</v>
      </c>
      <c r="E703">
        <v>1.6883290901782196E-2</v>
      </c>
      <c r="G703">
        <v>701</v>
      </c>
      <c r="H703">
        <f t="shared" ca="1" si="24"/>
        <v>-1.981673627848643E-2</v>
      </c>
    </row>
    <row r="704" spans="2:8" x14ac:dyDescent="0.3">
      <c r="B704" s="113">
        <v>42132</v>
      </c>
      <c r="C704">
        <v>217.45</v>
      </c>
      <c r="D704">
        <f t="shared" si="23"/>
        <v>13.438911022576359</v>
      </c>
      <c r="E704">
        <v>1.688178077066959E-2</v>
      </c>
      <c r="G704">
        <v>702</v>
      </c>
      <c r="H704">
        <f t="shared" ca="1" si="24"/>
        <v>-5.7646590803112213E-3</v>
      </c>
    </row>
    <row r="705" spans="2:8" x14ac:dyDescent="0.3">
      <c r="B705" s="113">
        <v>37636</v>
      </c>
      <c r="C705">
        <v>15.06</v>
      </c>
      <c r="D705">
        <f t="shared" si="23"/>
        <v>-0.59764894469676721</v>
      </c>
      <c r="E705">
        <v>1.6880486158001348E-2</v>
      </c>
      <c r="G705">
        <v>703</v>
      </c>
      <c r="H705">
        <f t="shared" ca="1" si="24"/>
        <v>-1.332590315004686E-2</v>
      </c>
    </row>
    <row r="706" spans="2:8" x14ac:dyDescent="0.3">
      <c r="B706" s="113">
        <v>38559</v>
      </c>
      <c r="C706">
        <v>37.43</v>
      </c>
      <c r="D706">
        <f t="shared" si="23"/>
        <v>-0.3545438868770478</v>
      </c>
      <c r="E706">
        <v>1.6843249117087677E-2</v>
      </c>
      <c r="G706">
        <v>704</v>
      </c>
      <c r="H706">
        <f t="shared" ca="1" si="24"/>
        <v>-2.350229261328662E-2</v>
      </c>
    </row>
    <row r="707" spans="2:8" x14ac:dyDescent="0.3">
      <c r="B707" s="113">
        <v>39331</v>
      </c>
      <c r="C707">
        <v>57.99</v>
      </c>
      <c r="D707">
        <f t="shared" ref="D707:D770" si="25">(C707-C708)/C708</f>
        <v>1.9024024024024027</v>
      </c>
      <c r="E707">
        <v>1.6833245660178867E-2</v>
      </c>
      <c r="G707">
        <v>705</v>
      </c>
      <c r="H707">
        <f t="shared" ca="1" si="24"/>
        <v>2.2330753741141542E-2</v>
      </c>
    </row>
    <row r="708" spans="2:8" x14ac:dyDescent="0.3">
      <c r="B708" s="113">
        <v>37907</v>
      </c>
      <c r="C708">
        <v>19.98</v>
      </c>
      <c r="D708">
        <f t="shared" si="25"/>
        <v>-0.90436988465036139</v>
      </c>
      <c r="E708">
        <v>1.6793893129771087E-2</v>
      </c>
      <c r="G708">
        <v>706</v>
      </c>
      <c r="H708">
        <f t="shared" ref="H708:H771" ca="1" si="26">_xlfn.NORM.INV(RAND(),$L$4,$L$6)</f>
        <v>1.4703890599851171E-2</v>
      </c>
    </row>
    <row r="709" spans="2:8" x14ac:dyDescent="0.3">
      <c r="B709" s="113">
        <v>42185</v>
      </c>
      <c r="C709">
        <v>208.93</v>
      </c>
      <c r="D709">
        <f t="shared" si="25"/>
        <v>2.5173400673400672</v>
      </c>
      <c r="E709">
        <v>1.6789955226786144E-2</v>
      </c>
      <c r="G709">
        <v>707</v>
      </c>
      <c r="H709">
        <f t="shared" ca="1" si="26"/>
        <v>-2.0397436852880757E-2</v>
      </c>
    </row>
    <row r="710" spans="2:8" x14ac:dyDescent="0.3">
      <c r="B710" s="113">
        <v>39650</v>
      </c>
      <c r="C710">
        <v>59.4</v>
      </c>
      <c r="D710">
        <f t="shared" si="25"/>
        <v>-0.74389928429766317</v>
      </c>
      <c r="E710">
        <v>1.6775077028414874E-2</v>
      </c>
      <c r="G710">
        <v>708</v>
      </c>
      <c r="H710">
        <f t="shared" ca="1" si="26"/>
        <v>1.240599168542836E-2</v>
      </c>
    </row>
    <row r="711" spans="2:8" x14ac:dyDescent="0.3">
      <c r="B711" s="113">
        <v>41841</v>
      </c>
      <c r="C711">
        <v>231.94</v>
      </c>
      <c r="D711">
        <f t="shared" si="25"/>
        <v>-4.6495375128468665E-2</v>
      </c>
      <c r="E711">
        <v>1.6745572505698726E-2</v>
      </c>
      <c r="G711">
        <v>709</v>
      </c>
      <c r="H711">
        <f t="shared" ca="1" si="26"/>
        <v>2.7235622500637463E-2</v>
      </c>
    </row>
    <row r="712" spans="2:8" x14ac:dyDescent="0.3">
      <c r="B712" s="113">
        <v>43844</v>
      </c>
      <c r="C712">
        <v>243.25</v>
      </c>
      <c r="D712">
        <f t="shared" si="25"/>
        <v>0.17189381895264252</v>
      </c>
      <c r="E712">
        <v>1.671891327063741E-2</v>
      </c>
      <c r="G712">
        <v>710</v>
      </c>
      <c r="H712">
        <f t="shared" ca="1" si="26"/>
        <v>2.132623389888387E-2</v>
      </c>
    </row>
    <row r="713" spans="2:8" x14ac:dyDescent="0.3">
      <c r="B713" s="113">
        <v>41381</v>
      </c>
      <c r="C713">
        <v>207.57</v>
      </c>
      <c r="D713">
        <f t="shared" si="25"/>
        <v>3.8634020618556697</v>
      </c>
      <c r="E713">
        <v>1.6702586206896537E-2</v>
      </c>
      <c r="G713">
        <v>711</v>
      </c>
      <c r="H713">
        <f t="shared" ca="1" si="26"/>
        <v>1.7250917451499613E-2</v>
      </c>
    </row>
    <row r="714" spans="2:8" x14ac:dyDescent="0.3">
      <c r="B714" s="113">
        <v>38665</v>
      </c>
      <c r="C714">
        <v>42.68</v>
      </c>
      <c r="D714">
        <f t="shared" si="25"/>
        <v>-0.83562487964567678</v>
      </c>
      <c r="E714">
        <v>1.6674606955693255E-2</v>
      </c>
      <c r="G714">
        <v>712</v>
      </c>
      <c r="H714">
        <f t="shared" ca="1" si="26"/>
        <v>-3.7793565525449657E-2</v>
      </c>
    </row>
    <row r="715" spans="2:8" x14ac:dyDescent="0.3">
      <c r="B715" s="113">
        <v>42758</v>
      </c>
      <c r="C715">
        <v>259.64999999999998</v>
      </c>
      <c r="D715">
        <f t="shared" si="25"/>
        <v>-2.4055628641232979E-2</v>
      </c>
      <c r="E715">
        <v>1.6640563821456428E-2</v>
      </c>
      <c r="G715">
        <v>713</v>
      </c>
      <c r="H715">
        <f t="shared" ca="1" si="26"/>
        <v>-5.5984709045992648E-3</v>
      </c>
    </row>
    <row r="716" spans="2:8" x14ac:dyDescent="0.3">
      <c r="B716" s="113">
        <v>43117</v>
      </c>
      <c r="C716">
        <v>266.05</v>
      </c>
      <c r="D716">
        <f t="shared" si="25"/>
        <v>0.15900675234153777</v>
      </c>
      <c r="E716">
        <v>1.6622086358425766E-2</v>
      </c>
      <c r="G716">
        <v>714</v>
      </c>
      <c r="H716">
        <f t="shared" ca="1" si="26"/>
        <v>2.7972481306930814E-3</v>
      </c>
    </row>
    <row r="717" spans="2:8" x14ac:dyDescent="0.3">
      <c r="B717" s="113">
        <v>42102</v>
      </c>
      <c r="C717">
        <v>229.55</v>
      </c>
      <c r="D717">
        <f t="shared" si="25"/>
        <v>0.19005650889107795</v>
      </c>
      <c r="E717">
        <v>1.6607617360496013E-2</v>
      </c>
      <c r="G717">
        <v>715</v>
      </c>
      <c r="H717">
        <f t="shared" ca="1" si="26"/>
        <v>1.8185058268731645E-2</v>
      </c>
    </row>
    <row r="718" spans="2:8" x14ac:dyDescent="0.3">
      <c r="B718" s="113">
        <v>42426</v>
      </c>
      <c r="C718">
        <v>192.89</v>
      </c>
      <c r="D718">
        <f t="shared" si="25"/>
        <v>0.52651155428933194</v>
      </c>
      <c r="E718">
        <v>1.6601665436913552E-2</v>
      </c>
      <c r="G718">
        <v>716</v>
      </c>
      <c r="H718">
        <f t="shared" ca="1" si="26"/>
        <v>2.1054051820826574E-2</v>
      </c>
    </row>
    <row r="719" spans="2:8" x14ac:dyDescent="0.3">
      <c r="B719" s="113">
        <v>40653</v>
      </c>
      <c r="C719">
        <v>126.36</v>
      </c>
      <c r="D719">
        <f t="shared" si="25"/>
        <v>-0.39453761379971247</v>
      </c>
      <c r="E719">
        <v>1.6572807723250219E-2</v>
      </c>
      <c r="G719">
        <v>717</v>
      </c>
      <c r="H719">
        <f t="shared" ca="1" si="26"/>
        <v>4.5468635269341508E-2</v>
      </c>
    </row>
    <row r="720" spans="2:8" x14ac:dyDescent="0.3">
      <c r="B720" s="113">
        <v>44299</v>
      </c>
      <c r="C720">
        <v>208.7</v>
      </c>
      <c r="D720">
        <f t="shared" si="25"/>
        <v>13.780453257790368</v>
      </c>
      <c r="E720">
        <v>1.6561130053580016E-2</v>
      </c>
      <c r="G720">
        <v>718</v>
      </c>
      <c r="H720">
        <f t="shared" ca="1" si="26"/>
        <v>1.7306823576587499E-2</v>
      </c>
    </row>
    <row r="721" spans="2:8" x14ac:dyDescent="0.3">
      <c r="B721" s="113">
        <v>37652</v>
      </c>
      <c r="C721">
        <v>14.12</v>
      </c>
      <c r="D721">
        <f t="shared" si="25"/>
        <v>-0.93447491762958834</v>
      </c>
      <c r="E721">
        <v>1.6558675305975424E-2</v>
      </c>
      <c r="G721">
        <v>719</v>
      </c>
      <c r="H721">
        <f t="shared" ca="1" si="26"/>
        <v>1.2628316703414376E-2</v>
      </c>
    </row>
    <row r="722" spans="2:8" x14ac:dyDescent="0.3">
      <c r="B722" s="113">
        <v>41820</v>
      </c>
      <c r="C722">
        <v>215.49</v>
      </c>
      <c r="D722">
        <f t="shared" si="25"/>
        <v>7.5545851528384276</v>
      </c>
      <c r="E722">
        <v>1.6558165864704308E-2</v>
      </c>
      <c r="G722">
        <v>720</v>
      </c>
      <c r="H722">
        <f t="shared" ca="1" si="26"/>
        <v>-8.4192734921088603E-3</v>
      </c>
    </row>
    <row r="723" spans="2:8" x14ac:dyDescent="0.3">
      <c r="B723" s="113">
        <v>38005</v>
      </c>
      <c r="C723">
        <v>25.19</v>
      </c>
      <c r="D723">
        <f t="shared" si="25"/>
        <v>-0.55961538461538463</v>
      </c>
      <c r="E723">
        <v>1.6545601291364009E-2</v>
      </c>
      <c r="G723">
        <v>721</v>
      </c>
      <c r="H723">
        <f t="shared" ca="1" si="26"/>
        <v>1.5323944033436954E-2</v>
      </c>
    </row>
    <row r="724" spans="2:8" x14ac:dyDescent="0.3">
      <c r="B724" s="113">
        <v>39300</v>
      </c>
      <c r="C724">
        <v>57.2</v>
      </c>
      <c r="D724">
        <f t="shared" si="25"/>
        <v>-0.59398069278818855</v>
      </c>
      <c r="E724">
        <v>1.652745690421183E-2</v>
      </c>
      <c r="G724">
        <v>722</v>
      </c>
      <c r="H724">
        <f t="shared" ca="1" si="26"/>
        <v>3.1131446727957184E-3</v>
      </c>
    </row>
    <row r="725" spans="2:8" x14ac:dyDescent="0.3">
      <c r="B725" s="113">
        <v>40982</v>
      </c>
      <c r="C725">
        <v>140.88</v>
      </c>
      <c r="D725">
        <f t="shared" si="25"/>
        <v>1.4356846473029043</v>
      </c>
      <c r="E725">
        <v>1.6523558698318723E-2</v>
      </c>
      <c r="G725">
        <v>723</v>
      </c>
      <c r="H725">
        <f t="shared" ca="1" si="26"/>
        <v>-3.5074331524240451E-3</v>
      </c>
    </row>
    <row r="726" spans="2:8" x14ac:dyDescent="0.3">
      <c r="B726" s="113">
        <v>39815</v>
      </c>
      <c r="C726">
        <v>57.84</v>
      </c>
      <c r="D726">
        <f t="shared" si="25"/>
        <v>-7.0395371263259329E-2</v>
      </c>
      <c r="E726">
        <v>1.6520210896309399E-2</v>
      </c>
      <c r="G726">
        <v>724</v>
      </c>
      <c r="H726">
        <f t="shared" ca="1" si="26"/>
        <v>-1.0902083376788427E-2</v>
      </c>
    </row>
    <row r="727" spans="2:8" x14ac:dyDescent="0.3">
      <c r="B727" s="113">
        <v>39412</v>
      </c>
      <c r="C727">
        <v>62.22</v>
      </c>
      <c r="D727">
        <f t="shared" si="25"/>
        <v>-0.66228831958315248</v>
      </c>
      <c r="E727">
        <v>1.6500571801993106E-2</v>
      </c>
      <c r="G727">
        <v>725</v>
      </c>
      <c r="H727">
        <f t="shared" ca="1" si="26"/>
        <v>1.7349311697751903E-3</v>
      </c>
    </row>
    <row r="728" spans="2:8" x14ac:dyDescent="0.3">
      <c r="B728" s="113">
        <v>41288</v>
      </c>
      <c r="C728">
        <v>184.24</v>
      </c>
      <c r="D728">
        <f t="shared" si="25"/>
        <v>-0.30514802941731084</v>
      </c>
      <c r="E728">
        <v>1.649655172413798E-2</v>
      </c>
      <c r="G728">
        <v>726</v>
      </c>
      <c r="H728">
        <f t="shared" ca="1" si="26"/>
        <v>3.0991231967249976E-2</v>
      </c>
    </row>
    <row r="729" spans="2:8" x14ac:dyDescent="0.3">
      <c r="B729" s="113">
        <v>43273</v>
      </c>
      <c r="C729">
        <v>265.14999999999998</v>
      </c>
      <c r="D729">
        <f t="shared" si="25"/>
        <v>0.211228358686218</v>
      </c>
      <c r="E729">
        <v>1.6484569676058863E-2</v>
      </c>
      <c r="G729">
        <v>727</v>
      </c>
      <c r="H729">
        <f t="shared" ca="1" si="26"/>
        <v>-8.4568061394980579E-3</v>
      </c>
    </row>
    <row r="730" spans="2:8" x14ac:dyDescent="0.3">
      <c r="B730" s="113">
        <v>41659</v>
      </c>
      <c r="C730">
        <v>218.91</v>
      </c>
      <c r="D730">
        <f t="shared" si="25"/>
        <v>0.56935981073912101</v>
      </c>
      <c r="E730">
        <v>1.6484026745913739E-2</v>
      </c>
      <c r="G730">
        <v>728</v>
      </c>
      <c r="H730">
        <f t="shared" ca="1" si="26"/>
        <v>-1.2949877238193252E-2</v>
      </c>
    </row>
    <row r="731" spans="2:8" x14ac:dyDescent="0.3">
      <c r="B731" s="113">
        <v>40974</v>
      </c>
      <c r="C731">
        <v>139.49</v>
      </c>
      <c r="D731">
        <f t="shared" si="25"/>
        <v>-0.4406303885792196</v>
      </c>
      <c r="E731">
        <v>1.6468702178824013E-2</v>
      </c>
      <c r="G731">
        <v>729</v>
      </c>
      <c r="H731">
        <f t="shared" ca="1" si="26"/>
        <v>1.4369209080653277E-3</v>
      </c>
    </row>
    <row r="732" spans="2:8" x14ac:dyDescent="0.3">
      <c r="B732" s="113">
        <v>41964</v>
      </c>
      <c r="C732">
        <v>249.37</v>
      </c>
      <c r="D732">
        <f t="shared" si="25"/>
        <v>0.26231333839534288</v>
      </c>
      <c r="E732">
        <v>1.6467615049117482E-2</v>
      </c>
      <c r="G732">
        <v>730</v>
      </c>
      <c r="H732">
        <f t="shared" ca="1" si="26"/>
        <v>2.6040760673024594E-2</v>
      </c>
    </row>
    <row r="733" spans="2:8" x14ac:dyDescent="0.3">
      <c r="B733" s="113">
        <v>44025</v>
      </c>
      <c r="C733">
        <v>197.55</v>
      </c>
      <c r="D733">
        <f t="shared" si="25"/>
        <v>-7.2578752171259475E-2</v>
      </c>
      <c r="E733">
        <v>1.6465140210959697E-2</v>
      </c>
      <c r="G733">
        <v>731</v>
      </c>
      <c r="H733">
        <f t="shared" ca="1" si="26"/>
        <v>5.7688618114568472E-3</v>
      </c>
    </row>
    <row r="734" spans="2:8" x14ac:dyDescent="0.3">
      <c r="B734" s="113">
        <v>42440</v>
      </c>
      <c r="C734">
        <v>213.01</v>
      </c>
      <c r="D734">
        <f t="shared" si="25"/>
        <v>-8.0148551194023421E-2</v>
      </c>
      <c r="E734">
        <v>1.6463065470509585E-2</v>
      </c>
      <c r="G734">
        <v>732</v>
      </c>
      <c r="H734">
        <f t="shared" ca="1" si="26"/>
        <v>-2.7798994156228384E-3</v>
      </c>
    </row>
    <row r="735" spans="2:8" x14ac:dyDescent="0.3">
      <c r="B735" s="113">
        <v>41876</v>
      </c>
      <c r="C735">
        <v>231.57</v>
      </c>
      <c r="D735">
        <f t="shared" si="25"/>
        <v>-0.12190960109206746</v>
      </c>
      <c r="E735">
        <v>1.6460363444824863E-2</v>
      </c>
      <c r="G735">
        <v>733</v>
      </c>
      <c r="H735">
        <f t="shared" ca="1" si="26"/>
        <v>1.6852827804097841E-4</v>
      </c>
    </row>
    <row r="736" spans="2:8" x14ac:dyDescent="0.3">
      <c r="B736" s="113">
        <v>41981</v>
      </c>
      <c r="C736">
        <v>263.72000000000003</v>
      </c>
      <c r="D736">
        <f t="shared" si="25"/>
        <v>-6.2495556345538515E-2</v>
      </c>
      <c r="E736">
        <v>1.645789169396816E-2</v>
      </c>
      <c r="G736">
        <v>734</v>
      </c>
      <c r="H736">
        <f t="shared" ca="1" si="26"/>
        <v>-3.3604532446115747E-3</v>
      </c>
    </row>
    <row r="737" spans="2:8" x14ac:dyDescent="0.3">
      <c r="B737" s="113">
        <v>42850</v>
      </c>
      <c r="C737">
        <v>281.3</v>
      </c>
      <c r="D737">
        <f t="shared" si="25"/>
        <v>2.8832136940916624</v>
      </c>
      <c r="E737">
        <v>1.6440831074977458E-2</v>
      </c>
      <c r="G737">
        <v>735</v>
      </c>
      <c r="H737">
        <f t="shared" ca="1" si="26"/>
        <v>4.6284098938217059E-3</v>
      </c>
    </row>
    <row r="738" spans="2:8" x14ac:dyDescent="0.3">
      <c r="B738" s="113">
        <v>39577</v>
      </c>
      <c r="C738">
        <v>72.44</v>
      </c>
      <c r="D738">
        <f t="shared" si="25"/>
        <v>-0.46593925095841932</v>
      </c>
      <c r="E738">
        <v>1.6416444506805131E-2</v>
      </c>
      <c r="G738">
        <v>736</v>
      </c>
      <c r="H738">
        <f t="shared" ca="1" si="26"/>
        <v>-9.5361614402111839E-5</v>
      </c>
    </row>
    <row r="739" spans="2:8" x14ac:dyDescent="0.3">
      <c r="B739" s="113">
        <v>40931</v>
      </c>
      <c r="C739">
        <v>135.63999999999999</v>
      </c>
      <c r="D739">
        <f t="shared" si="25"/>
        <v>1.3013233797081776</v>
      </c>
      <c r="E739">
        <v>1.6410640689396763E-2</v>
      </c>
      <c r="G739">
        <v>737</v>
      </c>
      <c r="H739">
        <f t="shared" ca="1" si="26"/>
        <v>-1.5814314366711695E-2</v>
      </c>
    </row>
    <row r="740" spans="2:8" x14ac:dyDescent="0.3">
      <c r="B740" s="113">
        <v>39332</v>
      </c>
      <c r="C740">
        <v>58.94</v>
      </c>
      <c r="D740">
        <f t="shared" si="25"/>
        <v>-0.56674507497794768</v>
      </c>
      <c r="E740">
        <v>1.6382134850836276E-2</v>
      </c>
      <c r="G740">
        <v>738</v>
      </c>
      <c r="H740">
        <f t="shared" ca="1" si="26"/>
        <v>5.232857400254691E-3</v>
      </c>
    </row>
    <row r="741" spans="2:8" x14ac:dyDescent="0.3">
      <c r="B741" s="113">
        <v>40830</v>
      </c>
      <c r="C741">
        <v>136.04</v>
      </c>
      <c r="D741">
        <f t="shared" si="25"/>
        <v>-0.40030857394754243</v>
      </c>
      <c r="E741">
        <v>1.6361598804632036E-2</v>
      </c>
      <c r="G741">
        <v>739</v>
      </c>
      <c r="H741">
        <f t="shared" ca="1" si="26"/>
        <v>-9.8623642089534736E-4</v>
      </c>
    </row>
    <row r="742" spans="2:8" x14ac:dyDescent="0.3">
      <c r="B742" s="113">
        <v>44501</v>
      </c>
      <c r="C742">
        <v>226.85</v>
      </c>
      <c r="D742">
        <f t="shared" si="25"/>
        <v>8.8630434782608685</v>
      </c>
      <c r="E742">
        <v>1.6353046594982105E-2</v>
      </c>
      <c r="G742">
        <v>740</v>
      </c>
      <c r="H742">
        <f t="shared" ca="1" si="26"/>
        <v>3.7941524041614758E-2</v>
      </c>
    </row>
    <row r="743" spans="2:8" x14ac:dyDescent="0.3">
      <c r="B743" s="113">
        <v>38229</v>
      </c>
      <c r="C743">
        <v>23</v>
      </c>
      <c r="D743">
        <f t="shared" si="25"/>
        <v>-0.60730749530476358</v>
      </c>
      <c r="E743">
        <v>1.6349977905435308E-2</v>
      </c>
      <c r="G743">
        <v>741</v>
      </c>
      <c r="H743">
        <f t="shared" ca="1" si="26"/>
        <v>-3.846437528078847E-3</v>
      </c>
    </row>
    <row r="744" spans="2:8" x14ac:dyDescent="0.3">
      <c r="B744" s="113">
        <v>38778</v>
      </c>
      <c r="C744">
        <v>58.57</v>
      </c>
      <c r="D744">
        <f t="shared" si="25"/>
        <v>-0.56534322820037108</v>
      </c>
      <c r="E744">
        <v>1.631094915842439E-2</v>
      </c>
      <c r="G744">
        <v>742</v>
      </c>
      <c r="H744">
        <f t="shared" ca="1" si="26"/>
        <v>-1.4879418863981126E-2</v>
      </c>
    </row>
    <row r="745" spans="2:8" x14ac:dyDescent="0.3">
      <c r="B745" s="113">
        <v>40788</v>
      </c>
      <c r="C745">
        <v>134.75</v>
      </c>
      <c r="D745">
        <f t="shared" si="25"/>
        <v>-0.56078878748370276</v>
      </c>
      <c r="E745">
        <v>1.629082132890864E-2</v>
      </c>
      <c r="G745">
        <v>743</v>
      </c>
      <c r="H745">
        <f t="shared" ca="1" si="26"/>
        <v>-3.705921389264562E-3</v>
      </c>
    </row>
    <row r="746" spans="2:8" x14ac:dyDescent="0.3">
      <c r="B746" s="113">
        <v>42902</v>
      </c>
      <c r="C746">
        <v>306.8</v>
      </c>
      <c r="D746">
        <f t="shared" si="25"/>
        <v>0.52979306906008472</v>
      </c>
      <c r="E746">
        <v>1.6230539913878881E-2</v>
      </c>
      <c r="G746">
        <v>744</v>
      </c>
      <c r="H746">
        <f t="shared" ca="1" si="26"/>
        <v>1.953781578800445E-3</v>
      </c>
    </row>
    <row r="747" spans="2:8" x14ac:dyDescent="0.3">
      <c r="B747" s="113">
        <v>43983</v>
      </c>
      <c r="C747">
        <v>200.55</v>
      </c>
      <c r="D747">
        <f t="shared" si="25"/>
        <v>2.8941747572815535</v>
      </c>
      <c r="E747">
        <v>1.6214846719027197E-2</v>
      </c>
      <c r="G747">
        <v>745</v>
      </c>
      <c r="H747">
        <f t="shared" ca="1" si="26"/>
        <v>1.3325570636956443E-2</v>
      </c>
    </row>
    <row r="748" spans="2:8" x14ac:dyDescent="0.3">
      <c r="B748" s="113">
        <v>39276</v>
      </c>
      <c r="C748">
        <v>51.5</v>
      </c>
      <c r="D748">
        <f t="shared" si="25"/>
        <v>-0.45698017714044709</v>
      </c>
      <c r="E748">
        <v>1.6179952644041047E-2</v>
      </c>
      <c r="G748">
        <v>746</v>
      </c>
      <c r="H748">
        <f t="shared" ca="1" si="26"/>
        <v>6.9127899637204688E-3</v>
      </c>
    </row>
    <row r="749" spans="2:8" x14ac:dyDescent="0.3">
      <c r="B749" s="113">
        <v>40343</v>
      </c>
      <c r="C749">
        <v>94.84</v>
      </c>
      <c r="D749">
        <f t="shared" si="25"/>
        <v>-0.57470852017937213</v>
      </c>
      <c r="E749">
        <v>1.6179149255330604E-2</v>
      </c>
      <c r="G749">
        <v>747</v>
      </c>
      <c r="H749">
        <f t="shared" ca="1" si="26"/>
        <v>-5.2189330051943733E-2</v>
      </c>
    </row>
    <row r="750" spans="2:8" x14ac:dyDescent="0.3">
      <c r="B750" s="113">
        <v>44607</v>
      </c>
      <c r="C750">
        <v>223</v>
      </c>
      <c r="D750">
        <f t="shared" si="25"/>
        <v>-0.13482056256062075</v>
      </c>
      <c r="E750">
        <v>1.6176805650489914E-2</v>
      </c>
      <c r="G750">
        <v>748</v>
      </c>
      <c r="H750">
        <f t="shared" ca="1" si="26"/>
        <v>-2.1303599062392105E-2</v>
      </c>
    </row>
    <row r="751" spans="2:8" x14ac:dyDescent="0.3">
      <c r="B751" s="113">
        <v>43685</v>
      </c>
      <c r="C751">
        <v>257.75</v>
      </c>
      <c r="D751">
        <f t="shared" si="25"/>
        <v>0.12530015280506435</v>
      </c>
      <c r="E751">
        <v>1.6164005519416495E-2</v>
      </c>
      <c r="G751">
        <v>749</v>
      </c>
      <c r="H751">
        <f t="shared" ca="1" si="26"/>
        <v>2.5343918163456849E-2</v>
      </c>
    </row>
    <row r="752" spans="2:8" x14ac:dyDescent="0.3">
      <c r="B752" s="113">
        <v>41564</v>
      </c>
      <c r="C752">
        <v>229.05</v>
      </c>
      <c r="D752">
        <f t="shared" si="25"/>
        <v>0.74050151975683909</v>
      </c>
      <c r="E752">
        <v>1.6148351892107782E-2</v>
      </c>
      <c r="G752">
        <v>750</v>
      </c>
      <c r="H752">
        <f t="shared" ca="1" si="26"/>
        <v>-1.8010685811711865E-3</v>
      </c>
    </row>
    <row r="753" spans="2:8" x14ac:dyDescent="0.3">
      <c r="B753" s="113">
        <v>40806</v>
      </c>
      <c r="C753">
        <v>131.6</v>
      </c>
      <c r="D753">
        <f t="shared" si="25"/>
        <v>-0.32857142857142863</v>
      </c>
      <c r="E753">
        <v>1.61377499806965E-2</v>
      </c>
      <c r="G753">
        <v>751</v>
      </c>
      <c r="H753">
        <f t="shared" ca="1" si="26"/>
        <v>5.9810926415651191E-3</v>
      </c>
    </row>
    <row r="754" spans="2:8" x14ac:dyDescent="0.3">
      <c r="B754" s="113">
        <v>42429</v>
      </c>
      <c r="C754">
        <v>196</v>
      </c>
      <c r="D754">
        <f t="shared" si="25"/>
        <v>1.2851812988224323</v>
      </c>
      <c r="E754">
        <v>1.6123179013945842E-2</v>
      </c>
      <c r="G754">
        <v>752</v>
      </c>
      <c r="H754">
        <f t="shared" ca="1" si="26"/>
        <v>1.5912823007822718E-2</v>
      </c>
    </row>
    <row r="755" spans="2:8" x14ac:dyDescent="0.3">
      <c r="B755" s="113">
        <v>40135</v>
      </c>
      <c r="C755">
        <v>85.77</v>
      </c>
      <c r="D755">
        <f t="shared" si="25"/>
        <v>0.17028243962341369</v>
      </c>
      <c r="E755">
        <v>1.6111835090629065E-2</v>
      </c>
      <c r="G755">
        <v>753</v>
      </c>
      <c r="H755">
        <f t="shared" ca="1" si="26"/>
        <v>2.1164956704714563E-2</v>
      </c>
    </row>
    <row r="756" spans="2:8" x14ac:dyDescent="0.3">
      <c r="B756" s="113">
        <v>39449</v>
      </c>
      <c r="C756">
        <v>73.290000000000006</v>
      </c>
      <c r="D756">
        <f t="shared" si="25"/>
        <v>-0.71359906213364599</v>
      </c>
      <c r="E756">
        <v>1.6082074032996132E-2</v>
      </c>
      <c r="G756">
        <v>754</v>
      </c>
      <c r="H756">
        <f t="shared" ca="1" si="26"/>
        <v>-1.0256278698972457E-2</v>
      </c>
    </row>
    <row r="757" spans="2:8" x14ac:dyDescent="0.3">
      <c r="B757" s="113">
        <v>42628</v>
      </c>
      <c r="C757">
        <v>255.9</v>
      </c>
      <c r="D757">
        <f t="shared" si="25"/>
        <v>0.29766734279918877</v>
      </c>
      <c r="E757">
        <v>1.608100059559266E-2</v>
      </c>
      <c r="G757">
        <v>755</v>
      </c>
      <c r="H757">
        <f t="shared" ca="1" si="26"/>
        <v>-9.2206962890873413E-3</v>
      </c>
    </row>
    <row r="758" spans="2:8" x14ac:dyDescent="0.3">
      <c r="B758" s="113">
        <v>41298</v>
      </c>
      <c r="C758">
        <v>197.2</v>
      </c>
      <c r="D758">
        <f t="shared" si="25"/>
        <v>2.346911065852002</v>
      </c>
      <c r="E758">
        <v>1.6075845012365912E-2</v>
      </c>
      <c r="G758">
        <v>756</v>
      </c>
      <c r="H758">
        <f t="shared" ca="1" si="26"/>
        <v>-2.1895476749634237E-2</v>
      </c>
    </row>
    <row r="759" spans="2:8" x14ac:dyDescent="0.3">
      <c r="B759" s="113">
        <v>39897</v>
      </c>
      <c r="C759">
        <v>58.92</v>
      </c>
      <c r="D759">
        <f t="shared" si="25"/>
        <v>-0.72248127737741974</v>
      </c>
      <c r="E759">
        <v>1.6037247801345054E-2</v>
      </c>
      <c r="G759">
        <v>757</v>
      </c>
      <c r="H759">
        <f t="shared" ca="1" si="26"/>
        <v>7.9680363333840976E-3</v>
      </c>
    </row>
    <row r="760" spans="2:8" x14ac:dyDescent="0.3">
      <c r="B760" s="113">
        <v>42437</v>
      </c>
      <c r="C760">
        <v>212.31</v>
      </c>
      <c r="D760">
        <f t="shared" si="25"/>
        <v>10.162460567823343</v>
      </c>
      <c r="E760">
        <v>1.6031776416539023E-2</v>
      </c>
      <c r="G760">
        <v>758</v>
      </c>
      <c r="H760">
        <f t="shared" ca="1" si="26"/>
        <v>-5.5554812522634073E-3</v>
      </c>
    </row>
    <row r="761" spans="2:8" x14ac:dyDescent="0.3">
      <c r="B761" s="113">
        <v>38162</v>
      </c>
      <c r="C761">
        <v>19.02</v>
      </c>
      <c r="D761">
        <f t="shared" si="25"/>
        <v>-0.90968232109786784</v>
      </c>
      <c r="E761">
        <v>1.6025641025641066E-2</v>
      </c>
      <c r="G761">
        <v>759</v>
      </c>
      <c r="H761">
        <f t="shared" ca="1" si="26"/>
        <v>-6.053318274032409E-3</v>
      </c>
    </row>
    <row r="762" spans="2:8" x14ac:dyDescent="0.3">
      <c r="B762" s="113">
        <v>42495</v>
      </c>
      <c r="C762">
        <v>210.59</v>
      </c>
      <c r="D762">
        <f t="shared" si="25"/>
        <v>13.423972602739727</v>
      </c>
      <c r="E762">
        <v>1.6017754619578294E-2</v>
      </c>
      <c r="G762">
        <v>760</v>
      </c>
      <c r="H762">
        <f t="shared" ca="1" si="26"/>
        <v>3.0721900043233233E-2</v>
      </c>
    </row>
    <row r="763" spans="2:8" x14ac:dyDescent="0.3">
      <c r="B763" s="113">
        <v>37600</v>
      </c>
      <c r="C763">
        <v>14.6</v>
      </c>
      <c r="D763">
        <f t="shared" si="25"/>
        <v>-0.93524062985140832</v>
      </c>
      <c r="E763">
        <v>1.6005567153792654E-2</v>
      </c>
      <c r="G763">
        <v>761</v>
      </c>
      <c r="H763">
        <f t="shared" ca="1" si="26"/>
        <v>-1.7847104082146448E-2</v>
      </c>
    </row>
    <row r="764" spans="2:8" x14ac:dyDescent="0.3">
      <c r="B764" s="113">
        <v>44532</v>
      </c>
      <c r="C764">
        <v>225.45</v>
      </c>
      <c r="D764">
        <f t="shared" si="25"/>
        <v>13.77391874180865</v>
      </c>
      <c r="E764">
        <v>1.5998197386209927E-2</v>
      </c>
      <c r="G764">
        <v>762</v>
      </c>
      <c r="H764">
        <f t="shared" ca="1" si="26"/>
        <v>-2.3250344417604991E-2</v>
      </c>
    </row>
    <row r="765" spans="2:8" x14ac:dyDescent="0.3">
      <c r="B765" s="113">
        <v>37777</v>
      </c>
      <c r="C765">
        <v>15.26</v>
      </c>
      <c r="D765">
        <f t="shared" si="25"/>
        <v>-0.95219298245614037</v>
      </c>
      <c r="E765">
        <v>1.59786950732357E-2</v>
      </c>
      <c r="G765">
        <v>763</v>
      </c>
      <c r="H765">
        <f t="shared" ca="1" si="26"/>
        <v>7.027622681129257E-3</v>
      </c>
    </row>
    <row r="766" spans="2:8" x14ac:dyDescent="0.3">
      <c r="B766" s="113">
        <v>42888</v>
      </c>
      <c r="C766">
        <v>319.2</v>
      </c>
      <c r="D766">
        <f t="shared" si="25"/>
        <v>5.0172725777266003E-2</v>
      </c>
      <c r="E766">
        <v>1.5913430935709738E-2</v>
      </c>
      <c r="G766">
        <v>764</v>
      </c>
      <c r="H766">
        <f t="shared" ca="1" si="26"/>
        <v>9.865647294136656E-3</v>
      </c>
    </row>
    <row r="767" spans="2:8" x14ac:dyDescent="0.3">
      <c r="B767" s="113">
        <v>43315</v>
      </c>
      <c r="C767">
        <v>303.95</v>
      </c>
      <c r="D767">
        <f t="shared" si="25"/>
        <v>0.37639813431146119</v>
      </c>
      <c r="E767">
        <v>1.5875668449197862E-2</v>
      </c>
      <c r="G767">
        <v>765</v>
      </c>
      <c r="H767">
        <f t="shared" ca="1" si="26"/>
        <v>-3.0394661390068965E-3</v>
      </c>
    </row>
    <row r="768" spans="2:8" x14ac:dyDescent="0.3">
      <c r="B768" s="113">
        <v>41577</v>
      </c>
      <c r="C768">
        <v>220.83</v>
      </c>
      <c r="D768">
        <f t="shared" si="25"/>
        <v>3.0107155830003633</v>
      </c>
      <c r="E768">
        <v>1.587082528291479E-2</v>
      </c>
      <c r="G768">
        <v>766</v>
      </c>
      <c r="H768">
        <f t="shared" ca="1" si="26"/>
        <v>-4.0583805969755922E-2</v>
      </c>
    </row>
    <row r="769" spans="2:8" x14ac:dyDescent="0.3">
      <c r="B769" s="113">
        <v>38775</v>
      </c>
      <c r="C769">
        <v>55.06</v>
      </c>
      <c r="D769">
        <f t="shared" si="25"/>
        <v>-0.73942262186464747</v>
      </c>
      <c r="E769">
        <v>1.5867158671586706E-2</v>
      </c>
      <c r="G769">
        <v>767</v>
      </c>
      <c r="H769">
        <f t="shared" ca="1" si="26"/>
        <v>2.5617284266150377E-3</v>
      </c>
    </row>
    <row r="770" spans="2:8" x14ac:dyDescent="0.3">
      <c r="B770" s="113">
        <v>44439</v>
      </c>
      <c r="C770">
        <v>211.3</v>
      </c>
      <c r="D770">
        <f t="shared" si="25"/>
        <v>-7.0922921338433781E-2</v>
      </c>
      <c r="E770">
        <v>1.586538461538467E-2</v>
      </c>
      <c r="G770">
        <v>768</v>
      </c>
      <c r="H770">
        <f t="shared" ca="1" si="26"/>
        <v>7.5215635934114252E-3</v>
      </c>
    </row>
    <row r="771" spans="2:8" x14ac:dyDescent="0.3">
      <c r="B771" s="113">
        <v>42317</v>
      </c>
      <c r="C771">
        <v>227.43</v>
      </c>
      <c r="D771">
        <f t="shared" ref="D771:D834" si="27">(C771-C772)/C772</f>
        <v>2.9844078486334973</v>
      </c>
      <c r="E771">
        <v>1.585670895122392E-2</v>
      </c>
      <c r="G771">
        <v>769</v>
      </c>
      <c r="H771">
        <f t="shared" ca="1" si="26"/>
        <v>6.7188944365846283E-3</v>
      </c>
    </row>
    <row r="772" spans="2:8" x14ac:dyDescent="0.3">
      <c r="B772" s="113">
        <v>39100</v>
      </c>
      <c r="C772">
        <v>57.08</v>
      </c>
      <c r="D772">
        <f t="shared" si="27"/>
        <v>-0.7532209252053611</v>
      </c>
      <c r="E772">
        <v>1.5839117280654933E-2</v>
      </c>
      <c r="G772">
        <v>770</v>
      </c>
      <c r="H772">
        <f t="shared" ref="H772:H835" ca="1" si="28">_xlfn.NORM.INV(RAND(),$L$4,$L$6)</f>
        <v>1.5555489443272211E-2</v>
      </c>
    </row>
    <row r="773" spans="2:8" x14ac:dyDescent="0.3">
      <c r="B773" s="113">
        <v>44525</v>
      </c>
      <c r="C773">
        <v>231.3</v>
      </c>
      <c r="D773">
        <f t="shared" si="27"/>
        <v>-0.16885263573969603</v>
      </c>
      <c r="E773">
        <v>1.5810276679841997E-2</v>
      </c>
      <c r="G773">
        <v>771</v>
      </c>
      <c r="H773">
        <f t="shared" ca="1" si="28"/>
        <v>1.2956546418483336E-2</v>
      </c>
    </row>
    <row r="774" spans="2:8" x14ac:dyDescent="0.3">
      <c r="B774" s="113">
        <v>44701</v>
      </c>
      <c r="C774">
        <v>278.29000000000002</v>
      </c>
      <c r="D774">
        <f t="shared" si="27"/>
        <v>11.71892138939671</v>
      </c>
      <c r="E774">
        <v>1.5805227040444011E-2</v>
      </c>
      <c r="G774">
        <v>772</v>
      </c>
      <c r="H774">
        <f t="shared" ca="1" si="28"/>
        <v>2.4297390935761345E-2</v>
      </c>
    </row>
    <row r="775" spans="2:8" x14ac:dyDescent="0.3">
      <c r="B775" s="113">
        <v>38023</v>
      </c>
      <c r="C775">
        <v>21.88</v>
      </c>
      <c r="D775">
        <f t="shared" si="27"/>
        <v>-0.22876277758195282</v>
      </c>
      <c r="E775">
        <v>1.5784586815227479E-2</v>
      </c>
      <c r="G775">
        <v>773</v>
      </c>
      <c r="H775">
        <f t="shared" ca="1" si="28"/>
        <v>1.7845111362937968E-2</v>
      </c>
    </row>
    <row r="776" spans="2:8" x14ac:dyDescent="0.3">
      <c r="B776" s="113">
        <v>38405</v>
      </c>
      <c r="C776">
        <v>28.37</v>
      </c>
      <c r="D776">
        <f t="shared" si="27"/>
        <v>-0.89672369858026935</v>
      </c>
      <c r="E776">
        <v>1.5753669889008282E-2</v>
      </c>
      <c r="G776">
        <v>774</v>
      </c>
      <c r="H776">
        <f t="shared" ca="1" si="28"/>
        <v>-3.986929827172467E-3</v>
      </c>
    </row>
    <row r="777" spans="2:8" x14ac:dyDescent="0.3">
      <c r="B777" s="113">
        <v>43445</v>
      </c>
      <c r="C777">
        <v>274.7</v>
      </c>
      <c r="D777">
        <f t="shared" si="27"/>
        <v>18.304286718200981</v>
      </c>
      <c r="E777">
        <v>1.5714549824366798E-2</v>
      </c>
      <c r="G777">
        <v>775</v>
      </c>
      <c r="H777">
        <f t="shared" ca="1" si="28"/>
        <v>1.895350530514665E-2</v>
      </c>
    </row>
    <row r="778" spans="2:8" x14ac:dyDescent="0.3">
      <c r="B778" s="113">
        <v>37585</v>
      </c>
      <c r="C778">
        <v>14.23</v>
      </c>
      <c r="D778">
        <f t="shared" si="27"/>
        <v>-0.93909954634939663</v>
      </c>
      <c r="E778">
        <v>1.5703069236259859E-2</v>
      </c>
      <c r="G778">
        <v>776</v>
      </c>
      <c r="H778">
        <f t="shared" ca="1" si="28"/>
        <v>-2.5640816153940482E-2</v>
      </c>
    </row>
    <row r="779" spans="2:8" x14ac:dyDescent="0.3">
      <c r="B779" s="113">
        <v>41928</v>
      </c>
      <c r="C779">
        <v>233.66</v>
      </c>
      <c r="D779">
        <f t="shared" si="27"/>
        <v>1.2278794813119756</v>
      </c>
      <c r="E779">
        <v>1.5692240817213585E-2</v>
      </c>
      <c r="G779">
        <v>777</v>
      </c>
      <c r="H779">
        <f t="shared" ca="1" si="28"/>
        <v>3.6802167342155213E-3</v>
      </c>
    </row>
    <row r="780" spans="2:8" x14ac:dyDescent="0.3">
      <c r="B780" s="113">
        <v>40595</v>
      </c>
      <c r="C780">
        <v>104.88</v>
      </c>
      <c r="D780">
        <f t="shared" si="27"/>
        <v>-0.59576026209288879</v>
      </c>
      <c r="E780">
        <v>1.5688553166763416E-2</v>
      </c>
      <c r="G780">
        <v>778</v>
      </c>
      <c r="H780">
        <f t="shared" ca="1" si="28"/>
        <v>6.6867752962939788E-3</v>
      </c>
    </row>
    <row r="781" spans="2:8" x14ac:dyDescent="0.3">
      <c r="B781" s="113">
        <v>44656</v>
      </c>
      <c r="C781">
        <v>259.45</v>
      </c>
      <c r="D781">
        <f t="shared" si="27"/>
        <v>8.0276470833159849E-2</v>
      </c>
      <c r="E781">
        <v>1.5658641612840085E-2</v>
      </c>
      <c r="G781">
        <v>779</v>
      </c>
      <c r="H781">
        <f t="shared" ca="1" si="28"/>
        <v>-1.1630340350990498E-2</v>
      </c>
    </row>
    <row r="782" spans="2:8" x14ac:dyDescent="0.3">
      <c r="B782" s="113">
        <v>42544</v>
      </c>
      <c r="C782">
        <v>240.17</v>
      </c>
      <c r="D782">
        <f t="shared" si="27"/>
        <v>-0.14999115200849414</v>
      </c>
      <c r="E782">
        <v>1.5646805091554906E-2</v>
      </c>
      <c r="G782">
        <v>780</v>
      </c>
      <c r="H782">
        <f t="shared" ca="1" si="28"/>
        <v>2.2470699895926361E-2</v>
      </c>
    </row>
    <row r="783" spans="2:8" x14ac:dyDescent="0.3">
      <c r="B783" s="113">
        <v>43529</v>
      </c>
      <c r="C783">
        <v>282.55</v>
      </c>
      <c r="D783">
        <f t="shared" si="27"/>
        <v>0.14415873658635361</v>
      </c>
      <c r="E783">
        <v>1.5636232925952634E-2</v>
      </c>
      <c r="G783">
        <v>781</v>
      </c>
      <c r="H783">
        <f t="shared" ca="1" si="28"/>
        <v>-3.4639751289542403E-3</v>
      </c>
    </row>
    <row r="784" spans="2:8" x14ac:dyDescent="0.3">
      <c r="B784" s="113">
        <v>43804</v>
      </c>
      <c r="C784">
        <v>246.95</v>
      </c>
      <c r="D784">
        <f t="shared" si="27"/>
        <v>-8.4861960348341786E-2</v>
      </c>
      <c r="E784">
        <v>1.5628213037219753E-2</v>
      </c>
      <c r="G784">
        <v>782</v>
      </c>
      <c r="H784">
        <f t="shared" ca="1" si="28"/>
        <v>-1.7699730572372188E-2</v>
      </c>
    </row>
    <row r="785" spans="2:8" x14ac:dyDescent="0.3">
      <c r="B785" s="113">
        <v>43040</v>
      </c>
      <c r="C785">
        <v>269.85000000000002</v>
      </c>
      <c r="D785">
        <f t="shared" si="27"/>
        <v>0.98404529078744241</v>
      </c>
      <c r="E785">
        <v>1.5619119307489779E-2</v>
      </c>
      <c r="G785">
        <v>783</v>
      </c>
      <c r="H785">
        <f t="shared" ca="1" si="28"/>
        <v>3.3861849973661684E-3</v>
      </c>
    </row>
    <row r="786" spans="2:8" x14ac:dyDescent="0.3">
      <c r="B786" s="113">
        <v>40918</v>
      </c>
      <c r="C786">
        <v>136.01</v>
      </c>
      <c r="D786">
        <f t="shared" si="27"/>
        <v>-1.9079768107435188E-3</v>
      </c>
      <c r="E786">
        <v>1.560633213859023E-2</v>
      </c>
      <c r="G786">
        <v>784</v>
      </c>
      <c r="H786">
        <f t="shared" ca="1" si="28"/>
        <v>1.5657252656430889E-2</v>
      </c>
    </row>
    <row r="787" spans="2:8" x14ac:dyDescent="0.3">
      <c r="B787" s="113">
        <v>40946</v>
      </c>
      <c r="C787">
        <v>136.27000000000001</v>
      </c>
      <c r="D787">
        <f t="shared" si="27"/>
        <v>-4.619584237418628E-2</v>
      </c>
      <c r="E787">
        <v>1.5576091816962314E-2</v>
      </c>
      <c r="G787">
        <v>785</v>
      </c>
      <c r="H787">
        <f t="shared" ca="1" si="28"/>
        <v>-1.2346482740942495E-3</v>
      </c>
    </row>
    <row r="788" spans="2:8" x14ac:dyDescent="0.3">
      <c r="B788" s="113">
        <v>40844</v>
      </c>
      <c r="C788">
        <v>142.87</v>
      </c>
      <c r="D788">
        <f t="shared" si="27"/>
        <v>0.36822447806933539</v>
      </c>
      <c r="E788">
        <v>1.556724481091838E-2</v>
      </c>
      <c r="G788">
        <v>786</v>
      </c>
      <c r="H788">
        <f t="shared" ca="1" si="28"/>
        <v>1.5024290616636377E-2</v>
      </c>
    </row>
    <row r="789" spans="2:8" x14ac:dyDescent="0.3">
      <c r="B789" s="113">
        <v>40588</v>
      </c>
      <c r="C789">
        <v>104.42</v>
      </c>
      <c r="D789">
        <f t="shared" si="27"/>
        <v>-0.1212656736514348</v>
      </c>
      <c r="E789">
        <v>1.5561174868702671E-2</v>
      </c>
      <c r="G789">
        <v>787</v>
      </c>
      <c r="H789">
        <f t="shared" ca="1" si="28"/>
        <v>-1.4173885462140165E-2</v>
      </c>
    </row>
    <row r="790" spans="2:8" x14ac:dyDescent="0.3">
      <c r="B790" s="113">
        <v>40445</v>
      </c>
      <c r="C790">
        <v>118.83</v>
      </c>
      <c r="D790">
        <f t="shared" si="27"/>
        <v>7.2635605006954105</v>
      </c>
      <c r="E790">
        <v>1.5554226134518359E-2</v>
      </c>
      <c r="G790">
        <v>788</v>
      </c>
      <c r="H790">
        <f t="shared" ca="1" si="28"/>
        <v>3.0337246220031752E-2</v>
      </c>
    </row>
    <row r="791" spans="2:8" x14ac:dyDescent="0.3">
      <c r="B791" s="113">
        <v>37680</v>
      </c>
      <c r="C791">
        <v>14.38</v>
      </c>
      <c r="D791">
        <f t="shared" si="27"/>
        <v>-0.77580293108824439</v>
      </c>
      <c r="E791">
        <v>1.5536723163841852E-2</v>
      </c>
      <c r="G791">
        <v>789</v>
      </c>
      <c r="H791">
        <f t="shared" ca="1" si="28"/>
        <v>-2.394067075548908E-3</v>
      </c>
    </row>
    <row r="792" spans="2:8" x14ac:dyDescent="0.3">
      <c r="B792" s="113">
        <v>39930</v>
      </c>
      <c r="C792">
        <v>64.14</v>
      </c>
      <c r="D792">
        <f t="shared" si="27"/>
        <v>1.2785079928952043</v>
      </c>
      <c r="E792">
        <v>1.5516149461684675E-2</v>
      </c>
      <c r="G792">
        <v>790</v>
      </c>
      <c r="H792">
        <f t="shared" ca="1" si="28"/>
        <v>-1.4171981454023643E-2</v>
      </c>
    </row>
    <row r="793" spans="2:8" x14ac:dyDescent="0.3">
      <c r="B793" s="113">
        <v>38316</v>
      </c>
      <c r="C793">
        <v>28.15</v>
      </c>
      <c r="D793">
        <f t="shared" si="27"/>
        <v>-0.58271568336792168</v>
      </c>
      <c r="E793">
        <v>1.5512265512265503E-2</v>
      </c>
      <c r="G793">
        <v>791</v>
      </c>
      <c r="H793">
        <f t="shared" ca="1" si="28"/>
        <v>2.1466517145415392E-2</v>
      </c>
    </row>
    <row r="794" spans="2:8" x14ac:dyDescent="0.3">
      <c r="B794" s="113">
        <v>38831</v>
      </c>
      <c r="C794">
        <v>67.459999999999994</v>
      </c>
      <c r="D794">
        <f t="shared" si="27"/>
        <v>2.4313326551373344</v>
      </c>
      <c r="E794">
        <v>1.5505042902302977E-2</v>
      </c>
      <c r="G794">
        <v>792</v>
      </c>
      <c r="H794">
        <f t="shared" ca="1" si="28"/>
        <v>1.9872104254021919E-3</v>
      </c>
    </row>
    <row r="795" spans="2:8" x14ac:dyDescent="0.3">
      <c r="B795" s="113">
        <v>38145</v>
      </c>
      <c r="C795">
        <v>19.66</v>
      </c>
      <c r="D795">
        <f t="shared" si="27"/>
        <v>-0.85459655350935582</v>
      </c>
      <c r="E795">
        <v>1.5495867768595078E-2</v>
      </c>
      <c r="G795">
        <v>793</v>
      </c>
      <c r="H795">
        <f t="shared" ca="1" si="28"/>
        <v>-4.4368320394703863E-2</v>
      </c>
    </row>
    <row r="796" spans="2:8" x14ac:dyDescent="0.3">
      <c r="B796" s="113">
        <v>40939</v>
      </c>
      <c r="C796">
        <v>135.21</v>
      </c>
      <c r="D796">
        <f t="shared" si="27"/>
        <v>-0.35843416370106757</v>
      </c>
      <c r="E796">
        <v>1.5471273000375534E-2</v>
      </c>
      <c r="G796">
        <v>794</v>
      </c>
      <c r="H796">
        <f t="shared" ca="1" si="28"/>
        <v>-1.5268368845296176E-2</v>
      </c>
    </row>
    <row r="797" spans="2:8" x14ac:dyDescent="0.3">
      <c r="B797" s="113">
        <v>41618</v>
      </c>
      <c r="C797">
        <v>210.75</v>
      </c>
      <c r="D797">
        <f t="shared" si="27"/>
        <v>0.19689913675601992</v>
      </c>
      <c r="E797">
        <v>1.5466897947383675E-2</v>
      </c>
      <c r="G797">
        <v>795</v>
      </c>
      <c r="H797">
        <f t="shared" ca="1" si="28"/>
        <v>-2.661829057703087E-2</v>
      </c>
    </row>
    <row r="798" spans="2:8" x14ac:dyDescent="0.3">
      <c r="B798" s="113">
        <v>41130</v>
      </c>
      <c r="C798">
        <v>176.08</v>
      </c>
      <c r="D798">
        <f t="shared" si="27"/>
        <v>0.49638820430016156</v>
      </c>
      <c r="E798">
        <v>1.5455594002306844E-2</v>
      </c>
      <c r="G798">
        <v>796</v>
      </c>
      <c r="H798">
        <f t="shared" ca="1" si="28"/>
        <v>-1.6760550602501458E-2</v>
      </c>
    </row>
    <row r="799" spans="2:8" x14ac:dyDescent="0.3">
      <c r="B799" s="113">
        <v>40547</v>
      </c>
      <c r="C799">
        <v>117.67</v>
      </c>
      <c r="D799">
        <f t="shared" si="27"/>
        <v>-0.55804694835680746</v>
      </c>
      <c r="E799">
        <v>1.5447014152571681E-2</v>
      </c>
      <c r="G799">
        <v>797</v>
      </c>
      <c r="H799">
        <f t="shared" ca="1" si="28"/>
        <v>-1.810978341346817E-2</v>
      </c>
    </row>
    <row r="800" spans="2:8" x14ac:dyDescent="0.3">
      <c r="B800" s="113">
        <v>43080</v>
      </c>
      <c r="C800">
        <v>266.25</v>
      </c>
      <c r="D800">
        <f t="shared" si="27"/>
        <v>-7.6407007081625471E-3</v>
      </c>
      <c r="E800">
        <v>1.544622425629295E-2</v>
      </c>
      <c r="G800">
        <v>798</v>
      </c>
      <c r="H800">
        <f t="shared" ca="1" si="28"/>
        <v>-2.8454023477995225E-2</v>
      </c>
    </row>
    <row r="801" spans="2:8" x14ac:dyDescent="0.3">
      <c r="B801" s="113">
        <v>44739</v>
      </c>
      <c r="C801">
        <v>268.3</v>
      </c>
      <c r="D801">
        <f t="shared" si="27"/>
        <v>0.15826282161975491</v>
      </c>
      <c r="E801">
        <v>1.5441677390053681E-2</v>
      </c>
      <c r="G801">
        <v>799</v>
      </c>
      <c r="H801">
        <f t="shared" ca="1" si="28"/>
        <v>-1.32776684037435E-2</v>
      </c>
    </row>
    <row r="802" spans="2:8" x14ac:dyDescent="0.3">
      <c r="B802" s="113">
        <v>42292</v>
      </c>
      <c r="C802">
        <v>231.64</v>
      </c>
      <c r="D802">
        <f t="shared" si="27"/>
        <v>0.80250564158431248</v>
      </c>
      <c r="E802">
        <v>1.5430475188497201E-2</v>
      </c>
      <c r="G802">
        <v>800</v>
      </c>
      <c r="H802">
        <f t="shared" ca="1" si="28"/>
        <v>1.8843404012303472E-2</v>
      </c>
    </row>
    <row r="803" spans="2:8" x14ac:dyDescent="0.3">
      <c r="B803" s="113">
        <v>40708</v>
      </c>
      <c r="C803">
        <v>128.51</v>
      </c>
      <c r="D803">
        <f t="shared" si="27"/>
        <v>-0.23619613670133735</v>
      </c>
      <c r="E803">
        <v>1.5407711757269189E-2</v>
      </c>
      <c r="G803">
        <v>801</v>
      </c>
      <c r="H803">
        <f t="shared" ca="1" si="28"/>
        <v>-2.2820053518849977E-2</v>
      </c>
    </row>
    <row r="804" spans="2:8" x14ac:dyDescent="0.3">
      <c r="B804" s="113">
        <v>44123</v>
      </c>
      <c r="C804">
        <v>168.25</v>
      </c>
      <c r="D804">
        <f t="shared" si="27"/>
        <v>1.5473126419379259</v>
      </c>
      <c r="E804">
        <v>1.5389257694628917E-2</v>
      </c>
      <c r="G804">
        <v>802</v>
      </c>
      <c r="H804">
        <f t="shared" ca="1" si="28"/>
        <v>-4.4762011886065003E-2</v>
      </c>
    </row>
    <row r="805" spans="2:8" x14ac:dyDescent="0.3">
      <c r="B805" s="113">
        <v>39492</v>
      </c>
      <c r="C805">
        <v>66.05</v>
      </c>
      <c r="D805">
        <f t="shared" si="27"/>
        <v>-0.41990163358510452</v>
      </c>
      <c r="E805">
        <v>1.5372790161414298E-2</v>
      </c>
      <c r="G805">
        <v>803</v>
      </c>
      <c r="H805">
        <f t="shared" ca="1" si="28"/>
        <v>3.0898562533009235E-2</v>
      </c>
    </row>
    <row r="806" spans="2:8" x14ac:dyDescent="0.3">
      <c r="B806" s="113">
        <v>40477</v>
      </c>
      <c r="C806">
        <v>113.86</v>
      </c>
      <c r="D806">
        <f t="shared" si="27"/>
        <v>4.7244846656611363</v>
      </c>
      <c r="E806">
        <v>1.533797039415016E-2</v>
      </c>
      <c r="G806">
        <v>804</v>
      </c>
      <c r="H806">
        <f t="shared" ca="1" si="28"/>
        <v>1.5040604785945386E-2</v>
      </c>
    </row>
    <row r="807" spans="2:8" x14ac:dyDescent="0.3">
      <c r="B807" s="113">
        <v>37929</v>
      </c>
      <c r="C807">
        <v>19.89</v>
      </c>
      <c r="D807">
        <f t="shared" si="27"/>
        <v>-0.6162454177117499</v>
      </c>
      <c r="E807">
        <v>1.5313935681470174E-2</v>
      </c>
      <c r="G807">
        <v>805</v>
      </c>
      <c r="H807">
        <f t="shared" ca="1" si="28"/>
        <v>-1.8118573470040679E-2</v>
      </c>
    </row>
    <row r="808" spans="2:8" x14ac:dyDescent="0.3">
      <c r="B808" s="113">
        <v>39266</v>
      </c>
      <c r="C808">
        <v>51.83</v>
      </c>
      <c r="D808">
        <f t="shared" si="27"/>
        <v>1.0469984202211688</v>
      </c>
      <c r="E808">
        <v>1.5279138099902079E-2</v>
      </c>
      <c r="G808">
        <v>806</v>
      </c>
      <c r="H808">
        <f t="shared" ca="1" si="28"/>
        <v>6.5919768117742661E-3</v>
      </c>
    </row>
    <row r="809" spans="2:8" x14ac:dyDescent="0.3">
      <c r="B809" s="113">
        <v>38264</v>
      </c>
      <c r="C809">
        <v>25.32</v>
      </c>
      <c r="D809">
        <f t="shared" si="27"/>
        <v>-0.91271975180972087</v>
      </c>
      <c r="E809">
        <v>1.5236567762630273E-2</v>
      </c>
      <c r="G809">
        <v>807</v>
      </c>
      <c r="H809">
        <f t="shared" ca="1" si="28"/>
        <v>-2.7981348277691633E-2</v>
      </c>
    </row>
    <row r="810" spans="2:8" x14ac:dyDescent="0.3">
      <c r="B810" s="113">
        <v>43531</v>
      </c>
      <c r="C810">
        <v>290.10000000000002</v>
      </c>
      <c r="D810">
        <f t="shared" si="27"/>
        <v>0.39089993767080611</v>
      </c>
      <c r="E810">
        <v>1.5223097112860972E-2</v>
      </c>
      <c r="G810">
        <v>808</v>
      </c>
      <c r="H810">
        <f t="shared" ca="1" si="28"/>
        <v>2.6041272354547049E-2</v>
      </c>
    </row>
    <row r="811" spans="2:8" x14ac:dyDescent="0.3">
      <c r="B811" s="113">
        <v>42198</v>
      </c>
      <c r="C811">
        <v>208.57</v>
      </c>
      <c r="D811">
        <f t="shared" si="27"/>
        <v>-0.29951301427371957</v>
      </c>
      <c r="E811">
        <v>1.5186176685324919E-2</v>
      </c>
      <c r="G811">
        <v>809</v>
      </c>
      <c r="H811">
        <f t="shared" ca="1" si="28"/>
        <v>-2.4702198647719208E-3</v>
      </c>
    </row>
    <row r="812" spans="2:8" x14ac:dyDescent="0.3">
      <c r="B812" s="113">
        <v>43371</v>
      </c>
      <c r="C812">
        <v>297.75</v>
      </c>
      <c r="D812">
        <f t="shared" si="27"/>
        <v>7.0080862533692723E-2</v>
      </c>
      <c r="E812">
        <v>1.5172178656665491E-2</v>
      </c>
      <c r="G812">
        <v>810</v>
      </c>
      <c r="H812">
        <f t="shared" ca="1" si="28"/>
        <v>-3.6441089504812775E-3</v>
      </c>
    </row>
    <row r="813" spans="2:8" x14ac:dyDescent="0.3">
      <c r="B813" s="113">
        <v>43216</v>
      </c>
      <c r="C813">
        <v>278.25</v>
      </c>
      <c r="D813">
        <f t="shared" si="27"/>
        <v>0.26402580293462957</v>
      </c>
      <c r="E813">
        <v>1.5140459686245812E-2</v>
      </c>
      <c r="G813">
        <v>811</v>
      </c>
      <c r="H813">
        <f t="shared" ca="1" si="28"/>
        <v>-3.6315057357547737E-3</v>
      </c>
    </row>
    <row r="814" spans="2:8" x14ac:dyDescent="0.3">
      <c r="B814" s="113">
        <v>42156</v>
      </c>
      <c r="C814">
        <v>220.13</v>
      </c>
      <c r="D814">
        <f t="shared" si="27"/>
        <v>14.600992204110559</v>
      </c>
      <c r="E814">
        <v>1.5125662900622555E-2</v>
      </c>
      <c r="G814">
        <v>812</v>
      </c>
      <c r="H814">
        <f t="shared" ca="1" si="28"/>
        <v>-9.5645525960662003E-3</v>
      </c>
    </row>
    <row r="815" spans="2:8" x14ac:dyDescent="0.3">
      <c r="B815" s="113">
        <v>37469</v>
      </c>
      <c r="C815">
        <v>14.11</v>
      </c>
      <c r="D815">
        <f t="shared" si="27"/>
        <v>-0.94949892627057975</v>
      </c>
      <c r="E815">
        <v>1.5107913669064681E-2</v>
      </c>
      <c r="G815">
        <v>813</v>
      </c>
      <c r="H815">
        <f t="shared" ca="1" si="28"/>
        <v>1.8299626169513358E-2</v>
      </c>
    </row>
    <row r="816" spans="2:8" x14ac:dyDescent="0.3">
      <c r="B816" s="113">
        <v>43626</v>
      </c>
      <c r="C816">
        <v>279.39999999999998</v>
      </c>
      <c r="D816">
        <f t="shared" si="27"/>
        <v>8.018721755971594</v>
      </c>
      <c r="E816">
        <v>1.5077202543142515E-2</v>
      </c>
      <c r="G816">
        <v>814</v>
      </c>
      <c r="H816">
        <f t="shared" ca="1" si="28"/>
        <v>1.0009811819034427E-2</v>
      </c>
    </row>
    <row r="817" spans="2:8" x14ac:dyDescent="0.3">
      <c r="B817" s="113">
        <v>38469</v>
      </c>
      <c r="C817">
        <v>30.98</v>
      </c>
      <c r="D817">
        <f t="shared" si="27"/>
        <v>-0.48332221480987325</v>
      </c>
      <c r="E817">
        <v>1.5072083879423357E-2</v>
      </c>
      <c r="G817">
        <v>815</v>
      </c>
      <c r="H817">
        <f t="shared" ca="1" si="28"/>
        <v>-2.6075915979885604E-3</v>
      </c>
    </row>
    <row r="818" spans="2:8" x14ac:dyDescent="0.3">
      <c r="B818" s="113">
        <v>39847</v>
      </c>
      <c r="C818">
        <v>59.96</v>
      </c>
      <c r="D818">
        <f t="shared" si="27"/>
        <v>-0.7955328218243819</v>
      </c>
      <c r="E818">
        <v>1.5066869815473177E-2</v>
      </c>
      <c r="G818">
        <v>816</v>
      </c>
      <c r="H818">
        <f t="shared" ca="1" si="28"/>
        <v>-3.2721844893292928E-3</v>
      </c>
    </row>
    <row r="819" spans="2:8" x14ac:dyDescent="0.3">
      <c r="B819" s="113">
        <v>42940</v>
      </c>
      <c r="C819">
        <v>293.25</v>
      </c>
      <c r="D819">
        <f t="shared" si="27"/>
        <v>0.60993686522097168</v>
      </c>
      <c r="E819">
        <v>1.5057113187954389E-2</v>
      </c>
      <c r="G819">
        <v>817</v>
      </c>
      <c r="H819">
        <f t="shared" ca="1" si="28"/>
        <v>3.2846354442137647E-2</v>
      </c>
    </row>
    <row r="820" spans="2:8" x14ac:dyDescent="0.3">
      <c r="B820" s="113">
        <v>43950</v>
      </c>
      <c r="C820">
        <v>182.15</v>
      </c>
      <c r="D820">
        <f t="shared" si="27"/>
        <v>0.21546776991859062</v>
      </c>
      <c r="E820">
        <v>1.5045973808860504E-2</v>
      </c>
      <c r="G820">
        <v>818</v>
      </c>
      <c r="H820">
        <f t="shared" ca="1" si="28"/>
        <v>-5.3258700907467078E-3</v>
      </c>
    </row>
    <row r="821" spans="2:8" x14ac:dyDescent="0.3">
      <c r="B821" s="113">
        <v>40995</v>
      </c>
      <c r="C821">
        <v>149.86000000000001</v>
      </c>
      <c r="D821">
        <f t="shared" si="27"/>
        <v>0.58347421808960287</v>
      </c>
      <c r="E821">
        <v>1.5036575453806742E-2</v>
      </c>
      <c r="G821">
        <v>819</v>
      </c>
      <c r="H821">
        <f t="shared" ca="1" si="28"/>
        <v>-2.1258370470421409E-2</v>
      </c>
    </row>
    <row r="822" spans="2:8" x14ac:dyDescent="0.3">
      <c r="B822" s="113">
        <v>40332</v>
      </c>
      <c r="C822">
        <v>94.64</v>
      </c>
      <c r="D822">
        <f t="shared" si="27"/>
        <v>-0.58748147502397341</v>
      </c>
      <c r="E822">
        <v>1.5015015015015077E-2</v>
      </c>
      <c r="G822">
        <v>820</v>
      </c>
      <c r="H822">
        <f t="shared" ca="1" si="28"/>
        <v>-7.8592475075632134E-3</v>
      </c>
    </row>
    <row r="823" spans="2:8" x14ac:dyDescent="0.3">
      <c r="B823" s="113">
        <v>41745</v>
      </c>
      <c r="C823">
        <v>229.42</v>
      </c>
      <c r="D823">
        <f t="shared" si="27"/>
        <v>-5.463985495302464E-2</v>
      </c>
      <c r="E823">
        <v>1.4998009113834386E-2</v>
      </c>
      <c r="G823">
        <v>821</v>
      </c>
      <c r="H823">
        <f t="shared" ca="1" si="28"/>
        <v>2.6993600324960416E-2</v>
      </c>
    </row>
    <row r="824" spans="2:8" x14ac:dyDescent="0.3">
      <c r="B824" s="113">
        <v>42038</v>
      </c>
      <c r="C824">
        <v>242.68</v>
      </c>
      <c r="D824">
        <f t="shared" si="27"/>
        <v>0.13630191506297709</v>
      </c>
      <c r="E824">
        <v>1.4972814721873746E-2</v>
      </c>
      <c r="G824">
        <v>822</v>
      </c>
      <c r="H824">
        <f t="shared" ca="1" si="28"/>
        <v>4.4123467326558632E-3</v>
      </c>
    </row>
    <row r="825" spans="2:8" x14ac:dyDescent="0.3">
      <c r="B825" s="113">
        <v>42263</v>
      </c>
      <c r="C825">
        <v>213.57</v>
      </c>
      <c r="D825">
        <f t="shared" si="27"/>
        <v>3.2237796036732658E-2</v>
      </c>
      <c r="E825">
        <v>1.4970059880239549E-2</v>
      </c>
      <c r="G825">
        <v>823</v>
      </c>
      <c r="H825">
        <f t="shared" ca="1" si="28"/>
        <v>2.0870415860138563E-3</v>
      </c>
    </row>
    <row r="826" spans="2:8" x14ac:dyDescent="0.3">
      <c r="B826" s="113">
        <v>44256</v>
      </c>
      <c r="C826">
        <v>206.9</v>
      </c>
      <c r="D826">
        <f t="shared" si="27"/>
        <v>0.1938834391229082</v>
      </c>
      <c r="E826">
        <v>1.4961981849399125E-2</v>
      </c>
      <c r="G826">
        <v>824</v>
      </c>
      <c r="H826">
        <f t="shared" ca="1" si="28"/>
        <v>1.1397082328207743E-2</v>
      </c>
    </row>
    <row r="827" spans="2:8" x14ac:dyDescent="0.3">
      <c r="B827" s="113">
        <v>44102</v>
      </c>
      <c r="C827">
        <v>173.3</v>
      </c>
      <c r="D827">
        <f t="shared" si="27"/>
        <v>1.0216985534297716</v>
      </c>
      <c r="E827">
        <v>1.4934114202049847E-2</v>
      </c>
      <c r="G827">
        <v>825</v>
      </c>
      <c r="H827">
        <f t="shared" ca="1" si="28"/>
        <v>-2.1269920390425919E-3</v>
      </c>
    </row>
    <row r="828" spans="2:8" x14ac:dyDescent="0.3">
      <c r="B828" s="113">
        <v>40155</v>
      </c>
      <c r="C828">
        <v>85.72</v>
      </c>
      <c r="D828">
        <f t="shared" si="27"/>
        <v>0.90785666592477188</v>
      </c>
      <c r="E828">
        <v>1.4918304522851115E-2</v>
      </c>
      <c r="G828">
        <v>826</v>
      </c>
      <c r="H828">
        <f t="shared" ca="1" si="28"/>
        <v>-3.7072655634201264E-2</v>
      </c>
    </row>
    <row r="829" spans="2:8" x14ac:dyDescent="0.3">
      <c r="B829" s="113">
        <v>38693</v>
      </c>
      <c r="C829">
        <v>44.93</v>
      </c>
      <c r="D829">
        <f t="shared" si="27"/>
        <v>-0.8394497051992138</v>
      </c>
      <c r="E829">
        <v>1.4908515925005569E-2</v>
      </c>
      <c r="G829">
        <v>827</v>
      </c>
      <c r="H829">
        <f t="shared" ca="1" si="28"/>
        <v>-1.1786663187104465E-2</v>
      </c>
    </row>
    <row r="830" spans="2:8" x14ac:dyDescent="0.3">
      <c r="B830" s="113">
        <v>43451</v>
      </c>
      <c r="C830">
        <v>279.85000000000002</v>
      </c>
      <c r="D830">
        <f t="shared" si="27"/>
        <v>0.14243141737426523</v>
      </c>
      <c r="E830">
        <v>1.4868540344515041E-2</v>
      </c>
      <c r="G830">
        <v>828</v>
      </c>
      <c r="H830">
        <f t="shared" ca="1" si="28"/>
        <v>-4.2718423246708541E-3</v>
      </c>
    </row>
    <row r="831" spans="2:8" x14ac:dyDescent="0.3">
      <c r="B831" s="113">
        <v>41955</v>
      </c>
      <c r="C831">
        <v>244.96</v>
      </c>
      <c r="D831">
        <f t="shared" si="27"/>
        <v>2.577625237330218</v>
      </c>
      <c r="E831">
        <v>1.4831386196039492E-2</v>
      </c>
      <c r="G831">
        <v>829</v>
      </c>
      <c r="H831">
        <f t="shared" ca="1" si="28"/>
        <v>-2.4094419449024775E-2</v>
      </c>
    </row>
    <row r="832" spans="2:8" x14ac:dyDescent="0.3">
      <c r="B832" s="113">
        <v>39444</v>
      </c>
      <c r="C832">
        <v>68.47</v>
      </c>
      <c r="D832">
        <f t="shared" si="27"/>
        <v>-0.75611754229741768</v>
      </c>
      <c r="E832">
        <v>1.4821402104639099E-2</v>
      </c>
      <c r="G832">
        <v>830</v>
      </c>
      <c r="H832">
        <f t="shared" ca="1" si="28"/>
        <v>5.8306139533336925E-3</v>
      </c>
    </row>
    <row r="833" spans="2:8" x14ac:dyDescent="0.3">
      <c r="B833" s="113">
        <v>43461</v>
      </c>
      <c r="C833">
        <v>280.75</v>
      </c>
      <c r="D833">
        <f t="shared" si="27"/>
        <v>1.1165135962542852E-2</v>
      </c>
      <c r="E833">
        <v>1.4820169889752478E-2</v>
      </c>
      <c r="G833">
        <v>831</v>
      </c>
      <c r="H833">
        <f t="shared" ca="1" si="28"/>
        <v>1.4403963432331359E-2</v>
      </c>
    </row>
    <row r="834" spans="2:8" x14ac:dyDescent="0.3">
      <c r="B834" s="113">
        <v>42990</v>
      </c>
      <c r="C834">
        <v>277.64999999999998</v>
      </c>
      <c r="D834">
        <f t="shared" si="27"/>
        <v>3.8211495051224165</v>
      </c>
      <c r="E834">
        <v>1.4802631578947201E-2</v>
      </c>
      <c r="G834">
        <v>832</v>
      </c>
      <c r="H834">
        <f t="shared" ca="1" si="28"/>
        <v>-3.8201415184621009E-3</v>
      </c>
    </row>
    <row r="835" spans="2:8" x14ac:dyDescent="0.3">
      <c r="B835" s="113">
        <v>39392</v>
      </c>
      <c r="C835">
        <v>57.59</v>
      </c>
      <c r="D835">
        <f t="shared" ref="D835:D898" si="29">(C835-C836)/C836</f>
        <v>-0.48182472557135142</v>
      </c>
      <c r="E835">
        <v>1.4801762114537506E-2</v>
      </c>
      <c r="G835">
        <v>833</v>
      </c>
      <c r="H835">
        <f t="shared" ca="1" si="28"/>
        <v>-1.4164519222587884E-2</v>
      </c>
    </row>
    <row r="836" spans="2:8" x14ac:dyDescent="0.3">
      <c r="B836" s="113">
        <v>40436</v>
      </c>
      <c r="C836">
        <v>111.14</v>
      </c>
      <c r="D836">
        <f t="shared" si="29"/>
        <v>-0.39017832647462275</v>
      </c>
      <c r="E836">
        <v>1.4791818845872943E-2</v>
      </c>
      <c r="G836">
        <v>834</v>
      </c>
      <c r="H836">
        <f t="shared" ref="H836:H899" ca="1" si="30">_xlfn.NORM.INV(RAND(),$L$4,$L$6)</f>
        <v>2.1591855992162633E-2</v>
      </c>
    </row>
    <row r="837" spans="2:8" x14ac:dyDescent="0.3">
      <c r="B837" s="113">
        <v>43943</v>
      </c>
      <c r="C837">
        <v>182.25</v>
      </c>
      <c r="D837">
        <f t="shared" si="29"/>
        <v>-8.320338045173295E-2</v>
      </c>
      <c r="E837">
        <v>1.4755011135857494E-2</v>
      </c>
      <c r="G837">
        <v>835</v>
      </c>
      <c r="H837">
        <f t="shared" ca="1" si="30"/>
        <v>-2.3984993206207728E-2</v>
      </c>
    </row>
    <row r="838" spans="2:8" x14ac:dyDescent="0.3">
      <c r="B838" s="113">
        <v>42417</v>
      </c>
      <c r="C838">
        <v>198.79</v>
      </c>
      <c r="D838">
        <f t="shared" si="29"/>
        <v>2.6123932400508809</v>
      </c>
      <c r="E838">
        <v>1.4752424706482829E-2</v>
      </c>
      <c r="G838">
        <v>836</v>
      </c>
      <c r="H838">
        <f t="shared" ca="1" si="30"/>
        <v>1.0338819372275323E-2</v>
      </c>
    </row>
    <row r="839" spans="2:8" x14ac:dyDescent="0.3">
      <c r="B839" s="113">
        <v>38771</v>
      </c>
      <c r="C839">
        <v>55.03</v>
      </c>
      <c r="D839">
        <f t="shared" si="29"/>
        <v>0.81677121162099708</v>
      </c>
      <c r="E839">
        <v>1.4751982297621322E-2</v>
      </c>
      <c r="G839">
        <v>837</v>
      </c>
      <c r="H839">
        <f t="shared" ca="1" si="30"/>
        <v>-4.0371414662169668E-2</v>
      </c>
    </row>
    <row r="840" spans="2:8" x14ac:dyDescent="0.3">
      <c r="B840" s="113">
        <v>38448</v>
      </c>
      <c r="C840">
        <v>30.29</v>
      </c>
      <c r="D840">
        <f t="shared" si="29"/>
        <v>-0.85726403091277514</v>
      </c>
      <c r="E840">
        <v>1.4740368509212653E-2</v>
      </c>
      <c r="G840">
        <v>838</v>
      </c>
      <c r="H840">
        <f t="shared" ca="1" si="30"/>
        <v>-1.2378945969536271E-2</v>
      </c>
    </row>
    <row r="841" spans="2:8" x14ac:dyDescent="0.3">
      <c r="B841" s="113">
        <v>42249</v>
      </c>
      <c r="C841">
        <v>212.21</v>
      </c>
      <c r="D841">
        <f t="shared" si="29"/>
        <v>-0.30564099208167006</v>
      </c>
      <c r="E841">
        <v>1.4727681346530927E-2</v>
      </c>
      <c r="G841">
        <v>839</v>
      </c>
      <c r="H841">
        <f t="shared" ca="1" si="30"/>
        <v>4.5779107898102821E-2</v>
      </c>
    </row>
    <row r="842" spans="2:8" x14ac:dyDescent="0.3">
      <c r="B842" s="113">
        <v>44774</v>
      </c>
      <c r="C842">
        <v>305.62</v>
      </c>
      <c r="D842">
        <f t="shared" si="29"/>
        <v>1.2636841715428488</v>
      </c>
      <c r="E842">
        <v>1.470832364952358E-2</v>
      </c>
      <c r="G842">
        <v>840</v>
      </c>
      <c r="H842">
        <f t="shared" ca="1" si="30"/>
        <v>-2.9185709150142836E-2</v>
      </c>
    </row>
    <row r="843" spans="2:8" x14ac:dyDescent="0.3">
      <c r="B843" s="113">
        <v>40878</v>
      </c>
      <c r="C843">
        <v>135.01</v>
      </c>
      <c r="D843">
        <f t="shared" si="29"/>
        <v>-0.33262481463173516</v>
      </c>
      <c r="E843">
        <v>1.465504283781744E-2</v>
      </c>
      <c r="G843">
        <v>841</v>
      </c>
      <c r="H843">
        <f t="shared" ca="1" si="30"/>
        <v>4.8208486719997284E-3</v>
      </c>
    </row>
    <row r="844" spans="2:8" x14ac:dyDescent="0.3">
      <c r="B844" s="113">
        <v>41303</v>
      </c>
      <c r="C844">
        <v>202.3</v>
      </c>
      <c r="D844">
        <f t="shared" si="29"/>
        <v>-0.21299358101536664</v>
      </c>
      <c r="E844">
        <v>1.4645400742301213E-2</v>
      </c>
      <c r="G844">
        <v>842</v>
      </c>
      <c r="H844">
        <f t="shared" ca="1" si="30"/>
        <v>2.7187526061854053E-3</v>
      </c>
    </row>
    <row r="845" spans="2:8" x14ac:dyDescent="0.3">
      <c r="B845" s="113">
        <v>44648</v>
      </c>
      <c r="C845">
        <v>257.05</v>
      </c>
      <c r="D845">
        <f t="shared" si="29"/>
        <v>1.4830950540958272</v>
      </c>
      <c r="E845">
        <v>1.4604302348529769E-2</v>
      </c>
      <c r="G845">
        <v>843</v>
      </c>
      <c r="H845">
        <f t="shared" ca="1" si="30"/>
        <v>-5.6247044758604651E-3</v>
      </c>
    </row>
    <row r="846" spans="2:8" x14ac:dyDescent="0.3">
      <c r="B846" s="113">
        <v>40584</v>
      </c>
      <c r="C846">
        <v>103.52</v>
      </c>
      <c r="D846">
        <f t="shared" si="29"/>
        <v>0.65446699696340094</v>
      </c>
      <c r="E846">
        <v>1.4603547976085415E-2</v>
      </c>
      <c r="G846">
        <v>844</v>
      </c>
      <c r="H846">
        <f t="shared" ca="1" si="30"/>
        <v>-2.2989080031299982E-2</v>
      </c>
    </row>
    <row r="847" spans="2:8" x14ac:dyDescent="0.3">
      <c r="B847" s="113">
        <v>39003</v>
      </c>
      <c r="C847">
        <v>62.57</v>
      </c>
      <c r="D847">
        <f t="shared" si="29"/>
        <v>-0.69537487828627076</v>
      </c>
      <c r="E847">
        <v>1.4593805740230234E-2</v>
      </c>
      <c r="G847">
        <v>845</v>
      </c>
      <c r="H847">
        <f t="shared" ca="1" si="30"/>
        <v>5.1215032025419124E-3</v>
      </c>
    </row>
    <row r="848" spans="2:8" x14ac:dyDescent="0.3">
      <c r="B848" s="113">
        <v>44174</v>
      </c>
      <c r="C848">
        <v>205.4</v>
      </c>
      <c r="D848">
        <f t="shared" si="29"/>
        <v>9.2553191489361739E-2</v>
      </c>
      <c r="E848">
        <v>1.457149913558912E-2</v>
      </c>
      <c r="G848">
        <v>846</v>
      </c>
      <c r="H848">
        <f t="shared" ca="1" si="30"/>
        <v>1.7696560646655306E-2</v>
      </c>
    </row>
    <row r="849" spans="2:8" x14ac:dyDescent="0.3">
      <c r="B849" s="113">
        <v>44147</v>
      </c>
      <c r="C849">
        <v>188</v>
      </c>
      <c r="D849">
        <f t="shared" si="29"/>
        <v>1.1422060164083865</v>
      </c>
      <c r="E849">
        <v>1.4570966001079268E-2</v>
      </c>
      <c r="G849">
        <v>847</v>
      </c>
      <c r="H849">
        <f t="shared" ca="1" si="30"/>
        <v>2.2750081288491261E-2</v>
      </c>
    </row>
    <row r="850" spans="2:8" x14ac:dyDescent="0.3">
      <c r="B850" s="113">
        <v>40262</v>
      </c>
      <c r="C850">
        <v>87.76</v>
      </c>
      <c r="D850">
        <f t="shared" si="29"/>
        <v>0.41320450885668281</v>
      </c>
      <c r="E850">
        <v>1.4566473988439365E-2</v>
      </c>
      <c r="G850">
        <v>848</v>
      </c>
      <c r="H850">
        <f t="shared" ca="1" si="30"/>
        <v>5.8470067975266229E-3</v>
      </c>
    </row>
    <row r="851" spans="2:8" x14ac:dyDescent="0.3">
      <c r="B851" s="113">
        <v>38959</v>
      </c>
      <c r="C851">
        <v>62.1</v>
      </c>
      <c r="D851">
        <f t="shared" si="29"/>
        <v>-0.6983240223463687</v>
      </c>
      <c r="E851">
        <v>1.4540107825518716E-2</v>
      </c>
      <c r="G851">
        <v>849</v>
      </c>
      <c r="H851">
        <f t="shared" ca="1" si="30"/>
        <v>-2.4467226265473499E-2</v>
      </c>
    </row>
    <row r="852" spans="2:8" x14ac:dyDescent="0.3">
      <c r="B852" s="113">
        <v>44014</v>
      </c>
      <c r="C852">
        <v>205.85</v>
      </c>
      <c r="D852">
        <f t="shared" si="29"/>
        <v>0.18468001841620629</v>
      </c>
      <c r="E852">
        <v>1.4539181862986637E-2</v>
      </c>
      <c r="G852">
        <v>850</v>
      </c>
      <c r="H852">
        <f t="shared" ca="1" si="30"/>
        <v>-2.4682465354320494E-2</v>
      </c>
    </row>
    <row r="853" spans="2:8" x14ac:dyDescent="0.3">
      <c r="B853" s="113">
        <v>41138</v>
      </c>
      <c r="C853">
        <v>173.76</v>
      </c>
      <c r="D853">
        <f t="shared" si="29"/>
        <v>-0.2099663544603074</v>
      </c>
      <c r="E853">
        <v>1.4538448064459511E-2</v>
      </c>
      <c r="G853">
        <v>851</v>
      </c>
      <c r="H853">
        <f t="shared" ca="1" si="30"/>
        <v>1.4764415182643154E-3</v>
      </c>
    </row>
    <row r="854" spans="2:8" x14ac:dyDescent="0.3">
      <c r="B854" s="113">
        <v>41439</v>
      </c>
      <c r="C854">
        <v>219.94</v>
      </c>
      <c r="D854">
        <f t="shared" si="29"/>
        <v>4.7832301095759845E-2</v>
      </c>
      <c r="E854">
        <v>1.453019050694223E-2</v>
      </c>
      <c r="G854">
        <v>852</v>
      </c>
      <c r="H854">
        <f t="shared" ca="1" si="30"/>
        <v>1.1330124804556486E-2</v>
      </c>
    </row>
    <row r="855" spans="2:8" x14ac:dyDescent="0.3">
      <c r="B855" s="113">
        <v>44257</v>
      </c>
      <c r="C855">
        <v>209.9</v>
      </c>
      <c r="D855">
        <f t="shared" si="29"/>
        <v>-0.18941880671944386</v>
      </c>
      <c r="E855">
        <v>1.4499758337361043E-2</v>
      </c>
      <c r="G855">
        <v>853</v>
      </c>
      <c r="H855">
        <f t="shared" ca="1" si="30"/>
        <v>-1.0094360810675876E-2</v>
      </c>
    </row>
    <row r="856" spans="2:8" x14ac:dyDescent="0.3">
      <c r="B856" s="113">
        <v>44677</v>
      </c>
      <c r="C856">
        <v>258.95</v>
      </c>
      <c r="D856">
        <f t="shared" si="29"/>
        <v>0.88739067055393595</v>
      </c>
      <c r="E856">
        <v>1.4495592556317291E-2</v>
      </c>
      <c r="G856">
        <v>854</v>
      </c>
      <c r="H856">
        <f t="shared" ca="1" si="30"/>
        <v>-3.2238849927564641E-3</v>
      </c>
    </row>
    <row r="857" spans="2:8" x14ac:dyDescent="0.3">
      <c r="B857" s="113">
        <v>40840</v>
      </c>
      <c r="C857">
        <v>137.19999999999999</v>
      </c>
      <c r="D857">
        <f t="shared" si="29"/>
        <v>-0.41778060683216639</v>
      </c>
      <c r="E857">
        <v>1.4492753623188253E-2</v>
      </c>
      <c r="G857">
        <v>855</v>
      </c>
      <c r="H857">
        <f t="shared" ca="1" si="30"/>
        <v>-1.7774828785493319E-2</v>
      </c>
    </row>
    <row r="858" spans="2:8" x14ac:dyDescent="0.3">
      <c r="B858" s="113">
        <v>42717</v>
      </c>
      <c r="C858">
        <v>235.65</v>
      </c>
      <c r="D858">
        <f t="shared" si="29"/>
        <v>-0.14402470032691611</v>
      </c>
      <c r="E858">
        <v>1.4421007318123092E-2</v>
      </c>
      <c r="G858">
        <v>856</v>
      </c>
      <c r="H858">
        <f t="shared" ca="1" si="30"/>
        <v>-4.1126842316075742E-4</v>
      </c>
    </row>
    <row r="859" spans="2:8" x14ac:dyDescent="0.3">
      <c r="B859" s="113">
        <v>43132</v>
      </c>
      <c r="C859">
        <v>275.3</v>
      </c>
      <c r="D859">
        <f t="shared" si="29"/>
        <v>0.27814661776312749</v>
      </c>
      <c r="E859">
        <v>1.4369933677229309E-2</v>
      </c>
      <c r="G859">
        <v>857</v>
      </c>
      <c r="H859">
        <f t="shared" ca="1" si="30"/>
        <v>1.5162398105248281E-2</v>
      </c>
    </row>
    <row r="860" spans="2:8" x14ac:dyDescent="0.3">
      <c r="B860" s="113">
        <v>41674</v>
      </c>
      <c r="C860">
        <v>215.39</v>
      </c>
      <c r="D860">
        <f t="shared" si="29"/>
        <v>-0.13152695455828398</v>
      </c>
      <c r="E860">
        <v>1.4363756239992384E-2</v>
      </c>
      <c r="G860">
        <v>858</v>
      </c>
      <c r="H860">
        <f t="shared" ca="1" si="30"/>
        <v>5.0570843641823326E-3</v>
      </c>
    </row>
    <row r="861" spans="2:8" x14ac:dyDescent="0.3">
      <c r="B861" s="113">
        <v>41995</v>
      </c>
      <c r="C861">
        <v>248.01</v>
      </c>
      <c r="D861">
        <f t="shared" si="29"/>
        <v>-0.18404342819542688</v>
      </c>
      <c r="E861">
        <v>1.4355828220858858E-2</v>
      </c>
      <c r="G861">
        <v>859</v>
      </c>
      <c r="H861">
        <f t="shared" ca="1" si="30"/>
        <v>1.0376391036480997E-2</v>
      </c>
    </row>
    <row r="862" spans="2:8" x14ac:dyDescent="0.3">
      <c r="B862" s="113">
        <v>43364</v>
      </c>
      <c r="C862">
        <v>303.95</v>
      </c>
      <c r="D862">
        <f t="shared" si="29"/>
        <v>0.32267188859878143</v>
      </c>
      <c r="E862">
        <v>1.4350075087602242E-2</v>
      </c>
      <c r="G862">
        <v>860</v>
      </c>
      <c r="H862">
        <f t="shared" ca="1" si="30"/>
        <v>-4.2326291831411803E-2</v>
      </c>
    </row>
    <row r="863" spans="2:8" x14ac:dyDescent="0.3">
      <c r="B863" s="113">
        <v>44508</v>
      </c>
      <c r="C863">
        <v>229.8</v>
      </c>
      <c r="D863">
        <f t="shared" si="29"/>
        <v>10.606060606060606</v>
      </c>
      <c r="E863">
        <v>1.4345619068638269E-2</v>
      </c>
      <c r="G863">
        <v>861</v>
      </c>
      <c r="H863">
        <f t="shared" ca="1" si="30"/>
        <v>-2.2587783993902523E-2</v>
      </c>
    </row>
    <row r="864" spans="2:8" x14ac:dyDescent="0.3">
      <c r="B864" s="113">
        <v>37910</v>
      </c>
      <c r="C864">
        <v>19.8</v>
      </c>
      <c r="D864">
        <f t="shared" si="29"/>
        <v>-0.68187660668380456</v>
      </c>
      <c r="E864">
        <v>1.4344262295082027E-2</v>
      </c>
      <c r="G864">
        <v>862</v>
      </c>
      <c r="H864">
        <f t="shared" ca="1" si="30"/>
        <v>-3.4574627732215841E-3</v>
      </c>
    </row>
    <row r="865" spans="2:8" x14ac:dyDescent="0.3">
      <c r="B865" s="113">
        <v>39052</v>
      </c>
      <c r="C865">
        <v>62.24</v>
      </c>
      <c r="D865">
        <f t="shared" si="29"/>
        <v>-0.72672989111345265</v>
      </c>
      <c r="E865">
        <v>1.4341590612777096E-2</v>
      </c>
      <c r="G865">
        <v>863</v>
      </c>
      <c r="H865">
        <f t="shared" ca="1" si="30"/>
        <v>1.6245832711470228E-2</v>
      </c>
    </row>
    <row r="866" spans="2:8" x14ac:dyDescent="0.3">
      <c r="B866" s="113">
        <v>41535</v>
      </c>
      <c r="C866">
        <v>227.76</v>
      </c>
      <c r="D866">
        <f t="shared" si="29"/>
        <v>-8.0129240710823932E-2</v>
      </c>
      <c r="E866">
        <v>1.4340429322169765E-2</v>
      </c>
      <c r="G866">
        <v>864</v>
      </c>
      <c r="H866">
        <f t="shared" ca="1" si="30"/>
        <v>-5.5429722094013133E-3</v>
      </c>
    </row>
    <row r="867" spans="2:8" x14ac:dyDescent="0.3">
      <c r="B867" s="113">
        <v>43753</v>
      </c>
      <c r="C867">
        <v>247.6</v>
      </c>
      <c r="D867">
        <f t="shared" si="29"/>
        <v>1.4972264246091778</v>
      </c>
      <c r="E867">
        <v>1.4338385907414994E-2</v>
      </c>
      <c r="G867">
        <v>865</v>
      </c>
      <c r="H867">
        <f t="shared" ca="1" si="30"/>
        <v>2.1541266505212181E-2</v>
      </c>
    </row>
    <row r="868" spans="2:8" x14ac:dyDescent="0.3">
      <c r="B868" s="113">
        <v>40350</v>
      </c>
      <c r="C868">
        <v>99.15</v>
      </c>
      <c r="D868">
        <f t="shared" si="29"/>
        <v>-0.55162121828788491</v>
      </c>
      <c r="E868">
        <v>1.4322250639386247E-2</v>
      </c>
      <c r="G868">
        <v>866</v>
      </c>
      <c r="H868">
        <f t="shared" ca="1" si="30"/>
        <v>1.1753045834200591E-2</v>
      </c>
    </row>
    <row r="869" spans="2:8" x14ac:dyDescent="0.3">
      <c r="B869" s="113">
        <v>41396</v>
      </c>
      <c r="C869">
        <v>221.13</v>
      </c>
      <c r="D869">
        <f t="shared" si="29"/>
        <v>8.1679104477611926</v>
      </c>
      <c r="E869">
        <v>1.4311270125223634E-2</v>
      </c>
      <c r="G869">
        <v>867</v>
      </c>
      <c r="H869">
        <f t="shared" ca="1" si="30"/>
        <v>-1.823692525550864E-2</v>
      </c>
    </row>
    <row r="870" spans="2:8" x14ac:dyDescent="0.3">
      <c r="B870" s="113">
        <v>38063</v>
      </c>
      <c r="C870">
        <v>24.12</v>
      </c>
      <c r="D870">
        <f t="shared" si="29"/>
        <v>0</v>
      </c>
      <c r="E870">
        <v>1.4297729184188387E-2</v>
      </c>
      <c r="G870">
        <v>868</v>
      </c>
      <c r="H870">
        <f t="shared" ca="1" si="30"/>
        <v>-7.6597869440870301E-4</v>
      </c>
    </row>
    <row r="871" spans="2:8" x14ac:dyDescent="0.3">
      <c r="B871" s="113">
        <v>38043</v>
      </c>
      <c r="C871">
        <v>24.12</v>
      </c>
      <c r="D871">
        <f t="shared" si="29"/>
        <v>-0.82010739856801906</v>
      </c>
      <c r="E871">
        <v>1.4297729184188387E-2</v>
      </c>
      <c r="G871">
        <v>869</v>
      </c>
      <c r="H871">
        <f t="shared" ca="1" si="30"/>
        <v>1.5010755155777615E-2</v>
      </c>
    </row>
    <row r="872" spans="2:8" x14ac:dyDescent="0.3">
      <c r="B872" s="113">
        <v>40898</v>
      </c>
      <c r="C872">
        <v>134.08000000000001</v>
      </c>
      <c r="D872">
        <f t="shared" si="29"/>
        <v>-0.32521389028686454</v>
      </c>
      <c r="E872">
        <v>1.4297601936606511E-2</v>
      </c>
      <c r="G872">
        <v>870</v>
      </c>
      <c r="H872">
        <f t="shared" ca="1" si="30"/>
        <v>-1.7164319539718343E-3</v>
      </c>
    </row>
    <row r="873" spans="2:8" x14ac:dyDescent="0.3">
      <c r="B873" s="113">
        <v>44027</v>
      </c>
      <c r="C873">
        <v>198.7</v>
      </c>
      <c r="D873">
        <f t="shared" si="29"/>
        <v>-7.5433744028164794E-4</v>
      </c>
      <c r="E873">
        <v>1.4293006636038708E-2</v>
      </c>
      <c r="G873">
        <v>871</v>
      </c>
      <c r="H873">
        <f t="shared" ca="1" si="30"/>
        <v>-1.0366076490003708E-2</v>
      </c>
    </row>
    <row r="874" spans="2:8" x14ac:dyDescent="0.3">
      <c r="B874" s="113">
        <v>44053</v>
      </c>
      <c r="C874">
        <v>198.85</v>
      </c>
      <c r="D874">
        <f t="shared" si="29"/>
        <v>1.9441812259401834</v>
      </c>
      <c r="E874">
        <v>1.4282070900280453E-2</v>
      </c>
      <c r="G874">
        <v>872</v>
      </c>
      <c r="H874">
        <f t="shared" ca="1" si="30"/>
        <v>5.0555482401037893E-3</v>
      </c>
    </row>
    <row r="875" spans="2:8" x14ac:dyDescent="0.3">
      <c r="B875" s="113">
        <v>38836</v>
      </c>
      <c r="C875">
        <v>67.540000000000006</v>
      </c>
      <c r="D875">
        <f t="shared" si="29"/>
        <v>0.21671770852098737</v>
      </c>
      <c r="E875">
        <v>1.4266406367322463E-2</v>
      </c>
      <c r="G875">
        <v>873</v>
      </c>
      <c r="H875">
        <f t="shared" ca="1" si="30"/>
        <v>1.3168303889093042E-2</v>
      </c>
    </row>
    <row r="876" spans="2:8" x14ac:dyDescent="0.3">
      <c r="B876" s="113">
        <v>39322</v>
      </c>
      <c r="C876">
        <v>55.51</v>
      </c>
      <c r="D876">
        <f t="shared" si="29"/>
        <v>-0.8025960170697013</v>
      </c>
      <c r="E876">
        <v>1.4251781472684107E-2</v>
      </c>
      <c r="G876">
        <v>874</v>
      </c>
      <c r="H876">
        <f t="shared" ca="1" si="30"/>
        <v>3.0411906654336122E-2</v>
      </c>
    </row>
    <row r="877" spans="2:8" x14ac:dyDescent="0.3">
      <c r="B877" s="113">
        <v>42859</v>
      </c>
      <c r="C877">
        <v>281.2</v>
      </c>
      <c r="D877">
        <f t="shared" si="29"/>
        <v>0.2523381134764407</v>
      </c>
      <c r="E877">
        <v>1.4247069431920608E-2</v>
      </c>
      <c r="G877">
        <v>875</v>
      </c>
      <c r="H877">
        <f t="shared" ca="1" si="30"/>
        <v>-2.0108045900700387E-2</v>
      </c>
    </row>
    <row r="878" spans="2:8" x14ac:dyDescent="0.3">
      <c r="B878" s="113">
        <v>41534</v>
      </c>
      <c r="C878">
        <v>224.54</v>
      </c>
      <c r="D878">
        <f t="shared" si="29"/>
        <v>4.2916860195076546E-2</v>
      </c>
      <c r="E878">
        <v>1.4228284927051835E-2</v>
      </c>
      <c r="G878">
        <v>876</v>
      </c>
      <c r="H878">
        <f t="shared" ca="1" si="30"/>
        <v>4.5657587832619007E-4</v>
      </c>
    </row>
    <row r="879" spans="2:8" x14ac:dyDescent="0.3">
      <c r="B879" s="113">
        <v>42401</v>
      </c>
      <c r="C879">
        <v>215.3</v>
      </c>
      <c r="D879">
        <f t="shared" si="29"/>
        <v>2.5110893672537511</v>
      </c>
      <c r="E879">
        <v>1.4226493310721736E-2</v>
      </c>
      <c r="G879">
        <v>877</v>
      </c>
      <c r="H879">
        <f t="shared" ca="1" si="30"/>
        <v>2.8165506647573276E-2</v>
      </c>
    </row>
    <row r="880" spans="2:8" x14ac:dyDescent="0.3">
      <c r="B880" s="113">
        <v>38901</v>
      </c>
      <c r="C880">
        <v>61.32</v>
      </c>
      <c r="D880">
        <f t="shared" si="29"/>
        <v>-0.68274006622516559</v>
      </c>
      <c r="E880">
        <v>1.4224280516043656E-2</v>
      </c>
      <c r="G880">
        <v>878</v>
      </c>
      <c r="H880">
        <f t="shared" ca="1" si="30"/>
        <v>-7.5549310511658155E-3</v>
      </c>
    </row>
    <row r="881" spans="2:8" x14ac:dyDescent="0.3">
      <c r="B881" s="113">
        <v>41295</v>
      </c>
      <c r="C881">
        <v>193.28</v>
      </c>
      <c r="D881">
        <f t="shared" si="29"/>
        <v>10.771010962241169</v>
      </c>
      <c r="E881">
        <v>1.4220496405520323E-2</v>
      </c>
      <c r="G881">
        <v>879</v>
      </c>
      <c r="H881">
        <f t="shared" ca="1" si="30"/>
        <v>1.4550986871677625E-3</v>
      </c>
    </row>
    <row r="882" spans="2:8" x14ac:dyDescent="0.3">
      <c r="B882" s="113">
        <v>37797</v>
      </c>
      <c r="C882">
        <v>16.420000000000002</v>
      </c>
      <c r="D882">
        <f t="shared" si="29"/>
        <v>-0.94255728528948746</v>
      </c>
      <c r="E882">
        <v>1.4206300185299593E-2</v>
      </c>
      <c r="G882">
        <v>880</v>
      </c>
      <c r="H882">
        <f t="shared" ca="1" si="30"/>
        <v>-8.4863720192921953E-3</v>
      </c>
    </row>
    <row r="883" spans="2:8" x14ac:dyDescent="0.3">
      <c r="B883" s="113">
        <v>43236</v>
      </c>
      <c r="C883">
        <v>285.85000000000002</v>
      </c>
      <c r="D883">
        <f t="shared" si="29"/>
        <v>8.0922669691813331E-2</v>
      </c>
      <c r="E883">
        <v>1.419194607060493E-2</v>
      </c>
      <c r="G883">
        <v>881</v>
      </c>
      <c r="H883">
        <f t="shared" ca="1" si="30"/>
        <v>6.7171638573003383E-3</v>
      </c>
    </row>
    <row r="884" spans="2:8" x14ac:dyDescent="0.3">
      <c r="B884" s="113">
        <v>43206</v>
      </c>
      <c r="C884">
        <v>264.45</v>
      </c>
      <c r="D884">
        <f t="shared" si="29"/>
        <v>12.702072538860103</v>
      </c>
      <c r="E884">
        <v>1.4189837008628912E-2</v>
      </c>
      <c r="G884">
        <v>882</v>
      </c>
      <c r="H884">
        <f t="shared" ca="1" si="30"/>
        <v>-8.2814447933388016E-3</v>
      </c>
    </row>
    <row r="885" spans="2:8" x14ac:dyDescent="0.3">
      <c r="B885" s="113">
        <v>37946</v>
      </c>
      <c r="C885">
        <v>19.3</v>
      </c>
      <c r="D885">
        <f t="shared" si="29"/>
        <v>-0.85495265293852396</v>
      </c>
      <c r="E885">
        <v>1.4188124014713586E-2</v>
      </c>
      <c r="G885">
        <v>883</v>
      </c>
      <c r="H885">
        <f t="shared" ca="1" si="30"/>
        <v>1.3353615997307741E-2</v>
      </c>
    </row>
    <row r="886" spans="2:8" x14ac:dyDescent="0.3">
      <c r="B886" s="113">
        <v>40877</v>
      </c>
      <c r="C886">
        <v>133.06</v>
      </c>
      <c r="D886">
        <f t="shared" si="29"/>
        <v>-0.49077688480673559</v>
      </c>
      <c r="E886">
        <v>1.4176829268292787E-2</v>
      </c>
      <c r="G886">
        <v>884</v>
      </c>
      <c r="H886">
        <f t="shared" ca="1" si="30"/>
        <v>3.8135266615435541E-3</v>
      </c>
    </row>
    <row r="887" spans="2:8" x14ac:dyDescent="0.3">
      <c r="B887" s="113">
        <v>43770</v>
      </c>
      <c r="C887">
        <v>261.3</v>
      </c>
      <c r="D887">
        <f t="shared" si="29"/>
        <v>5.7894736842105311E-2</v>
      </c>
      <c r="E887">
        <v>1.416650494857378E-2</v>
      </c>
      <c r="G887">
        <v>885</v>
      </c>
      <c r="H887">
        <f t="shared" ca="1" si="30"/>
        <v>1.7779974437244998E-2</v>
      </c>
    </row>
    <row r="888" spans="2:8" x14ac:dyDescent="0.3">
      <c r="B888" s="113">
        <v>42558</v>
      </c>
      <c r="C888">
        <v>247</v>
      </c>
      <c r="D888">
        <f t="shared" si="29"/>
        <v>-0.11548791405550582</v>
      </c>
      <c r="E888">
        <v>1.4165469102853576E-2</v>
      </c>
      <c r="G888">
        <v>886</v>
      </c>
      <c r="H888">
        <f t="shared" ca="1" si="30"/>
        <v>4.7492347333501217E-3</v>
      </c>
    </row>
    <row r="889" spans="2:8" x14ac:dyDescent="0.3">
      <c r="B889" s="113">
        <v>43136</v>
      </c>
      <c r="C889">
        <v>279.25</v>
      </c>
      <c r="D889">
        <f t="shared" si="29"/>
        <v>0.18819674921283289</v>
      </c>
      <c r="E889">
        <v>1.4163791538042408E-2</v>
      </c>
      <c r="G889">
        <v>887</v>
      </c>
      <c r="H889">
        <f t="shared" ca="1" si="30"/>
        <v>-2.6680113677688067E-2</v>
      </c>
    </row>
    <row r="890" spans="2:8" x14ac:dyDescent="0.3">
      <c r="B890" s="113">
        <v>41855</v>
      </c>
      <c r="C890">
        <v>235.02</v>
      </c>
      <c r="D890">
        <f t="shared" si="29"/>
        <v>1.1425836448172122</v>
      </c>
      <c r="E890">
        <v>1.4153793043928544E-2</v>
      </c>
      <c r="G890">
        <v>888</v>
      </c>
      <c r="H890">
        <f t="shared" ca="1" si="30"/>
        <v>-9.607446552171918E-3</v>
      </c>
    </row>
    <row r="891" spans="2:8" x14ac:dyDescent="0.3">
      <c r="B891" s="113">
        <v>40423</v>
      </c>
      <c r="C891">
        <v>109.69</v>
      </c>
      <c r="D891">
        <f t="shared" si="29"/>
        <v>-0.53658639628221372</v>
      </c>
      <c r="E891">
        <v>1.4145710059171609E-2</v>
      </c>
      <c r="G891">
        <v>889</v>
      </c>
      <c r="H891">
        <f t="shared" ca="1" si="30"/>
        <v>2.6507143037027798E-2</v>
      </c>
    </row>
    <row r="892" spans="2:8" x14ac:dyDescent="0.3">
      <c r="B892" s="113">
        <v>44495</v>
      </c>
      <c r="C892">
        <v>236.7</v>
      </c>
      <c r="D892">
        <f t="shared" si="29"/>
        <v>0.42076830732292914</v>
      </c>
      <c r="E892">
        <v>1.4138817480719721E-2</v>
      </c>
      <c r="G892">
        <v>890</v>
      </c>
      <c r="H892">
        <f t="shared" ca="1" si="30"/>
        <v>-4.5062757586923456E-2</v>
      </c>
    </row>
    <row r="893" spans="2:8" x14ac:dyDescent="0.3">
      <c r="B893" s="113">
        <v>41088</v>
      </c>
      <c r="C893">
        <v>166.6</v>
      </c>
      <c r="D893">
        <f t="shared" si="29"/>
        <v>0.12385321100917421</v>
      </c>
      <c r="E893">
        <v>1.4122230338446513E-2</v>
      </c>
      <c r="G893">
        <v>891</v>
      </c>
      <c r="H893">
        <f t="shared" ca="1" si="30"/>
        <v>-5.8994372527634983E-4</v>
      </c>
    </row>
    <row r="894" spans="2:8" x14ac:dyDescent="0.3">
      <c r="B894" s="113">
        <v>40988</v>
      </c>
      <c r="C894">
        <v>148.24</v>
      </c>
      <c r="D894">
        <f t="shared" si="29"/>
        <v>0.10692951015531678</v>
      </c>
      <c r="E894">
        <v>1.4092215077301972E-2</v>
      </c>
      <c r="G894">
        <v>892</v>
      </c>
      <c r="H894">
        <f t="shared" ca="1" si="30"/>
        <v>-2.4341851117696399E-2</v>
      </c>
    </row>
    <row r="895" spans="2:8" x14ac:dyDescent="0.3">
      <c r="B895" s="113">
        <v>40777</v>
      </c>
      <c r="C895">
        <v>133.91999999999999</v>
      </c>
      <c r="D895">
        <f t="shared" si="29"/>
        <v>0.89769023664446645</v>
      </c>
      <c r="E895">
        <v>1.4084507042253409E-2</v>
      </c>
      <c r="G895">
        <v>893</v>
      </c>
      <c r="H895">
        <f t="shared" ca="1" si="30"/>
        <v>-2.0117210431000114E-2</v>
      </c>
    </row>
    <row r="896" spans="2:8" x14ac:dyDescent="0.3">
      <c r="B896" s="113">
        <v>39563</v>
      </c>
      <c r="C896">
        <v>70.569999999999993</v>
      </c>
      <c r="D896">
        <f t="shared" si="29"/>
        <v>2.2625982431807676</v>
      </c>
      <c r="E896">
        <v>1.4082483115389994E-2</v>
      </c>
      <c r="G896">
        <v>894</v>
      </c>
      <c r="H896">
        <f t="shared" ca="1" si="30"/>
        <v>-2.328131379968121E-3</v>
      </c>
    </row>
    <row r="897" spans="2:8" x14ac:dyDescent="0.3">
      <c r="B897" s="113">
        <v>38176</v>
      </c>
      <c r="C897">
        <v>21.63</v>
      </c>
      <c r="D897">
        <f t="shared" si="29"/>
        <v>-0.58987485779294657</v>
      </c>
      <c r="E897">
        <v>1.4064697609001441E-2</v>
      </c>
      <c r="G897">
        <v>895</v>
      </c>
      <c r="H897">
        <f t="shared" ca="1" si="30"/>
        <v>-1.5294535025595328E-2</v>
      </c>
    </row>
    <row r="898" spans="2:8" x14ac:dyDescent="0.3">
      <c r="B898" s="113">
        <v>39191</v>
      </c>
      <c r="C898">
        <v>52.74</v>
      </c>
      <c r="D898">
        <f t="shared" si="29"/>
        <v>-0.24038600028805995</v>
      </c>
      <c r="E898">
        <v>1.4035762353393655E-2</v>
      </c>
      <c r="G898">
        <v>896</v>
      </c>
      <c r="H898">
        <f t="shared" ca="1" si="30"/>
        <v>1.1218901886924081E-2</v>
      </c>
    </row>
    <row r="899" spans="2:8" x14ac:dyDescent="0.3">
      <c r="B899" s="113">
        <v>39447</v>
      </c>
      <c r="C899">
        <v>69.430000000000007</v>
      </c>
      <c r="D899">
        <f t="shared" ref="D899:D962" si="31">(C899-C900)/C900</f>
        <v>-0.70205552933098736</v>
      </c>
      <c r="E899">
        <v>1.4020739009785423E-2</v>
      </c>
      <c r="G899">
        <v>897</v>
      </c>
      <c r="H899">
        <f t="shared" ca="1" si="30"/>
        <v>1.4806386682712249E-4</v>
      </c>
    </row>
    <row r="900" spans="2:8" x14ac:dyDescent="0.3">
      <c r="B900" s="113">
        <v>42107</v>
      </c>
      <c r="C900">
        <v>233.03</v>
      </c>
      <c r="D900">
        <f t="shared" si="31"/>
        <v>0.70219138056975894</v>
      </c>
      <c r="E900">
        <v>1.4011574779165393E-2</v>
      </c>
      <c r="G900">
        <v>898</v>
      </c>
      <c r="H900">
        <f t="shared" ref="H900:H963" ca="1" si="32">_xlfn.NORM.INV(RAND(),$L$4,$L$6)</f>
        <v>-1.6678582403448657E-2</v>
      </c>
    </row>
    <row r="901" spans="2:8" x14ac:dyDescent="0.3">
      <c r="B901" s="113">
        <v>40879</v>
      </c>
      <c r="C901">
        <v>136.9</v>
      </c>
      <c r="D901">
        <f t="shared" si="31"/>
        <v>-0.27083888149134483</v>
      </c>
      <c r="E901">
        <v>1.3998963039774942E-2</v>
      </c>
      <c r="G901">
        <v>899</v>
      </c>
      <c r="H901">
        <f t="shared" ca="1" si="32"/>
        <v>1.5431427761399268E-2</v>
      </c>
    </row>
    <row r="902" spans="2:8" x14ac:dyDescent="0.3">
      <c r="B902" s="113">
        <v>41215</v>
      </c>
      <c r="C902">
        <v>187.75</v>
      </c>
      <c r="D902">
        <f t="shared" si="31"/>
        <v>-9.1678761490082195E-2</v>
      </c>
      <c r="E902">
        <v>1.398790235472026E-2</v>
      </c>
      <c r="G902">
        <v>900</v>
      </c>
      <c r="H902">
        <f t="shared" ca="1" si="32"/>
        <v>1.3946925273446367E-2</v>
      </c>
    </row>
    <row r="903" spans="2:8" x14ac:dyDescent="0.3">
      <c r="B903" s="113">
        <v>43880</v>
      </c>
      <c r="C903">
        <v>206.7</v>
      </c>
      <c r="D903">
        <f t="shared" si="31"/>
        <v>-0.20834929145921113</v>
      </c>
      <c r="E903">
        <v>1.398086828550402E-2</v>
      </c>
      <c r="G903">
        <v>901</v>
      </c>
      <c r="H903">
        <f t="shared" ca="1" si="32"/>
        <v>-2.0690556586133581E-3</v>
      </c>
    </row>
    <row r="904" spans="2:8" x14ac:dyDescent="0.3">
      <c r="B904" s="113">
        <v>44679</v>
      </c>
      <c r="C904">
        <v>261.10000000000002</v>
      </c>
      <c r="D904">
        <f t="shared" si="31"/>
        <v>0.19990808823529424</v>
      </c>
      <c r="E904">
        <v>1.3980582524271933E-2</v>
      </c>
      <c r="G904">
        <v>902</v>
      </c>
      <c r="H904">
        <f t="shared" ca="1" si="32"/>
        <v>-3.7601209783442112E-3</v>
      </c>
    </row>
    <row r="905" spans="2:8" x14ac:dyDescent="0.3">
      <c r="B905" s="113">
        <v>44589</v>
      </c>
      <c r="C905">
        <v>217.6</v>
      </c>
      <c r="D905">
        <f t="shared" si="31"/>
        <v>2.4855037642159217</v>
      </c>
      <c r="E905">
        <v>1.3979496738117428E-2</v>
      </c>
      <c r="G905">
        <v>903</v>
      </c>
      <c r="H905">
        <f t="shared" ca="1" si="32"/>
        <v>1.6396867740764529E-2</v>
      </c>
    </row>
    <row r="906" spans="2:8" x14ac:dyDescent="0.3">
      <c r="B906" s="113">
        <v>39416</v>
      </c>
      <c r="C906">
        <v>62.43</v>
      </c>
      <c r="D906">
        <f t="shared" si="31"/>
        <v>-0.54530225782957031</v>
      </c>
      <c r="E906">
        <v>1.3967841481240854E-2</v>
      </c>
      <c r="G906">
        <v>904</v>
      </c>
      <c r="H906">
        <f t="shared" ca="1" si="32"/>
        <v>-1.2679178309926912E-3</v>
      </c>
    </row>
    <row r="907" spans="2:8" x14ac:dyDescent="0.3">
      <c r="B907" s="113">
        <v>40835</v>
      </c>
      <c r="C907">
        <v>137.30000000000001</v>
      </c>
      <c r="D907">
        <f t="shared" si="31"/>
        <v>-0.47661342583768529</v>
      </c>
      <c r="E907">
        <v>1.3957610220810979E-2</v>
      </c>
      <c r="G907">
        <v>905</v>
      </c>
      <c r="H907">
        <f t="shared" ca="1" si="32"/>
        <v>1.6533452607333948E-2</v>
      </c>
    </row>
    <row r="908" spans="2:8" x14ac:dyDescent="0.3">
      <c r="B908" s="113">
        <v>42059</v>
      </c>
      <c r="C908">
        <v>262.33</v>
      </c>
      <c r="D908">
        <f t="shared" si="31"/>
        <v>9.3497290537723959E-2</v>
      </c>
      <c r="E908">
        <v>1.3953308596165571E-2</v>
      </c>
      <c r="G908">
        <v>906</v>
      </c>
      <c r="H908">
        <f t="shared" ca="1" si="32"/>
        <v>3.0741666551181977E-3</v>
      </c>
    </row>
    <row r="909" spans="2:8" x14ac:dyDescent="0.3">
      <c r="B909" s="113">
        <v>42538</v>
      </c>
      <c r="C909">
        <v>239.9</v>
      </c>
      <c r="D909">
        <f t="shared" si="31"/>
        <v>5.7236547085201792</v>
      </c>
      <c r="E909">
        <v>1.3947590870667843E-2</v>
      </c>
      <c r="G909">
        <v>907</v>
      </c>
      <c r="H909">
        <f t="shared" ca="1" si="32"/>
        <v>-2.162689222640915E-2</v>
      </c>
    </row>
    <row r="910" spans="2:8" x14ac:dyDescent="0.3">
      <c r="B910" s="113">
        <v>38532</v>
      </c>
      <c r="C910">
        <v>35.68</v>
      </c>
      <c r="D910">
        <f t="shared" si="31"/>
        <v>2.0303116957392075E-2</v>
      </c>
      <c r="E910">
        <v>1.3924410343847742E-2</v>
      </c>
      <c r="G910">
        <v>908</v>
      </c>
      <c r="H910">
        <f t="shared" ca="1" si="32"/>
        <v>-1.7921493845999236E-2</v>
      </c>
    </row>
    <row r="911" spans="2:8" x14ac:dyDescent="0.3">
      <c r="B911" s="113">
        <v>38506</v>
      </c>
      <c r="C911">
        <v>34.97</v>
      </c>
      <c r="D911">
        <f t="shared" si="31"/>
        <v>-0.75154529307282414</v>
      </c>
      <c r="E911">
        <v>1.3917077413743022E-2</v>
      </c>
      <c r="G911">
        <v>909</v>
      </c>
      <c r="H911">
        <f t="shared" ca="1" si="32"/>
        <v>1.5524040703825834E-2</v>
      </c>
    </row>
    <row r="912" spans="2:8" x14ac:dyDescent="0.3">
      <c r="B912" s="113">
        <v>40966</v>
      </c>
      <c r="C912">
        <v>140.75</v>
      </c>
      <c r="D912">
        <f t="shared" si="31"/>
        <v>-0.46513395401862051</v>
      </c>
      <c r="E912">
        <v>1.3902895836334871E-2</v>
      </c>
      <c r="G912">
        <v>910</v>
      </c>
      <c r="H912">
        <f t="shared" ca="1" si="32"/>
        <v>2.9138404810969461E-2</v>
      </c>
    </row>
    <row r="913" spans="2:8" x14ac:dyDescent="0.3">
      <c r="B913" s="113">
        <v>44683</v>
      </c>
      <c r="C913">
        <v>263.14999999999998</v>
      </c>
      <c r="D913">
        <f t="shared" si="31"/>
        <v>-1.478846873830043E-2</v>
      </c>
      <c r="E913">
        <v>1.3870159892120846E-2</v>
      </c>
      <c r="G913">
        <v>911</v>
      </c>
      <c r="H913">
        <f t="shared" ca="1" si="32"/>
        <v>-8.8148785428738517E-3</v>
      </c>
    </row>
    <row r="914" spans="2:8" x14ac:dyDescent="0.3">
      <c r="B914" s="113">
        <v>42808</v>
      </c>
      <c r="C914">
        <v>267.10000000000002</v>
      </c>
      <c r="D914">
        <f t="shared" si="31"/>
        <v>3.5533583361745658</v>
      </c>
      <c r="E914">
        <v>1.3854621370279121E-2</v>
      </c>
      <c r="G914">
        <v>912</v>
      </c>
      <c r="H914">
        <f t="shared" ca="1" si="32"/>
        <v>1.1958166153580163E-2</v>
      </c>
    </row>
    <row r="915" spans="2:8" x14ac:dyDescent="0.3">
      <c r="B915" s="113">
        <v>39078</v>
      </c>
      <c r="C915">
        <v>58.66</v>
      </c>
      <c r="D915">
        <f t="shared" si="31"/>
        <v>-0.7839808506720678</v>
      </c>
      <c r="E915">
        <v>1.3826477704804652E-2</v>
      </c>
      <c r="G915">
        <v>913</v>
      </c>
      <c r="H915">
        <f t="shared" ca="1" si="32"/>
        <v>1.8800602898056882E-2</v>
      </c>
    </row>
    <row r="916" spans="2:8" x14ac:dyDescent="0.3">
      <c r="B916" s="113">
        <v>42998</v>
      </c>
      <c r="C916">
        <v>271.55</v>
      </c>
      <c r="D916">
        <f t="shared" si="31"/>
        <v>5.4824540463117692</v>
      </c>
      <c r="E916">
        <v>1.3813701698711923E-2</v>
      </c>
      <c r="G916">
        <v>914</v>
      </c>
      <c r="H916">
        <f t="shared" ca="1" si="32"/>
        <v>1.2357139850568286E-2</v>
      </c>
    </row>
    <row r="917" spans="2:8" x14ac:dyDescent="0.3">
      <c r="B917" s="113">
        <v>38608</v>
      </c>
      <c r="C917">
        <v>41.89</v>
      </c>
      <c r="D917">
        <f t="shared" si="31"/>
        <v>-0.73118141564525441</v>
      </c>
      <c r="E917">
        <v>1.3794772507260413E-2</v>
      </c>
      <c r="G917">
        <v>915</v>
      </c>
      <c r="H917">
        <f t="shared" ca="1" si="32"/>
        <v>3.3119872099458937E-3</v>
      </c>
    </row>
    <row r="918" spans="2:8" x14ac:dyDescent="0.3">
      <c r="B918" s="113">
        <v>41057</v>
      </c>
      <c r="C918">
        <v>155.83000000000001</v>
      </c>
      <c r="D918">
        <f t="shared" si="31"/>
        <v>-3.2892695339167027E-2</v>
      </c>
      <c r="E918">
        <v>1.3792206102400653E-2</v>
      </c>
      <c r="G918">
        <v>916</v>
      </c>
      <c r="H918">
        <f t="shared" ca="1" si="32"/>
        <v>-1.5475221768688154E-2</v>
      </c>
    </row>
    <row r="919" spans="2:8" x14ac:dyDescent="0.3">
      <c r="B919" s="113">
        <v>41072</v>
      </c>
      <c r="C919">
        <v>161.13</v>
      </c>
      <c r="D919">
        <f t="shared" si="31"/>
        <v>-0.41788294797687864</v>
      </c>
      <c r="E919">
        <v>1.3778784446961104E-2</v>
      </c>
      <c r="G919">
        <v>917</v>
      </c>
      <c r="H919">
        <f t="shared" ca="1" si="32"/>
        <v>2.048911369048826E-2</v>
      </c>
    </row>
    <row r="920" spans="2:8" x14ac:dyDescent="0.3">
      <c r="B920" s="113">
        <v>42772</v>
      </c>
      <c r="C920">
        <v>276.8</v>
      </c>
      <c r="D920">
        <f t="shared" si="31"/>
        <v>0.2925519495680598</v>
      </c>
      <c r="E920">
        <v>1.3733748397729353E-2</v>
      </c>
      <c r="G920">
        <v>918</v>
      </c>
      <c r="H920">
        <f t="shared" ca="1" si="32"/>
        <v>-1.77295448798344E-2</v>
      </c>
    </row>
    <row r="921" spans="2:8" x14ac:dyDescent="0.3">
      <c r="B921" s="113">
        <v>44210</v>
      </c>
      <c r="C921">
        <v>214.15</v>
      </c>
      <c r="D921">
        <f t="shared" si="31"/>
        <v>-3.7311755450662995E-2</v>
      </c>
      <c r="E921">
        <v>1.3727810650887601E-2</v>
      </c>
      <c r="G921">
        <v>919</v>
      </c>
      <c r="H921">
        <f t="shared" ca="1" si="32"/>
        <v>6.249639310210618E-3</v>
      </c>
    </row>
    <row r="922" spans="2:8" x14ac:dyDescent="0.3">
      <c r="B922" s="113">
        <v>41416</v>
      </c>
      <c r="C922">
        <v>222.45</v>
      </c>
      <c r="D922">
        <f t="shared" si="31"/>
        <v>-1.3131626813362354E-2</v>
      </c>
      <c r="E922">
        <v>1.371673350346332E-2</v>
      </c>
      <c r="G922">
        <v>920</v>
      </c>
      <c r="H922">
        <f t="shared" ca="1" si="32"/>
        <v>3.0083207653079688E-2</v>
      </c>
    </row>
    <row r="923" spans="2:8" x14ac:dyDescent="0.3">
      <c r="B923" s="113">
        <v>42080</v>
      </c>
      <c r="C923">
        <v>225.41</v>
      </c>
      <c r="D923">
        <f t="shared" si="31"/>
        <v>7.0068834559696133E-2</v>
      </c>
      <c r="E923">
        <v>1.3716495772620898E-2</v>
      </c>
      <c r="G923">
        <v>921</v>
      </c>
      <c r="H923">
        <f t="shared" ca="1" si="32"/>
        <v>-1.5886818589813976E-2</v>
      </c>
    </row>
    <row r="924" spans="2:8" x14ac:dyDescent="0.3">
      <c r="B924" s="113">
        <v>44223</v>
      </c>
      <c r="C924">
        <v>210.65</v>
      </c>
      <c r="D924">
        <f t="shared" si="31"/>
        <v>0.2435799043627134</v>
      </c>
      <c r="E924">
        <v>1.3715110683349347E-2</v>
      </c>
      <c r="G924">
        <v>922</v>
      </c>
      <c r="H924">
        <f t="shared" ca="1" si="32"/>
        <v>2.1836569437478585E-2</v>
      </c>
    </row>
    <row r="925" spans="2:8" x14ac:dyDescent="0.3">
      <c r="B925" s="113">
        <v>41107</v>
      </c>
      <c r="C925">
        <v>169.39</v>
      </c>
      <c r="D925">
        <f t="shared" si="31"/>
        <v>-0.29214375261178444</v>
      </c>
      <c r="E925">
        <v>1.370436864153197E-2</v>
      </c>
      <c r="G925">
        <v>923</v>
      </c>
      <c r="H925">
        <f t="shared" ca="1" si="32"/>
        <v>-8.978974199651029E-3</v>
      </c>
    </row>
    <row r="926" spans="2:8" x14ac:dyDescent="0.3">
      <c r="B926" s="113">
        <v>42548</v>
      </c>
      <c r="C926">
        <v>239.3</v>
      </c>
      <c r="D926">
        <f t="shared" si="31"/>
        <v>5.8849557522123945E-2</v>
      </c>
      <c r="E926">
        <v>1.3682382344220012E-2</v>
      </c>
      <c r="G926">
        <v>924</v>
      </c>
      <c r="H926">
        <f t="shared" ca="1" si="32"/>
        <v>-1.0692900442273974E-2</v>
      </c>
    </row>
    <row r="927" spans="2:8" x14ac:dyDescent="0.3">
      <c r="B927" s="113">
        <v>44277</v>
      </c>
      <c r="C927">
        <v>226</v>
      </c>
      <c r="D927">
        <f t="shared" si="31"/>
        <v>5.7705808021715793E-2</v>
      </c>
      <c r="E927">
        <v>1.3680197353666794E-2</v>
      </c>
      <c r="G927">
        <v>925</v>
      </c>
      <c r="H927">
        <f t="shared" ca="1" si="32"/>
        <v>-6.0176451667257602E-3</v>
      </c>
    </row>
    <row r="928" spans="2:8" x14ac:dyDescent="0.3">
      <c r="B928" s="113">
        <v>42202</v>
      </c>
      <c r="C928">
        <v>213.67</v>
      </c>
      <c r="D928">
        <f t="shared" si="31"/>
        <v>-0.11450476585163706</v>
      </c>
      <c r="E928">
        <v>1.3662887233739721E-2</v>
      </c>
      <c r="G928">
        <v>926</v>
      </c>
      <c r="H928">
        <f t="shared" ca="1" si="32"/>
        <v>-1.7783281231130786E-2</v>
      </c>
    </row>
    <row r="929" spans="2:8" x14ac:dyDescent="0.3">
      <c r="B929" s="113">
        <v>44481</v>
      </c>
      <c r="C929">
        <v>241.3</v>
      </c>
      <c r="D929">
        <f t="shared" si="31"/>
        <v>0.15036231884057982</v>
      </c>
      <c r="E929">
        <v>1.3652593992858642E-2</v>
      </c>
      <c r="G929">
        <v>927</v>
      </c>
      <c r="H929">
        <f t="shared" ca="1" si="32"/>
        <v>2.1206829180204664E-2</v>
      </c>
    </row>
    <row r="930" spans="2:8" x14ac:dyDescent="0.3">
      <c r="B930" s="113">
        <v>41523</v>
      </c>
      <c r="C930">
        <v>209.76</v>
      </c>
      <c r="D930">
        <f t="shared" si="31"/>
        <v>7.3270568972574668E-2</v>
      </c>
      <c r="E930">
        <v>1.3627138300956767E-2</v>
      </c>
      <c r="G930">
        <v>928</v>
      </c>
      <c r="H930">
        <f t="shared" ca="1" si="32"/>
        <v>2.1062408128319395E-2</v>
      </c>
    </row>
    <row r="931" spans="2:8" x14ac:dyDescent="0.3">
      <c r="B931" s="113">
        <v>41332</v>
      </c>
      <c r="C931">
        <v>195.44</v>
      </c>
      <c r="D931">
        <f t="shared" si="31"/>
        <v>0.13826441467676184</v>
      </c>
      <c r="E931">
        <v>1.3587802095218362E-2</v>
      </c>
      <c r="G931">
        <v>929</v>
      </c>
      <c r="H931">
        <f t="shared" ca="1" si="32"/>
        <v>1.8204580360479339E-2</v>
      </c>
    </row>
    <row r="932" spans="2:8" x14ac:dyDescent="0.3">
      <c r="B932" s="113">
        <v>44104</v>
      </c>
      <c r="C932">
        <v>171.7</v>
      </c>
      <c r="D932">
        <f t="shared" si="31"/>
        <v>9.4440389294403886</v>
      </c>
      <c r="E932">
        <v>1.357733175914984E-2</v>
      </c>
      <c r="G932">
        <v>930</v>
      </c>
      <c r="H932">
        <f t="shared" ca="1" si="32"/>
        <v>2.2685447168828827E-2</v>
      </c>
    </row>
    <row r="933" spans="2:8" x14ac:dyDescent="0.3">
      <c r="B933" s="113">
        <v>37792</v>
      </c>
      <c r="C933">
        <v>16.440000000000001</v>
      </c>
      <c r="D933">
        <f t="shared" si="31"/>
        <v>-0.69080308444611627</v>
      </c>
      <c r="E933">
        <v>1.3563501849568584E-2</v>
      </c>
      <c r="G933">
        <v>931</v>
      </c>
      <c r="H933">
        <f t="shared" ca="1" si="32"/>
        <v>-8.8923793646596551E-5</v>
      </c>
    </row>
    <row r="934" spans="2:8" x14ac:dyDescent="0.3">
      <c r="B934" s="113">
        <v>39317</v>
      </c>
      <c r="C934">
        <v>53.17</v>
      </c>
      <c r="D934">
        <f t="shared" si="31"/>
        <v>-0.75611210494931413</v>
      </c>
      <c r="E934">
        <v>1.3534121235226855E-2</v>
      </c>
      <c r="G934">
        <v>932</v>
      </c>
      <c r="H934">
        <f t="shared" ca="1" si="32"/>
        <v>1.9648366086529968E-2</v>
      </c>
    </row>
    <row r="935" spans="2:8" x14ac:dyDescent="0.3">
      <c r="B935" s="113">
        <v>41654</v>
      </c>
      <c r="C935">
        <v>218.01</v>
      </c>
      <c r="D935">
        <f t="shared" si="31"/>
        <v>2.4615751032073674</v>
      </c>
      <c r="E935">
        <v>1.352859135285912E-2</v>
      </c>
      <c r="G935">
        <v>933</v>
      </c>
      <c r="H935">
        <f t="shared" ca="1" si="32"/>
        <v>1.1761315530377988E-2</v>
      </c>
    </row>
    <row r="936" spans="2:8" x14ac:dyDescent="0.3">
      <c r="B936" s="113">
        <v>39021</v>
      </c>
      <c r="C936">
        <v>62.98</v>
      </c>
      <c r="D936">
        <f t="shared" si="31"/>
        <v>0.10375043813529608</v>
      </c>
      <c r="E936">
        <v>1.3517862890247768E-2</v>
      </c>
      <c r="G936">
        <v>934</v>
      </c>
      <c r="H936">
        <f t="shared" ca="1" si="32"/>
        <v>-4.7693410536219765E-3</v>
      </c>
    </row>
    <row r="937" spans="2:8" x14ac:dyDescent="0.3">
      <c r="B937" s="113">
        <v>39776</v>
      </c>
      <c r="C937">
        <v>57.06</v>
      </c>
      <c r="D937">
        <f t="shared" si="31"/>
        <v>1</v>
      </c>
      <c r="E937">
        <v>1.3499111900532951E-2</v>
      </c>
      <c r="G937">
        <v>935</v>
      </c>
      <c r="H937">
        <f t="shared" ca="1" si="32"/>
        <v>-1.705326597810003E-2</v>
      </c>
    </row>
    <row r="938" spans="2:8" x14ac:dyDescent="0.3">
      <c r="B938" s="113">
        <v>38320</v>
      </c>
      <c r="C938">
        <v>28.53</v>
      </c>
      <c r="D938">
        <f t="shared" si="31"/>
        <v>-0.89753995331298253</v>
      </c>
      <c r="E938">
        <v>1.3499111900532951E-2</v>
      </c>
      <c r="G938">
        <v>936</v>
      </c>
      <c r="H938">
        <f t="shared" ca="1" si="32"/>
        <v>-2.1936667212173855E-2</v>
      </c>
    </row>
    <row r="939" spans="2:8" x14ac:dyDescent="0.3">
      <c r="B939" s="113">
        <v>43494</v>
      </c>
      <c r="C939">
        <v>278.45</v>
      </c>
      <c r="D939">
        <f t="shared" si="31"/>
        <v>-2.7928085180659801E-2</v>
      </c>
      <c r="E939">
        <v>1.3466787989080941E-2</v>
      </c>
      <c r="G939">
        <v>937</v>
      </c>
      <c r="H939">
        <f t="shared" ca="1" si="32"/>
        <v>-1.3465600835034791E-2</v>
      </c>
    </row>
    <row r="940" spans="2:8" x14ac:dyDescent="0.3">
      <c r="B940" s="113">
        <v>43390</v>
      </c>
      <c r="C940">
        <v>286.45</v>
      </c>
      <c r="D940">
        <f t="shared" si="31"/>
        <v>0.74229061492609938</v>
      </c>
      <c r="E940">
        <v>1.34441889262339E-2</v>
      </c>
      <c r="G940">
        <v>938</v>
      </c>
      <c r="H940">
        <f t="shared" ca="1" si="32"/>
        <v>-2.4836548646717346E-2</v>
      </c>
    </row>
    <row r="941" spans="2:8" x14ac:dyDescent="0.3">
      <c r="B941" s="113">
        <v>41075</v>
      </c>
      <c r="C941">
        <v>164.41</v>
      </c>
      <c r="D941">
        <f t="shared" si="31"/>
        <v>-0.34011639574553487</v>
      </c>
      <c r="E941">
        <v>1.343771189052584E-2</v>
      </c>
      <c r="G941">
        <v>939</v>
      </c>
      <c r="H941">
        <f t="shared" ca="1" si="32"/>
        <v>1.5044315751233186E-2</v>
      </c>
    </row>
    <row r="942" spans="2:8" x14ac:dyDescent="0.3">
      <c r="B942" s="113">
        <v>42562</v>
      </c>
      <c r="C942">
        <v>249.15</v>
      </c>
      <c r="D942">
        <f t="shared" si="31"/>
        <v>3.8444487653120745</v>
      </c>
      <c r="E942">
        <v>1.3422818791946355E-2</v>
      </c>
      <c r="G942">
        <v>940</v>
      </c>
      <c r="H942">
        <f t="shared" ca="1" si="32"/>
        <v>-8.9078133019038757E-3</v>
      </c>
    </row>
    <row r="943" spans="2:8" x14ac:dyDescent="0.3">
      <c r="B943" s="113">
        <v>39752</v>
      </c>
      <c r="C943">
        <v>51.43</v>
      </c>
      <c r="D943">
        <f t="shared" si="31"/>
        <v>-0.75336881983407655</v>
      </c>
      <c r="E943">
        <v>1.3399014778325117E-2</v>
      </c>
      <c r="G943">
        <v>941</v>
      </c>
      <c r="H943">
        <f t="shared" ca="1" si="32"/>
        <v>3.1110080161908023E-2</v>
      </c>
    </row>
    <row r="944" spans="2:8" x14ac:dyDescent="0.3">
      <c r="B944" s="113">
        <v>42178</v>
      </c>
      <c r="C944">
        <v>208.53</v>
      </c>
      <c r="D944">
        <f t="shared" si="31"/>
        <v>-0.32926986169186229</v>
      </c>
      <c r="E944">
        <v>1.336378656817961E-2</v>
      </c>
      <c r="G944">
        <v>942</v>
      </c>
      <c r="H944">
        <f t="shared" ca="1" si="32"/>
        <v>6.1382562525976927E-3</v>
      </c>
    </row>
    <row r="945" spans="2:8" x14ac:dyDescent="0.3">
      <c r="B945" s="113">
        <v>42905</v>
      </c>
      <c r="C945">
        <v>310.89999999999998</v>
      </c>
      <c r="D945">
        <f t="shared" si="31"/>
        <v>3.553976856598799</v>
      </c>
      <c r="E945">
        <v>1.3363754889178507E-2</v>
      </c>
      <c r="G945">
        <v>943</v>
      </c>
      <c r="H945">
        <f t="shared" ca="1" si="32"/>
        <v>3.9557991082322969E-2</v>
      </c>
    </row>
    <row r="946" spans="2:8" x14ac:dyDescent="0.3">
      <c r="B946" s="113">
        <v>39617</v>
      </c>
      <c r="C946">
        <v>68.27</v>
      </c>
      <c r="D946">
        <f t="shared" si="31"/>
        <v>-0.71836970422012292</v>
      </c>
      <c r="E946">
        <v>1.3359061896986662E-2</v>
      </c>
      <c r="G946">
        <v>944</v>
      </c>
      <c r="H946">
        <f t="shared" ca="1" si="32"/>
        <v>-4.0939860176052991E-3</v>
      </c>
    </row>
    <row r="947" spans="2:8" x14ac:dyDescent="0.3">
      <c r="B947" s="113">
        <v>41773</v>
      </c>
      <c r="C947">
        <v>242.41</v>
      </c>
      <c r="D947">
        <f t="shared" si="31"/>
        <v>1.4243424342434245</v>
      </c>
      <c r="E947">
        <v>1.3292647243238753E-2</v>
      </c>
      <c r="G947">
        <v>945</v>
      </c>
      <c r="H947">
        <f t="shared" ca="1" si="32"/>
        <v>-1.6582136244966447E-2</v>
      </c>
    </row>
    <row r="948" spans="2:8" x14ac:dyDescent="0.3">
      <c r="B948" s="113">
        <v>40382</v>
      </c>
      <c r="C948">
        <v>99.99</v>
      </c>
      <c r="D948">
        <f t="shared" si="31"/>
        <v>-0.61527510580992684</v>
      </c>
      <c r="E948">
        <v>1.3275233076611147E-2</v>
      </c>
      <c r="G948">
        <v>946</v>
      </c>
      <c r="H948">
        <f t="shared" ca="1" si="32"/>
        <v>2.7148076973423849E-3</v>
      </c>
    </row>
    <row r="949" spans="2:8" x14ac:dyDescent="0.3">
      <c r="B949" s="113">
        <v>43166</v>
      </c>
      <c r="C949">
        <v>259.89999999999998</v>
      </c>
      <c r="D949">
        <f t="shared" si="31"/>
        <v>5.7912202769793559</v>
      </c>
      <c r="E949">
        <v>1.3255360623781588E-2</v>
      </c>
      <c r="G949">
        <v>947</v>
      </c>
      <c r="H949">
        <f t="shared" ca="1" si="32"/>
        <v>-8.5465008022220599E-3</v>
      </c>
    </row>
    <row r="950" spans="2:8" x14ac:dyDescent="0.3">
      <c r="B950" s="113">
        <v>38595</v>
      </c>
      <c r="C950">
        <v>38.270000000000003</v>
      </c>
      <c r="D950">
        <f t="shared" si="31"/>
        <v>-0.5328369140625</v>
      </c>
      <c r="E950">
        <v>1.3238019592268996E-2</v>
      </c>
      <c r="G950">
        <v>948</v>
      </c>
      <c r="H950">
        <f t="shared" ca="1" si="32"/>
        <v>-2.0615511404715996E-2</v>
      </c>
    </row>
    <row r="951" spans="2:8" x14ac:dyDescent="0.3">
      <c r="B951" s="113">
        <v>40220</v>
      </c>
      <c r="C951">
        <v>81.92</v>
      </c>
      <c r="D951">
        <f t="shared" si="31"/>
        <v>-0.61101614434947771</v>
      </c>
      <c r="E951">
        <v>1.3234384662956183E-2</v>
      </c>
      <c r="G951">
        <v>949</v>
      </c>
      <c r="H951">
        <f t="shared" ca="1" si="32"/>
        <v>-8.2053867402976117E-3</v>
      </c>
    </row>
    <row r="952" spans="2:8" x14ac:dyDescent="0.3">
      <c r="B952" s="113">
        <v>44272</v>
      </c>
      <c r="C952">
        <v>210.6</v>
      </c>
      <c r="D952">
        <f t="shared" si="31"/>
        <v>7.8065011517788593E-2</v>
      </c>
      <c r="E952">
        <v>1.3230695212893915E-2</v>
      </c>
      <c r="G952">
        <v>950</v>
      </c>
      <c r="H952">
        <f t="shared" ca="1" si="32"/>
        <v>-2.6792939449171514E-2</v>
      </c>
    </row>
    <row r="953" spans="2:8" x14ac:dyDescent="0.3">
      <c r="B953" s="113">
        <v>44049</v>
      </c>
      <c r="C953">
        <v>195.35</v>
      </c>
      <c r="D953">
        <f t="shared" si="31"/>
        <v>-8.6466517022072614E-2</v>
      </c>
      <c r="E953">
        <v>1.3226141078838086E-2</v>
      </c>
      <c r="G953">
        <v>951</v>
      </c>
      <c r="H953">
        <f t="shared" ca="1" si="32"/>
        <v>-1.0855395486338102E-2</v>
      </c>
    </row>
    <row r="954" spans="2:8" x14ac:dyDescent="0.3">
      <c r="B954" s="113">
        <v>42131</v>
      </c>
      <c r="C954">
        <v>213.84</v>
      </c>
      <c r="D954">
        <f t="shared" si="31"/>
        <v>-7.6564321803342356E-2</v>
      </c>
      <c r="E954">
        <v>1.3219616204690794E-2</v>
      </c>
      <c r="G954">
        <v>952</v>
      </c>
      <c r="H954">
        <f t="shared" ca="1" si="32"/>
        <v>-2.8980059128134047E-2</v>
      </c>
    </row>
    <row r="955" spans="2:8" x14ac:dyDescent="0.3">
      <c r="B955" s="113">
        <v>41543</v>
      </c>
      <c r="C955">
        <v>231.57</v>
      </c>
      <c r="D955">
        <f t="shared" si="31"/>
        <v>5.2909535452322736</v>
      </c>
      <c r="E955">
        <v>1.3213738788011296E-2</v>
      </c>
      <c r="G955">
        <v>953</v>
      </c>
      <c r="H955">
        <f t="shared" ca="1" si="32"/>
        <v>-7.3864555617008214E-3</v>
      </c>
    </row>
    <row r="956" spans="2:8" x14ac:dyDescent="0.3">
      <c r="B956" s="113">
        <v>38558</v>
      </c>
      <c r="C956">
        <v>36.81</v>
      </c>
      <c r="D956">
        <f t="shared" si="31"/>
        <v>-0.28385214007782095</v>
      </c>
      <c r="E956">
        <v>1.3212221304706964E-2</v>
      </c>
      <c r="G956">
        <v>954</v>
      </c>
      <c r="H956">
        <f t="shared" ca="1" si="32"/>
        <v>-2.1357286160515142E-2</v>
      </c>
    </row>
    <row r="957" spans="2:8" x14ac:dyDescent="0.3">
      <c r="B957" s="113">
        <v>39253</v>
      </c>
      <c r="C957">
        <v>51.4</v>
      </c>
      <c r="D957">
        <f t="shared" si="31"/>
        <v>-0.50429163853794967</v>
      </c>
      <c r="E957">
        <v>1.3207175241474507E-2</v>
      </c>
      <c r="G957">
        <v>955</v>
      </c>
      <c r="H957">
        <f t="shared" ca="1" si="32"/>
        <v>5.4533264436064143E-3</v>
      </c>
    </row>
    <row r="958" spans="2:8" x14ac:dyDescent="0.3">
      <c r="B958" s="113">
        <v>40392</v>
      </c>
      <c r="C958">
        <v>103.69</v>
      </c>
      <c r="D958">
        <f t="shared" si="31"/>
        <v>6.4974692697035428</v>
      </c>
      <c r="E958">
        <v>1.3191323040844189E-2</v>
      </c>
      <c r="G958">
        <v>956</v>
      </c>
      <c r="H958">
        <f t="shared" ca="1" si="32"/>
        <v>1.947307553782231E-2</v>
      </c>
    </row>
    <row r="959" spans="2:8" x14ac:dyDescent="0.3">
      <c r="B959" s="113">
        <v>37578</v>
      </c>
      <c r="C959">
        <v>13.83</v>
      </c>
      <c r="D959">
        <f t="shared" si="31"/>
        <v>-0.94558331693881559</v>
      </c>
      <c r="E959">
        <v>1.3186813186813166E-2</v>
      </c>
      <c r="G959">
        <v>957</v>
      </c>
      <c r="H959">
        <f t="shared" ca="1" si="32"/>
        <v>3.9253534227751415E-2</v>
      </c>
    </row>
    <row r="960" spans="2:8" x14ac:dyDescent="0.3">
      <c r="B960" s="113">
        <v>42754</v>
      </c>
      <c r="C960">
        <v>254.15</v>
      </c>
      <c r="D960">
        <f t="shared" si="31"/>
        <v>15.460492227979275</v>
      </c>
      <c r="E960">
        <v>1.3155272074945231E-2</v>
      </c>
      <c r="G960">
        <v>958</v>
      </c>
      <c r="H960">
        <f t="shared" ca="1" si="32"/>
        <v>-2.6255087981577871E-2</v>
      </c>
    </row>
    <row r="961" spans="2:8" x14ac:dyDescent="0.3">
      <c r="B961" s="113">
        <v>37484</v>
      </c>
      <c r="C961">
        <v>15.44</v>
      </c>
      <c r="D961">
        <f t="shared" si="31"/>
        <v>-0.73705722070844693</v>
      </c>
      <c r="E961">
        <v>1.3123359580052446E-2</v>
      </c>
      <c r="G961">
        <v>959</v>
      </c>
      <c r="H961">
        <f t="shared" ca="1" si="32"/>
        <v>9.900479663337387E-3</v>
      </c>
    </row>
    <row r="962" spans="2:8" x14ac:dyDescent="0.3">
      <c r="B962" s="113">
        <v>39115</v>
      </c>
      <c r="C962">
        <v>58.72</v>
      </c>
      <c r="D962">
        <f t="shared" si="31"/>
        <v>-0.71761084928344721</v>
      </c>
      <c r="E962">
        <v>1.3112491373360903E-2</v>
      </c>
      <c r="G962">
        <v>960</v>
      </c>
      <c r="H962">
        <f t="shared" ca="1" si="32"/>
        <v>-8.4768622991349234E-3</v>
      </c>
    </row>
    <row r="963" spans="2:8" x14ac:dyDescent="0.3">
      <c r="B963" s="113">
        <v>42377</v>
      </c>
      <c r="C963">
        <v>207.94</v>
      </c>
      <c r="D963">
        <f t="shared" ref="D963:D1026" si="33">(C963-C964)/C964</f>
        <v>-0.31054376657824939</v>
      </c>
      <c r="E963">
        <v>1.3105968331303277E-2</v>
      </c>
      <c r="G963">
        <v>961</v>
      </c>
      <c r="H963">
        <f t="shared" ca="1" si="32"/>
        <v>3.5760779471194766E-3</v>
      </c>
    </row>
    <row r="964" spans="2:8" x14ac:dyDescent="0.3">
      <c r="B964" s="113">
        <v>43313</v>
      </c>
      <c r="C964">
        <v>301.60000000000002</v>
      </c>
      <c r="D964">
        <f t="shared" si="33"/>
        <v>3.4774346793349169</v>
      </c>
      <c r="E964">
        <v>1.3100436681222823E-2</v>
      </c>
      <c r="G964">
        <v>962</v>
      </c>
      <c r="H964">
        <f t="shared" ref="H964:H1027" ca="1" si="34">_xlfn.NORM.INV(RAND(),$L$4,$L$6)</f>
        <v>-2.2971443785315484E-2</v>
      </c>
    </row>
    <row r="965" spans="2:8" x14ac:dyDescent="0.3">
      <c r="B965" s="113">
        <v>39986</v>
      </c>
      <c r="C965">
        <v>67.36</v>
      </c>
      <c r="D965">
        <f t="shared" si="33"/>
        <v>-0.70523367757745503</v>
      </c>
      <c r="E965">
        <v>1.3084674387125954E-2</v>
      </c>
      <c r="G965">
        <v>963</v>
      </c>
      <c r="H965">
        <f t="shared" ca="1" si="34"/>
        <v>-1.820647338292811E-2</v>
      </c>
    </row>
    <row r="966" spans="2:8" x14ac:dyDescent="0.3">
      <c r="B966" s="113">
        <v>41764</v>
      </c>
      <c r="C966">
        <v>228.52</v>
      </c>
      <c r="D966">
        <f t="shared" si="33"/>
        <v>0.12516001969473173</v>
      </c>
      <c r="E966">
        <v>1.3077980227867258E-2</v>
      </c>
      <c r="G966">
        <v>964</v>
      </c>
      <c r="H966">
        <f t="shared" ca="1" si="34"/>
        <v>6.6040940619594962E-3</v>
      </c>
    </row>
    <row r="967" spans="2:8" x14ac:dyDescent="0.3">
      <c r="B967" s="113">
        <v>41359</v>
      </c>
      <c r="C967">
        <v>203.1</v>
      </c>
      <c r="D967">
        <f t="shared" si="33"/>
        <v>2.3553609780274241</v>
      </c>
      <c r="E967">
        <v>1.306863527533921E-2</v>
      </c>
      <c r="G967">
        <v>965</v>
      </c>
      <c r="H967">
        <f t="shared" ca="1" si="34"/>
        <v>1.4698955981126522E-2</v>
      </c>
    </row>
    <row r="968" spans="2:8" x14ac:dyDescent="0.3">
      <c r="B968" s="113">
        <v>39384</v>
      </c>
      <c r="C968">
        <v>60.53</v>
      </c>
      <c r="D968">
        <f t="shared" si="33"/>
        <v>-0.64550512445095165</v>
      </c>
      <c r="E968">
        <v>1.305439330543935E-2</v>
      </c>
      <c r="G968">
        <v>966</v>
      </c>
      <c r="H968">
        <f t="shared" ca="1" si="34"/>
        <v>3.3968563777996189E-2</v>
      </c>
    </row>
    <row r="969" spans="2:8" x14ac:dyDescent="0.3">
      <c r="B969" s="113">
        <v>44127</v>
      </c>
      <c r="C969">
        <v>170.75</v>
      </c>
      <c r="D969">
        <f t="shared" si="33"/>
        <v>1.8477318212141427</v>
      </c>
      <c r="E969">
        <v>1.3052506674577209E-2</v>
      </c>
      <c r="G969">
        <v>967</v>
      </c>
      <c r="H969">
        <f t="shared" ca="1" si="34"/>
        <v>4.6321396856645889E-3</v>
      </c>
    </row>
    <row r="970" spans="2:8" x14ac:dyDescent="0.3">
      <c r="B970" s="113">
        <v>38945</v>
      </c>
      <c r="C970">
        <v>59.96</v>
      </c>
      <c r="D970">
        <f t="shared" si="33"/>
        <v>-0.49697986577181208</v>
      </c>
      <c r="E970">
        <v>1.3008954215239114E-2</v>
      </c>
      <c r="G970">
        <v>968</v>
      </c>
      <c r="H970">
        <f t="shared" ca="1" si="34"/>
        <v>1.8326325241802718E-2</v>
      </c>
    </row>
    <row r="971" spans="2:8" x14ac:dyDescent="0.3">
      <c r="B971" s="113">
        <v>40548</v>
      </c>
      <c r="C971">
        <v>119.2</v>
      </c>
      <c r="D971">
        <f t="shared" si="33"/>
        <v>-0.48162644053055009</v>
      </c>
      <c r="E971">
        <v>1.3002464519418723E-2</v>
      </c>
      <c r="G971">
        <v>969</v>
      </c>
      <c r="H971">
        <f t="shared" ca="1" si="34"/>
        <v>-3.89844388684221E-3</v>
      </c>
    </row>
    <row r="972" spans="2:8" x14ac:dyDescent="0.3">
      <c r="B972" s="113">
        <v>42724</v>
      </c>
      <c r="C972">
        <v>229.95</v>
      </c>
      <c r="D972">
        <f t="shared" si="33"/>
        <v>-6.4673581452104972E-2</v>
      </c>
      <c r="E972">
        <v>1.2995594713656338E-2</v>
      </c>
      <c r="G972">
        <v>970</v>
      </c>
      <c r="H972">
        <f t="shared" ca="1" si="34"/>
        <v>8.1738248165653133E-3</v>
      </c>
    </row>
    <row r="973" spans="2:8" x14ac:dyDescent="0.3">
      <c r="B973" s="113">
        <v>42744</v>
      </c>
      <c r="C973">
        <v>245.85</v>
      </c>
      <c r="D973">
        <f t="shared" si="33"/>
        <v>4.4259545354226439</v>
      </c>
      <c r="E973">
        <v>1.2978986402966649E-2</v>
      </c>
      <c r="G973">
        <v>971</v>
      </c>
      <c r="H973">
        <f t="shared" ca="1" si="34"/>
        <v>-2.0865643151694323E-2</v>
      </c>
    </row>
    <row r="974" spans="2:8" x14ac:dyDescent="0.3">
      <c r="B974" s="113">
        <v>38681</v>
      </c>
      <c r="C974">
        <v>45.31</v>
      </c>
      <c r="D974">
        <f t="shared" si="33"/>
        <v>-0.83683831472812387</v>
      </c>
      <c r="E974">
        <v>1.2966689023027172E-2</v>
      </c>
      <c r="G974">
        <v>972</v>
      </c>
      <c r="H974">
        <f t="shared" ca="1" si="34"/>
        <v>-3.3215481404977655E-3</v>
      </c>
    </row>
    <row r="975" spans="2:8" x14ac:dyDescent="0.3">
      <c r="B975" s="113">
        <v>43502</v>
      </c>
      <c r="C975">
        <v>277.7</v>
      </c>
      <c r="D975">
        <f t="shared" si="33"/>
        <v>8.5857783914394208</v>
      </c>
      <c r="E975">
        <v>1.2949115447747626E-2</v>
      </c>
      <c r="G975">
        <v>973</v>
      </c>
      <c r="H975">
        <f t="shared" ca="1" si="34"/>
        <v>1.655915154382016E-2</v>
      </c>
    </row>
    <row r="976" spans="2:8" x14ac:dyDescent="0.3">
      <c r="B976" s="113">
        <v>38352</v>
      </c>
      <c r="C976">
        <v>28.97</v>
      </c>
      <c r="D976">
        <f t="shared" si="33"/>
        <v>-0.86299361551194131</v>
      </c>
      <c r="E976">
        <v>1.2937062937062847E-2</v>
      </c>
      <c r="G976">
        <v>974</v>
      </c>
      <c r="H976">
        <f t="shared" ca="1" si="34"/>
        <v>-2.0548426835411797E-2</v>
      </c>
    </row>
    <row r="977" spans="2:8" x14ac:dyDescent="0.3">
      <c r="B977" s="113">
        <v>44354</v>
      </c>
      <c r="C977">
        <v>211.45</v>
      </c>
      <c r="D977">
        <f t="shared" si="33"/>
        <v>-3.009036282739325E-2</v>
      </c>
      <c r="E977">
        <v>1.2934131736526891E-2</v>
      </c>
      <c r="G977">
        <v>975</v>
      </c>
      <c r="H977">
        <f t="shared" ca="1" si="34"/>
        <v>-6.2362613891518781E-3</v>
      </c>
    </row>
    <row r="978" spans="2:8" x14ac:dyDescent="0.3">
      <c r="B978" s="113">
        <v>41394</v>
      </c>
      <c r="C978">
        <v>218.01</v>
      </c>
      <c r="D978">
        <f t="shared" si="33"/>
        <v>14.439801699716714</v>
      </c>
      <c r="E978">
        <v>1.291641499790922E-2</v>
      </c>
      <c r="G978">
        <v>976</v>
      </c>
      <c r="H978">
        <f t="shared" ca="1" si="34"/>
        <v>3.3357433772894067E-2</v>
      </c>
    </row>
    <row r="979" spans="2:8" x14ac:dyDescent="0.3">
      <c r="B979" s="113">
        <v>37678</v>
      </c>
      <c r="C979">
        <v>14.12</v>
      </c>
      <c r="D979">
        <f t="shared" si="33"/>
        <v>-0.37934065934065936</v>
      </c>
      <c r="E979">
        <v>1.291248206599711E-2</v>
      </c>
      <c r="G979">
        <v>977</v>
      </c>
      <c r="H979">
        <f t="shared" ca="1" si="34"/>
        <v>-2.7143955542080326E-2</v>
      </c>
    </row>
    <row r="980" spans="2:8" x14ac:dyDescent="0.3">
      <c r="B980" s="113">
        <v>38223</v>
      </c>
      <c r="C980">
        <v>22.75</v>
      </c>
      <c r="D980">
        <f t="shared" si="33"/>
        <v>-0.84746899094870931</v>
      </c>
      <c r="E980">
        <v>1.2911843276936738E-2</v>
      </c>
      <c r="G980">
        <v>978</v>
      </c>
      <c r="H980">
        <f t="shared" ca="1" si="34"/>
        <v>8.2640137622050774E-3</v>
      </c>
    </row>
    <row r="981" spans="2:8" x14ac:dyDescent="0.3">
      <c r="B981" s="113">
        <v>43907</v>
      </c>
      <c r="C981">
        <v>149.15</v>
      </c>
      <c r="D981">
        <f t="shared" si="33"/>
        <v>0.21705426356589155</v>
      </c>
      <c r="E981">
        <v>1.2903225806451651E-2</v>
      </c>
      <c r="G981">
        <v>979</v>
      </c>
      <c r="H981">
        <f t="shared" ca="1" si="34"/>
        <v>-6.6759321770132121E-3</v>
      </c>
    </row>
    <row r="982" spans="2:8" x14ac:dyDescent="0.3">
      <c r="B982" s="113">
        <v>40637</v>
      </c>
      <c r="C982">
        <v>122.55</v>
      </c>
      <c r="D982">
        <f t="shared" si="33"/>
        <v>-0.35193019566367001</v>
      </c>
      <c r="E982">
        <v>1.2893627572526675E-2</v>
      </c>
      <c r="G982">
        <v>980</v>
      </c>
      <c r="H982">
        <f t="shared" ca="1" si="34"/>
        <v>1.1631625867658361E-2</v>
      </c>
    </row>
    <row r="983" spans="2:8" x14ac:dyDescent="0.3">
      <c r="B983" s="113">
        <v>44081</v>
      </c>
      <c r="C983">
        <v>189.1</v>
      </c>
      <c r="D983">
        <f t="shared" si="33"/>
        <v>-0.17857608270709358</v>
      </c>
      <c r="E983">
        <v>1.2854847348687765E-2</v>
      </c>
      <c r="G983">
        <v>981</v>
      </c>
      <c r="H983">
        <f t="shared" ca="1" si="34"/>
        <v>-2.4904320067521113E-3</v>
      </c>
    </row>
    <row r="984" spans="2:8" x14ac:dyDescent="0.3">
      <c r="B984" s="113">
        <v>42284</v>
      </c>
      <c r="C984">
        <v>230.21</v>
      </c>
      <c r="D984">
        <f t="shared" si="33"/>
        <v>1.0419549405712261</v>
      </c>
      <c r="E984">
        <v>1.284702362620448E-2</v>
      </c>
      <c r="G984">
        <v>982</v>
      </c>
      <c r="H984">
        <f t="shared" ca="1" si="34"/>
        <v>3.328865516520705E-2</v>
      </c>
    </row>
    <row r="985" spans="2:8" x14ac:dyDescent="0.3">
      <c r="B985" s="113">
        <v>40624</v>
      </c>
      <c r="C985">
        <v>112.74</v>
      </c>
      <c r="D985">
        <f t="shared" si="33"/>
        <v>3.4631828978622323</v>
      </c>
      <c r="E985">
        <v>1.2847003863085011E-2</v>
      </c>
      <c r="G985">
        <v>983</v>
      </c>
      <c r="H985">
        <f t="shared" ca="1" si="34"/>
        <v>1.1489911551932666E-2</v>
      </c>
    </row>
    <row r="986" spans="2:8" x14ac:dyDescent="0.3">
      <c r="B986" s="113">
        <v>38301</v>
      </c>
      <c r="C986">
        <v>25.26</v>
      </c>
      <c r="D986">
        <f t="shared" si="33"/>
        <v>0.77762139338494018</v>
      </c>
      <c r="E986">
        <v>1.2830793905372905E-2</v>
      </c>
      <c r="G986">
        <v>984</v>
      </c>
      <c r="H986">
        <f t="shared" ca="1" si="34"/>
        <v>2.6862444494812107E-2</v>
      </c>
    </row>
    <row r="987" spans="2:8" x14ac:dyDescent="0.3">
      <c r="B987" s="113">
        <v>37536</v>
      </c>
      <c r="C987">
        <v>14.21</v>
      </c>
      <c r="D987">
        <f t="shared" si="33"/>
        <v>-0.93080107134161183</v>
      </c>
      <c r="E987">
        <v>1.28296507483964E-2</v>
      </c>
      <c r="G987">
        <v>985</v>
      </c>
      <c r="H987">
        <f t="shared" ca="1" si="34"/>
        <v>-2.0342472048457131E-2</v>
      </c>
    </row>
    <row r="988" spans="2:8" x14ac:dyDescent="0.3">
      <c r="B988" s="113">
        <v>44323</v>
      </c>
      <c r="C988">
        <v>205.35</v>
      </c>
      <c r="D988">
        <f t="shared" si="33"/>
        <v>-9.8115859282357609E-2</v>
      </c>
      <c r="E988">
        <v>1.2823674475955582E-2</v>
      </c>
      <c r="G988">
        <v>986</v>
      </c>
      <c r="H988">
        <f t="shared" ca="1" si="34"/>
        <v>-3.4621921029303489E-3</v>
      </c>
    </row>
    <row r="989" spans="2:8" x14ac:dyDescent="0.3">
      <c r="B989" s="113">
        <v>42286</v>
      </c>
      <c r="C989">
        <v>227.69</v>
      </c>
      <c r="D989">
        <f t="shared" si="33"/>
        <v>-0.10163740382718482</v>
      </c>
      <c r="E989">
        <v>1.2810818024109227E-2</v>
      </c>
      <c r="G989">
        <v>987</v>
      </c>
      <c r="H989">
        <f t="shared" ca="1" si="34"/>
        <v>-1.7831095549990339E-3</v>
      </c>
    </row>
    <row r="990" spans="2:8" x14ac:dyDescent="0.3">
      <c r="B990" s="113">
        <v>42607</v>
      </c>
      <c r="C990">
        <v>253.45</v>
      </c>
      <c r="D990">
        <f t="shared" si="33"/>
        <v>4.9048013245033092E-2</v>
      </c>
      <c r="E990">
        <v>1.2787212787212742E-2</v>
      </c>
      <c r="G990">
        <v>988</v>
      </c>
      <c r="H990">
        <f t="shared" ca="1" si="34"/>
        <v>9.4787571598737488E-3</v>
      </c>
    </row>
    <row r="991" spans="2:8" x14ac:dyDescent="0.3">
      <c r="B991" s="113">
        <v>43812</v>
      </c>
      <c r="C991">
        <v>241.6</v>
      </c>
      <c r="D991">
        <f t="shared" si="33"/>
        <v>0.41137983409276774</v>
      </c>
      <c r="E991">
        <v>1.278557954307266E-2</v>
      </c>
      <c r="G991">
        <v>989</v>
      </c>
      <c r="H991">
        <f t="shared" ca="1" si="34"/>
        <v>4.606677047716448E-3</v>
      </c>
    </row>
    <row r="992" spans="2:8" x14ac:dyDescent="0.3">
      <c r="B992" s="113">
        <v>41120</v>
      </c>
      <c r="C992">
        <v>171.18</v>
      </c>
      <c r="D992">
        <f t="shared" si="33"/>
        <v>-0.13352905446446647</v>
      </c>
      <c r="E992">
        <v>1.2779552715654931E-2</v>
      </c>
      <c r="G992">
        <v>990</v>
      </c>
      <c r="H992">
        <f t="shared" ca="1" si="34"/>
        <v>3.2006668826363095E-3</v>
      </c>
    </row>
    <row r="993" spans="2:8" x14ac:dyDescent="0.3">
      <c r="B993" s="113">
        <v>41242</v>
      </c>
      <c r="C993">
        <v>197.56</v>
      </c>
      <c r="D993">
        <f t="shared" si="33"/>
        <v>10.31500572737686</v>
      </c>
      <c r="E993">
        <v>1.2764648587686519E-2</v>
      </c>
      <c r="G993">
        <v>991</v>
      </c>
      <c r="H993">
        <f t="shared" ca="1" si="34"/>
        <v>-9.1610968775233913E-3</v>
      </c>
    </row>
    <row r="994" spans="2:8" x14ac:dyDescent="0.3">
      <c r="B994" s="113">
        <v>37887</v>
      </c>
      <c r="C994">
        <v>17.46</v>
      </c>
      <c r="D994">
        <f t="shared" si="33"/>
        <v>-0.92003297609233303</v>
      </c>
      <c r="E994">
        <v>1.2761020881670675E-2</v>
      </c>
      <c r="G994">
        <v>992</v>
      </c>
      <c r="H994">
        <f t="shared" ca="1" si="34"/>
        <v>4.7527783284693854E-3</v>
      </c>
    </row>
    <row r="995" spans="2:8" x14ac:dyDescent="0.3">
      <c r="B995" s="113">
        <v>41822</v>
      </c>
      <c r="C995">
        <v>218.34</v>
      </c>
      <c r="D995">
        <f t="shared" si="33"/>
        <v>0.69676717438607394</v>
      </c>
      <c r="E995">
        <v>1.2755693677814369E-2</v>
      </c>
      <c r="G995">
        <v>993</v>
      </c>
      <c r="H995">
        <f t="shared" ca="1" si="34"/>
        <v>-1.0486080993649958E-2</v>
      </c>
    </row>
    <row r="996" spans="2:8" x14ac:dyDescent="0.3">
      <c r="B996" s="113">
        <v>40821</v>
      </c>
      <c r="C996">
        <v>128.68</v>
      </c>
      <c r="D996">
        <f t="shared" si="33"/>
        <v>0.22657515966066163</v>
      </c>
      <c r="E996">
        <v>1.2749881945537576E-2</v>
      </c>
      <c r="G996">
        <v>994</v>
      </c>
      <c r="H996">
        <f t="shared" ca="1" si="34"/>
        <v>6.0613483367748201E-3</v>
      </c>
    </row>
    <row r="997" spans="2:8" x14ac:dyDescent="0.3">
      <c r="B997" s="113">
        <v>40406</v>
      </c>
      <c r="C997">
        <v>104.91</v>
      </c>
      <c r="D997">
        <f t="shared" si="33"/>
        <v>0.24477930707166581</v>
      </c>
      <c r="E997">
        <v>1.2742542716478358E-2</v>
      </c>
      <c r="G997">
        <v>995</v>
      </c>
      <c r="H997">
        <f t="shared" ca="1" si="34"/>
        <v>-2.0172687530700253E-2</v>
      </c>
    </row>
    <row r="998" spans="2:8" x14ac:dyDescent="0.3">
      <c r="B998" s="113">
        <v>40247</v>
      </c>
      <c r="C998">
        <v>84.28</v>
      </c>
      <c r="D998">
        <f t="shared" si="33"/>
        <v>0.30788330229671018</v>
      </c>
      <c r="E998">
        <v>1.2737322758952202E-2</v>
      </c>
      <c r="G998">
        <v>996</v>
      </c>
      <c r="H998">
        <f t="shared" ca="1" si="34"/>
        <v>3.134607659812829E-2</v>
      </c>
    </row>
    <row r="999" spans="2:8" x14ac:dyDescent="0.3">
      <c r="B999" s="113">
        <v>39693</v>
      </c>
      <c r="C999">
        <v>64.44</v>
      </c>
      <c r="D999">
        <f t="shared" si="33"/>
        <v>-0.69549191947831024</v>
      </c>
      <c r="E999">
        <v>1.2729844413012654E-2</v>
      </c>
      <c r="G999">
        <v>997</v>
      </c>
      <c r="H999">
        <f t="shared" ca="1" si="34"/>
        <v>-2.106011294295447E-2</v>
      </c>
    </row>
    <row r="1000" spans="2:8" x14ac:dyDescent="0.3">
      <c r="B1000" s="113">
        <v>41631</v>
      </c>
      <c r="C1000">
        <v>211.62</v>
      </c>
      <c r="D1000">
        <f t="shared" si="33"/>
        <v>1.4564132327336041</v>
      </c>
      <c r="E1000">
        <v>1.2729709035222036E-2</v>
      </c>
      <c r="G1000">
        <v>998</v>
      </c>
      <c r="H1000">
        <f t="shared" ca="1" si="34"/>
        <v>-3.3167971985842933E-2</v>
      </c>
    </row>
    <row r="1001" spans="2:8" x14ac:dyDescent="0.3">
      <c r="B1001" s="113">
        <v>40137</v>
      </c>
      <c r="C1001">
        <v>86.15</v>
      </c>
      <c r="D1001">
        <f t="shared" si="33"/>
        <v>-0.34976224620726093</v>
      </c>
      <c r="E1001">
        <v>1.2695427295168833E-2</v>
      </c>
      <c r="G1001">
        <v>999</v>
      </c>
      <c r="H1001">
        <f t="shared" ca="1" si="34"/>
        <v>4.9130361875281544E-3</v>
      </c>
    </row>
    <row r="1002" spans="2:8" x14ac:dyDescent="0.3">
      <c r="B1002" s="113">
        <v>40891</v>
      </c>
      <c r="C1002">
        <v>132.49</v>
      </c>
      <c r="D1002">
        <f t="shared" si="33"/>
        <v>2.1886883273164868</v>
      </c>
      <c r="E1002">
        <v>1.2688221355958085E-2</v>
      </c>
      <c r="G1002">
        <v>1000</v>
      </c>
      <c r="H1002">
        <f t="shared" ca="1" si="34"/>
        <v>-1.0262066019025282E-2</v>
      </c>
    </row>
    <row r="1003" spans="2:8" x14ac:dyDescent="0.3">
      <c r="B1003" s="113">
        <v>38610</v>
      </c>
      <c r="C1003">
        <v>41.55</v>
      </c>
      <c r="D1003">
        <f t="shared" si="33"/>
        <v>-0.82377640173042677</v>
      </c>
      <c r="E1003">
        <v>1.2673653424323568E-2</v>
      </c>
      <c r="G1003">
        <v>1001</v>
      </c>
      <c r="H1003">
        <f t="shared" ca="1" si="34"/>
        <v>-1.5104332820969372E-2</v>
      </c>
    </row>
    <row r="1004" spans="2:8" x14ac:dyDescent="0.3">
      <c r="B1004" s="113">
        <v>41894</v>
      </c>
      <c r="C1004">
        <v>235.78</v>
      </c>
      <c r="D1004">
        <f t="shared" si="33"/>
        <v>4.1728828433523475</v>
      </c>
      <c r="E1004">
        <v>1.2670188549585485E-2</v>
      </c>
      <c r="G1004">
        <v>1002</v>
      </c>
      <c r="H1004">
        <f t="shared" ca="1" si="34"/>
        <v>5.1163236092897314E-3</v>
      </c>
    </row>
    <row r="1005" spans="2:8" x14ac:dyDescent="0.3">
      <c r="B1005" s="113">
        <v>38688</v>
      </c>
      <c r="C1005">
        <v>45.58</v>
      </c>
      <c r="D1005">
        <f t="shared" si="33"/>
        <v>-0.81909108950188536</v>
      </c>
      <c r="E1005">
        <v>1.266385247722729E-2</v>
      </c>
      <c r="G1005">
        <v>1003</v>
      </c>
      <c r="H1005">
        <f t="shared" ca="1" si="34"/>
        <v>-2.9185922790473995E-2</v>
      </c>
    </row>
    <row r="1006" spans="2:8" x14ac:dyDescent="0.3">
      <c r="B1006" s="113">
        <v>42752</v>
      </c>
      <c r="C1006">
        <v>251.95</v>
      </c>
      <c r="D1006">
        <f t="shared" si="33"/>
        <v>0.20228096965069664</v>
      </c>
      <c r="E1006">
        <v>1.2660771704179972E-2</v>
      </c>
      <c r="G1006">
        <v>1004</v>
      </c>
      <c r="H1006">
        <f t="shared" ca="1" si="34"/>
        <v>1.3017876784171932E-2</v>
      </c>
    </row>
    <row r="1007" spans="2:8" x14ac:dyDescent="0.3">
      <c r="B1007" s="113">
        <v>42270</v>
      </c>
      <c r="C1007">
        <v>209.56</v>
      </c>
      <c r="D1007">
        <f t="shared" si="33"/>
        <v>12.777777777777777</v>
      </c>
      <c r="E1007">
        <v>1.2660674591669105E-2</v>
      </c>
      <c r="G1007">
        <v>1005</v>
      </c>
      <c r="H1007">
        <f t="shared" ca="1" si="34"/>
        <v>3.2420465758969307E-2</v>
      </c>
    </row>
    <row r="1008" spans="2:8" x14ac:dyDescent="0.3">
      <c r="B1008" s="113">
        <v>37767</v>
      </c>
      <c r="C1008">
        <v>15.21</v>
      </c>
      <c r="D1008">
        <f t="shared" si="33"/>
        <v>-0.9367041198501872</v>
      </c>
      <c r="E1008">
        <v>1.264980026631167E-2</v>
      </c>
      <c r="G1008">
        <v>1006</v>
      </c>
      <c r="H1008">
        <f t="shared" ca="1" si="34"/>
        <v>2.806196134291792E-2</v>
      </c>
    </row>
    <row r="1009" spans="2:8" x14ac:dyDescent="0.3">
      <c r="B1009" s="113">
        <v>42677</v>
      </c>
      <c r="C1009">
        <v>240.3</v>
      </c>
      <c r="D1009">
        <f t="shared" si="33"/>
        <v>0.45539337411422681</v>
      </c>
      <c r="E1009">
        <v>1.2642225031605562E-2</v>
      </c>
      <c r="G1009">
        <v>1007</v>
      </c>
      <c r="H1009">
        <f t="shared" ca="1" si="34"/>
        <v>-1.2799586409836072E-3</v>
      </c>
    </row>
    <row r="1010" spans="2:8" x14ac:dyDescent="0.3">
      <c r="B1010" s="113">
        <v>41025</v>
      </c>
      <c r="C1010">
        <v>165.11</v>
      </c>
      <c r="D1010">
        <f t="shared" si="33"/>
        <v>-0.25171085429413093</v>
      </c>
      <c r="E1010">
        <v>1.263416130021467E-2</v>
      </c>
      <c r="G1010">
        <v>1008</v>
      </c>
      <c r="H1010">
        <f t="shared" ca="1" si="34"/>
        <v>2.5258460278892073E-2</v>
      </c>
    </row>
    <row r="1011" spans="2:8" x14ac:dyDescent="0.3">
      <c r="B1011" s="113">
        <v>44537</v>
      </c>
      <c r="C1011">
        <v>220.65</v>
      </c>
      <c r="D1011">
        <f t="shared" si="33"/>
        <v>-0.1136774452701345</v>
      </c>
      <c r="E1011">
        <v>1.2620468104635154E-2</v>
      </c>
      <c r="G1011">
        <v>1009</v>
      </c>
      <c r="H1011">
        <f t="shared" ca="1" si="34"/>
        <v>-3.0430929516362302E-3</v>
      </c>
    </row>
    <row r="1012" spans="2:8" x14ac:dyDescent="0.3">
      <c r="B1012" s="113">
        <v>42745</v>
      </c>
      <c r="C1012">
        <v>248.95</v>
      </c>
      <c r="D1012">
        <f t="shared" si="33"/>
        <v>6.8913696865607485E-2</v>
      </c>
      <c r="E1012">
        <v>1.2609314622737419E-2</v>
      </c>
      <c r="G1012">
        <v>1010</v>
      </c>
      <c r="H1012">
        <f t="shared" ca="1" si="34"/>
        <v>-2.5853506038512709E-2</v>
      </c>
    </row>
    <row r="1013" spans="2:8" x14ac:dyDescent="0.3">
      <c r="B1013" s="113">
        <v>44512</v>
      </c>
      <c r="C1013">
        <v>232.9</v>
      </c>
      <c r="D1013">
        <f t="shared" si="33"/>
        <v>0.1048911238673562</v>
      </c>
      <c r="E1013">
        <v>1.2608695652173938E-2</v>
      </c>
      <c r="G1013">
        <v>1011</v>
      </c>
      <c r="H1013">
        <f t="shared" ca="1" si="34"/>
        <v>1.6965548524266318E-2</v>
      </c>
    </row>
    <row r="1014" spans="2:8" x14ac:dyDescent="0.3">
      <c r="B1014" s="113">
        <v>42201</v>
      </c>
      <c r="C1014">
        <v>210.79</v>
      </c>
      <c r="D1014">
        <f t="shared" si="33"/>
        <v>0.58584110743304252</v>
      </c>
      <c r="E1014">
        <v>1.2585867319978886E-2</v>
      </c>
      <c r="G1014">
        <v>1012</v>
      </c>
      <c r="H1014">
        <f t="shared" ca="1" si="34"/>
        <v>-2.5627658381246828E-3</v>
      </c>
    </row>
    <row r="1015" spans="2:8" x14ac:dyDescent="0.3">
      <c r="B1015" s="113">
        <v>40771</v>
      </c>
      <c r="C1015">
        <v>132.91999999999999</v>
      </c>
      <c r="D1015">
        <f t="shared" si="33"/>
        <v>-0.40223061701744928</v>
      </c>
      <c r="E1015">
        <v>1.256951321703342E-2</v>
      </c>
      <c r="G1015">
        <v>1013</v>
      </c>
      <c r="H1015">
        <f t="shared" ca="1" si="34"/>
        <v>3.5777190565469991E-2</v>
      </c>
    </row>
    <row r="1016" spans="2:8" x14ac:dyDescent="0.3">
      <c r="B1016" s="113">
        <v>42478</v>
      </c>
      <c r="C1016">
        <v>222.36</v>
      </c>
      <c r="D1016">
        <f t="shared" si="33"/>
        <v>12.794044665012407</v>
      </c>
      <c r="E1016">
        <v>1.2568306010929051E-2</v>
      </c>
      <c r="G1016">
        <v>1014</v>
      </c>
      <c r="H1016">
        <f t="shared" ca="1" si="34"/>
        <v>1.9589282695292767E-2</v>
      </c>
    </row>
    <row r="1017" spans="2:8" x14ac:dyDescent="0.3">
      <c r="B1017" s="113">
        <v>37837</v>
      </c>
      <c r="C1017">
        <v>16.12</v>
      </c>
      <c r="D1017">
        <f t="shared" si="33"/>
        <v>-0.93656040928768203</v>
      </c>
      <c r="E1017">
        <v>1.2562814070351825E-2</v>
      </c>
      <c r="G1017">
        <v>1015</v>
      </c>
      <c r="H1017">
        <f t="shared" ca="1" si="34"/>
        <v>2.385718011691805E-2</v>
      </c>
    </row>
    <row r="1018" spans="2:8" x14ac:dyDescent="0.3">
      <c r="B1018" s="113">
        <v>42604</v>
      </c>
      <c r="C1018">
        <v>254.1</v>
      </c>
      <c r="D1018">
        <f t="shared" si="33"/>
        <v>0.21057646498332533</v>
      </c>
      <c r="E1018">
        <v>1.255230125523015E-2</v>
      </c>
      <c r="G1018">
        <v>1016</v>
      </c>
      <c r="H1018">
        <f t="shared" ca="1" si="34"/>
        <v>2.5707946506599549E-2</v>
      </c>
    </row>
    <row r="1019" spans="2:8" x14ac:dyDescent="0.3">
      <c r="B1019" s="113">
        <v>44411</v>
      </c>
      <c r="C1019">
        <v>209.9</v>
      </c>
      <c r="D1019">
        <f t="shared" si="33"/>
        <v>13.436038514442918</v>
      </c>
      <c r="E1019">
        <v>1.2542209358417725E-2</v>
      </c>
      <c r="G1019">
        <v>1017</v>
      </c>
      <c r="H1019">
        <f t="shared" ca="1" si="34"/>
        <v>-6.1200516937635991E-3</v>
      </c>
    </row>
    <row r="1020" spans="2:8" x14ac:dyDescent="0.3">
      <c r="B1020" s="113">
        <v>37596</v>
      </c>
      <c r="C1020">
        <v>14.54</v>
      </c>
      <c r="D1020">
        <f t="shared" si="33"/>
        <v>-0.76931619863557044</v>
      </c>
      <c r="E1020">
        <v>1.2534818941504159E-2</v>
      </c>
      <c r="G1020">
        <v>1018</v>
      </c>
      <c r="H1020">
        <f t="shared" ca="1" si="34"/>
        <v>-1.489081021905053E-2</v>
      </c>
    </row>
    <row r="1021" spans="2:8" x14ac:dyDescent="0.3">
      <c r="B1021" s="113">
        <v>39665</v>
      </c>
      <c r="C1021">
        <v>63.03</v>
      </c>
      <c r="D1021">
        <f t="shared" si="33"/>
        <v>-0.57259103546484025</v>
      </c>
      <c r="E1021">
        <v>1.2530120481927729E-2</v>
      </c>
      <c r="G1021">
        <v>1019</v>
      </c>
      <c r="H1021">
        <f t="shared" ca="1" si="34"/>
        <v>6.9750171150179318E-3</v>
      </c>
    </row>
    <row r="1022" spans="2:8" x14ac:dyDescent="0.3">
      <c r="B1022" s="113">
        <v>40991</v>
      </c>
      <c r="C1022">
        <v>147.47</v>
      </c>
      <c r="D1022">
        <f t="shared" si="33"/>
        <v>-0.48009871320289083</v>
      </c>
      <c r="E1022">
        <v>1.2495708891177433E-2</v>
      </c>
      <c r="G1022">
        <v>1020</v>
      </c>
      <c r="H1022">
        <f t="shared" ca="1" si="34"/>
        <v>2.9694726827233894E-2</v>
      </c>
    </row>
    <row r="1023" spans="2:8" x14ac:dyDescent="0.3">
      <c r="B1023" s="113">
        <v>43231</v>
      </c>
      <c r="C1023">
        <v>283.64999999999998</v>
      </c>
      <c r="D1023">
        <f t="shared" si="33"/>
        <v>0.14555147207301788</v>
      </c>
      <c r="E1023">
        <v>1.2493307156880244E-2</v>
      </c>
      <c r="G1023">
        <v>1021</v>
      </c>
      <c r="H1023">
        <f t="shared" ca="1" si="34"/>
        <v>1.6410949686799597E-3</v>
      </c>
    </row>
    <row r="1024" spans="2:8" x14ac:dyDescent="0.3">
      <c r="B1024" s="113">
        <v>42041</v>
      </c>
      <c r="C1024">
        <v>247.61</v>
      </c>
      <c r="D1024">
        <f t="shared" si="33"/>
        <v>0.27581409727947237</v>
      </c>
      <c r="E1024">
        <v>1.2471377167157391E-2</v>
      </c>
      <c r="G1024">
        <v>1022</v>
      </c>
      <c r="H1024">
        <f t="shared" ca="1" si="34"/>
        <v>-5.6405361632024843E-3</v>
      </c>
    </row>
    <row r="1025" spans="2:8" x14ac:dyDescent="0.3">
      <c r="B1025" s="113">
        <v>41297</v>
      </c>
      <c r="C1025">
        <v>194.08</v>
      </c>
      <c r="D1025">
        <f t="shared" si="33"/>
        <v>11.497102382485513</v>
      </c>
      <c r="E1025">
        <v>1.2468047368146563E-2</v>
      </c>
      <c r="G1025">
        <v>1023</v>
      </c>
      <c r="H1025">
        <f t="shared" ca="1" si="34"/>
        <v>-8.7640999110828004E-3</v>
      </c>
    </row>
    <row r="1026" spans="2:8" x14ac:dyDescent="0.3">
      <c r="B1026" s="113">
        <v>37774</v>
      </c>
      <c r="C1026">
        <v>15.53</v>
      </c>
      <c r="D1026">
        <f t="shared" si="33"/>
        <v>-0.67257010331014122</v>
      </c>
      <c r="E1026">
        <v>1.2385919165580151E-2</v>
      </c>
      <c r="G1026">
        <v>1024</v>
      </c>
      <c r="H1026">
        <f t="shared" ca="1" si="34"/>
        <v>-2.7123058641544209E-2</v>
      </c>
    </row>
    <row r="1027" spans="2:8" x14ac:dyDescent="0.3">
      <c r="B1027" s="113">
        <v>38736</v>
      </c>
      <c r="C1027">
        <v>47.43</v>
      </c>
      <c r="D1027">
        <f t="shared" ref="D1027:D1090" si="35">(C1027-C1028)/C1028</f>
        <v>-0.8068024439918533</v>
      </c>
      <c r="E1027">
        <v>1.2379935965848415E-2</v>
      </c>
      <c r="G1027">
        <v>1025</v>
      </c>
      <c r="H1027">
        <f t="shared" ca="1" si="34"/>
        <v>2.1801834785895174E-2</v>
      </c>
    </row>
    <row r="1028" spans="2:8" x14ac:dyDescent="0.3">
      <c r="B1028" s="113">
        <v>43704</v>
      </c>
      <c r="C1028">
        <v>245.5</v>
      </c>
      <c r="D1028">
        <f t="shared" si="35"/>
        <v>1.1094689809245575</v>
      </c>
      <c r="E1028">
        <v>1.2371134020618556E-2</v>
      </c>
      <c r="G1028">
        <v>1026</v>
      </c>
      <c r="H1028">
        <f t="shared" ref="H1028:H1091" ca="1" si="36">_xlfn.NORM.INV(RAND(),$L$4,$L$6)</f>
        <v>1.0302933042964403E-3</v>
      </c>
    </row>
    <row r="1029" spans="2:8" x14ac:dyDescent="0.3">
      <c r="B1029" s="113">
        <v>40485</v>
      </c>
      <c r="C1029">
        <v>116.38</v>
      </c>
      <c r="D1029">
        <f t="shared" si="35"/>
        <v>0.33800873764083689</v>
      </c>
      <c r="E1029">
        <v>1.2352122477383454E-2</v>
      </c>
      <c r="G1029">
        <v>1027</v>
      </c>
      <c r="H1029">
        <f t="shared" ca="1" si="36"/>
        <v>1.2121152391449626E-2</v>
      </c>
    </row>
    <row r="1030" spans="2:8" x14ac:dyDescent="0.3">
      <c r="B1030" s="113">
        <v>40318</v>
      </c>
      <c r="C1030">
        <v>86.98</v>
      </c>
      <c r="D1030">
        <f t="shared" si="35"/>
        <v>0.53593501677556066</v>
      </c>
      <c r="E1030">
        <v>1.2337057728119208E-2</v>
      </c>
      <c r="G1030">
        <v>1028</v>
      </c>
      <c r="H1030">
        <f t="shared" ca="1" si="36"/>
        <v>2.6102134306697715E-2</v>
      </c>
    </row>
    <row r="1031" spans="2:8" x14ac:dyDescent="0.3">
      <c r="B1031" s="113">
        <v>38890</v>
      </c>
      <c r="C1031">
        <v>56.63</v>
      </c>
      <c r="D1031">
        <f t="shared" si="35"/>
        <v>-9.4354709739325096E-2</v>
      </c>
      <c r="E1031">
        <v>1.2334644261709061E-2</v>
      </c>
      <c r="G1031">
        <v>1029</v>
      </c>
      <c r="H1031">
        <f t="shared" ca="1" si="36"/>
        <v>-1.8974002634884485E-2</v>
      </c>
    </row>
    <row r="1032" spans="2:8" x14ac:dyDescent="0.3">
      <c r="B1032" s="113">
        <v>39011</v>
      </c>
      <c r="C1032">
        <v>62.53</v>
      </c>
      <c r="D1032">
        <f t="shared" si="35"/>
        <v>-0.429054054054054</v>
      </c>
      <c r="E1032">
        <v>1.2303707301278905E-2</v>
      </c>
      <c r="G1032">
        <v>1030</v>
      </c>
      <c r="H1032">
        <f t="shared" ca="1" si="36"/>
        <v>1.0841982865493184E-2</v>
      </c>
    </row>
    <row r="1033" spans="2:8" x14ac:dyDescent="0.3">
      <c r="B1033" s="113">
        <v>40435</v>
      </c>
      <c r="C1033">
        <v>109.52</v>
      </c>
      <c r="D1033">
        <f t="shared" si="35"/>
        <v>-0.53391778023661585</v>
      </c>
      <c r="E1033">
        <v>1.229318791015804E-2</v>
      </c>
      <c r="G1033">
        <v>1031</v>
      </c>
      <c r="H1033">
        <f t="shared" ca="1" si="36"/>
        <v>3.5276881355873818E-3</v>
      </c>
    </row>
    <row r="1034" spans="2:8" x14ac:dyDescent="0.3">
      <c r="B1034" s="113">
        <v>41941</v>
      </c>
      <c r="C1034">
        <v>234.98</v>
      </c>
      <c r="D1034">
        <f t="shared" si="35"/>
        <v>3.9025662424368868</v>
      </c>
      <c r="E1034">
        <v>1.2277603067246777E-2</v>
      </c>
      <c r="G1034">
        <v>1032</v>
      </c>
      <c r="H1034">
        <f t="shared" ca="1" si="36"/>
        <v>1.6293647246753709E-2</v>
      </c>
    </row>
    <row r="1035" spans="2:8" x14ac:dyDescent="0.3">
      <c r="B1035" s="113">
        <v>38729</v>
      </c>
      <c r="C1035">
        <v>47.93</v>
      </c>
      <c r="D1035">
        <f t="shared" si="35"/>
        <v>-0.82943060498220633</v>
      </c>
      <c r="E1035">
        <v>1.2249208025343152E-2</v>
      </c>
      <c r="G1035">
        <v>1033</v>
      </c>
      <c r="H1035">
        <f t="shared" ca="1" si="36"/>
        <v>-1.2544341440553892E-2</v>
      </c>
    </row>
    <row r="1036" spans="2:8" x14ac:dyDescent="0.3">
      <c r="B1036" s="113">
        <v>42818</v>
      </c>
      <c r="C1036">
        <v>281</v>
      </c>
      <c r="D1036">
        <f t="shared" si="35"/>
        <v>1.4436907557178884</v>
      </c>
      <c r="E1036">
        <v>1.2247838616714614E-2</v>
      </c>
      <c r="G1036">
        <v>1034</v>
      </c>
      <c r="H1036">
        <f t="shared" ca="1" si="36"/>
        <v>-6.2764529288499293E-3</v>
      </c>
    </row>
    <row r="1037" spans="2:8" x14ac:dyDescent="0.3">
      <c r="B1037" s="113">
        <v>40616</v>
      </c>
      <c r="C1037">
        <v>114.99</v>
      </c>
      <c r="D1037">
        <f t="shared" si="35"/>
        <v>-0.51306373067965283</v>
      </c>
      <c r="E1037">
        <v>1.2235915492957753E-2</v>
      </c>
      <c r="G1037">
        <v>1035</v>
      </c>
      <c r="H1037">
        <f t="shared" ca="1" si="36"/>
        <v>2.2027499308547787E-2</v>
      </c>
    </row>
    <row r="1038" spans="2:8" x14ac:dyDescent="0.3">
      <c r="B1038" s="113">
        <v>42713</v>
      </c>
      <c r="C1038">
        <v>236.15</v>
      </c>
      <c r="D1038">
        <f t="shared" si="35"/>
        <v>0.11681248522109254</v>
      </c>
      <c r="E1038">
        <v>1.2216030861551624E-2</v>
      </c>
      <c r="G1038">
        <v>1036</v>
      </c>
      <c r="H1038">
        <f t="shared" ca="1" si="36"/>
        <v>-1.5426812789366838E-3</v>
      </c>
    </row>
    <row r="1039" spans="2:8" x14ac:dyDescent="0.3">
      <c r="B1039" s="113">
        <v>44421</v>
      </c>
      <c r="C1039">
        <v>211.45</v>
      </c>
      <c r="D1039">
        <f t="shared" si="35"/>
        <v>0.79392551115635857</v>
      </c>
      <c r="E1039">
        <v>1.2206797510770622E-2</v>
      </c>
      <c r="G1039">
        <v>1037</v>
      </c>
      <c r="H1039">
        <f t="shared" ca="1" si="36"/>
        <v>1.496101747553589E-2</v>
      </c>
    </row>
    <row r="1040" spans="2:8" x14ac:dyDescent="0.3">
      <c r="B1040" s="113">
        <v>40491</v>
      </c>
      <c r="C1040">
        <v>117.87</v>
      </c>
      <c r="D1040">
        <f t="shared" si="35"/>
        <v>-0.60228768093936635</v>
      </c>
      <c r="E1040">
        <v>1.2194074710176056E-2</v>
      </c>
      <c r="G1040">
        <v>1038</v>
      </c>
      <c r="H1040">
        <f t="shared" ca="1" si="36"/>
        <v>-1.6550813424926127E-2</v>
      </c>
    </row>
    <row r="1041" spans="2:8" x14ac:dyDescent="0.3">
      <c r="B1041" s="113">
        <v>44762</v>
      </c>
      <c r="C1041">
        <v>296.37</v>
      </c>
      <c r="D1041">
        <f t="shared" si="35"/>
        <v>1.2413219390456025</v>
      </c>
      <c r="E1041">
        <v>1.2192622950819649E-2</v>
      </c>
      <c r="G1041">
        <v>1039</v>
      </c>
      <c r="H1041">
        <f t="shared" ca="1" si="36"/>
        <v>-2.0265354469040011E-3</v>
      </c>
    </row>
    <row r="1042" spans="2:8" x14ac:dyDescent="0.3">
      <c r="B1042" s="113">
        <v>40800</v>
      </c>
      <c r="C1042">
        <v>132.22999999999999</v>
      </c>
      <c r="D1042">
        <f t="shared" si="35"/>
        <v>-0.42320610687022903</v>
      </c>
      <c r="E1042">
        <v>1.2170851194121276E-2</v>
      </c>
      <c r="G1042">
        <v>1040</v>
      </c>
      <c r="H1042">
        <f t="shared" ca="1" si="36"/>
        <v>-1.5874270203428815E-2</v>
      </c>
    </row>
    <row r="1043" spans="2:8" x14ac:dyDescent="0.3">
      <c r="B1043" s="113">
        <v>41781</v>
      </c>
      <c r="C1043">
        <v>229.25</v>
      </c>
      <c r="D1043">
        <f t="shared" si="35"/>
        <v>-0.226290921363483</v>
      </c>
      <c r="E1043">
        <v>1.2141280353200883E-2</v>
      </c>
      <c r="G1043">
        <v>1041</v>
      </c>
      <c r="H1043">
        <f t="shared" ca="1" si="36"/>
        <v>-1.6175201052732711E-2</v>
      </c>
    </row>
    <row r="1044" spans="2:8" x14ac:dyDescent="0.3">
      <c r="B1044" s="113">
        <v>43564</v>
      </c>
      <c r="C1044">
        <v>296.3</v>
      </c>
      <c r="D1044">
        <f t="shared" si="35"/>
        <v>0.39127576653988833</v>
      </c>
      <c r="E1044">
        <v>1.2126387702818143E-2</v>
      </c>
      <c r="G1044">
        <v>1042</v>
      </c>
      <c r="H1044">
        <f t="shared" ca="1" si="36"/>
        <v>2.5423109669910678E-2</v>
      </c>
    </row>
    <row r="1045" spans="2:8" x14ac:dyDescent="0.3">
      <c r="B1045" s="113">
        <v>42348</v>
      </c>
      <c r="C1045">
        <v>212.97</v>
      </c>
      <c r="D1045">
        <f t="shared" si="35"/>
        <v>0.57394131993200792</v>
      </c>
      <c r="E1045">
        <v>1.2118619903051096E-2</v>
      </c>
      <c r="G1045">
        <v>1043</v>
      </c>
      <c r="H1045">
        <f t="shared" ca="1" si="36"/>
        <v>2.2081405629293433E-3</v>
      </c>
    </row>
    <row r="1046" spans="2:8" x14ac:dyDescent="0.3">
      <c r="B1046" s="113">
        <v>40743</v>
      </c>
      <c r="C1046">
        <v>135.31</v>
      </c>
      <c r="D1046">
        <f t="shared" si="35"/>
        <v>-0.38873328514636796</v>
      </c>
      <c r="E1046">
        <v>1.2117585458897484E-2</v>
      </c>
      <c r="G1046">
        <v>1044</v>
      </c>
      <c r="H1046">
        <f t="shared" ca="1" si="36"/>
        <v>1.2537311089059519E-2</v>
      </c>
    </row>
    <row r="1047" spans="2:8" x14ac:dyDescent="0.3">
      <c r="B1047" s="113">
        <v>41421</v>
      </c>
      <c r="C1047">
        <v>221.36</v>
      </c>
      <c r="D1047">
        <f t="shared" si="35"/>
        <v>-0.27422950819672126</v>
      </c>
      <c r="E1047">
        <v>1.2116501303095448E-2</v>
      </c>
      <c r="G1047">
        <v>1045</v>
      </c>
      <c r="H1047">
        <f t="shared" ca="1" si="36"/>
        <v>2.3139034954929114E-2</v>
      </c>
    </row>
    <row r="1048" spans="2:8" x14ac:dyDescent="0.3">
      <c r="B1048" s="113">
        <v>43587</v>
      </c>
      <c r="C1048">
        <v>305</v>
      </c>
      <c r="D1048">
        <f t="shared" si="35"/>
        <v>14.151515151515152</v>
      </c>
      <c r="E1048">
        <v>1.2112161937945834E-2</v>
      </c>
      <c r="G1048">
        <v>1046</v>
      </c>
      <c r="H1048">
        <f t="shared" ca="1" si="36"/>
        <v>4.142773387808954E-2</v>
      </c>
    </row>
    <row r="1049" spans="2:8" x14ac:dyDescent="0.3">
      <c r="B1049" s="113">
        <v>37960</v>
      </c>
      <c r="C1049">
        <v>20.13</v>
      </c>
      <c r="D1049">
        <f t="shared" si="35"/>
        <v>-0.87306091562618238</v>
      </c>
      <c r="E1049">
        <v>1.2066365007541399E-2</v>
      </c>
      <c r="G1049">
        <v>1047</v>
      </c>
      <c r="H1049">
        <f t="shared" ca="1" si="36"/>
        <v>7.5676420296834591E-3</v>
      </c>
    </row>
    <row r="1050" spans="2:8" x14ac:dyDescent="0.3">
      <c r="B1050" s="113">
        <v>41068</v>
      </c>
      <c r="C1050">
        <v>158.58000000000001</v>
      </c>
      <c r="D1050">
        <f t="shared" si="35"/>
        <v>1.8629716555334901</v>
      </c>
      <c r="E1050">
        <v>1.2062033314187343E-2</v>
      </c>
      <c r="G1050">
        <v>1048</v>
      </c>
      <c r="H1050">
        <f t="shared" ca="1" si="36"/>
        <v>-1.549315729084068E-2</v>
      </c>
    </row>
    <row r="1051" spans="2:8" x14ac:dyDescent="0.3">
      <c r="B1051" s="113">
        <v>39220</v>
      </c>
      <c r="C1051">
        <v>55.39</v>
      </c>
      <c r="D1051">
        <f t="shared" si="35"/>
        <v>-0.76267192253309912</v>
      </c>
      <c r="E1051">
        <v>1.2059199707655833E-2</v>
      </c>
      <c r="G1051">
        <v>1049</v>
      </c>
      <c r="H1051">
        <f t="shared" ca="1" si="36"/>
        <v>-1.1585450346669888E-2</v>
      </c>
    </row>
    <row r="1052" spans="2:8" x14ac:dyDescent="0.3">
      <c r="B1052" s="113">
        <v>42327</v>
      </c>
      <c r="C1052">
        <v>233.39</v>
      </c>
      <c r="D1052">
        <f t="shared" si="35"/>
        <v>0.21184900565969148</v>
      </c>
      <c r="E1052">
        <v>1.2054984606044719E-2</v>
      </c>
      <c r="G1052">
        <v>1050</v>
      </c>
      <c r="H1052">
        <f t="shared" ca="1" si="36"/>
        <v>-1.4910328880500473E-3</v>
      </c>
    </row>
    <row r="1053" spans="2:8" x14ac:dyDescent="0.3">
      <c r="B1053" s="113">
        <v>41269</v>
      </c>
      <c r="C1053">
        <v>192.59</v>
      </c>
      <c r="D1053">
        <f t="shared" si="35"/>
        <v>-0.18899229376342272</v>
      </c>
      <c r="E1053">
        <v>1.2033631108775575E-2</v>
      </c>
      <c r="G1053">
        <v>1051</v>
      </c>
      <c r="H1053">
        <f t="shared" ca="1" si="36"/>
        <v>4.2306437567082977E-3</v>
      </c>
    </row>
    <row r="1054" spans="2:8" x14ac:dyDescent="0.3">
      <c r="B1054" s="113">
        <v>41891</v>
      </c>
      <c r="C1054">
        <v>237.47</v>
      </c>
      <c r="D1054">
        <f t="shared" si="35"/>
        <v>0.17944770040727126</v>
      </c>
      <c r="E1054">
        <v>1.2017898998508388E-2</v>
      </c>
      <c r="G1054">
        <v>1052</v>
      </c>
      <c r="H1054">
        <f t="shared" ca="1" si="36"/>
        <v>-1.3767257592507196E-2</v>
      </c>
    </row>
    <row r="1055" spans="2:8" x14ac:dyDescent="0.3">
      <c r="B1055" s="113">
        <v>42415</v>
      </c>
      <c r="C1055">
        <v>201.34</v>
      </c>
      <c r="D1055">
        <f t="shared" si="35"/>
        <v>1.2541424093148232</v>
      </c>
      <c r="E1055">
        <v>1.2013068610203645E-2</v>
      </c>
      <c r="G1055">
        <v>1053</v>
      </c>
      <c r="H1055">
        <f t="shared" ca="1" si="36"/>
        <v>-9.7892253035654301E-3</v>
      </c>
    </row>
    <row r="1056" spans="2:8" x14ac:dyDescent="0.3">
      <c r="B1056" s="113">
        <v>40275</v>
      </c>
      <c r="C1056">
        <v>89.32</v>
      </c>
      <c r="D1056">
        <f t="shared" si="35"/>
        <v>-0.68359900814736096</v>
      </c>
      <c r="E1056">
        <v>1.2009970541581554E-2</v>
      </c>
      <c r="G1056">
        <v>1054</v>
      </c>
      <c r="H1056">
        <f t="shared" ca="1" si="36"/>
        <v>2.7457591378474105E-3</v>
      </c>
    </row>
    <row r="1057" spans="2:8" x14ac:dyDescent="0.3">
      <c r="B1057" s="113">
        <v>43238</v>
      </c>
      <c r="C1057">
        <v>282.3</v>
      </c>
      <c r="D1057">
        <f t="shared" si="35"/>
        <v>7.9954093343534954E-2</v>
      </c>
      <c r="E1057">
        <v>1.2009320666786245E-2</v>
      </c>
      <c r="G1057">
        <v>1055</v>
      </c>
      <c r="H1057">
        <f t="shared" ca="1" si="36"/>
        <v>-2.5903123064275193E-2</v>
      </c>
    </row>
    <row r="1058" spans="2:8" x14ac:dyDescent="0.3">
      <c r="B1058" s="113">
        <v>43011</v>
      </c>
      <c r="C1058">
        <v>261.39999999999998</v>
      </c>
      <c r="D1058">
        <f t="shared" si="35"/>
        <v>0.12672413793103438</v>
      </c>
      <c r="E1058">
        <v>1.2001548586914308E-2</v>
      </c>
      <c r="G1058">
        <v>1056</v>
      </c>
      <c r="H1058">
        <f t="shared" ca="1" si="36"/>
        <v>-5.7621199423716046E-4</v>
      </c>
    </row>
    <row r="1059" spans="2:8" x14ac:dyDescent="0.3">
      <c r="B1059" s="113">
        <v>44630</v>
      </c>
      <c r="C1059">
        <v>232</v>
      </c>
      <c r="D1059">
        <f t="shared" si="35"/>
        <v>9.353926473787277E-3</v>
      </c>
      <c r="E1059">
        <v>1.1995637949836423E-2</v>
      </c>
      <c r="G1059">
        <v>1057</v>
      </c>
      <c r="H1059">
        <f t="shared" ca="1" si="36"/>
        <v>2.2689132984796589E-2</v>
      </c>
    </row>
    <row r="1060" spans="2:8" x14ac:dyDescent="0.3">
      <c r="B1060" s="113">
        <v>41463</v>
      </c>
      <c r="C1060">
        <v>229.85</v>
      </c>
      <c r="D1060">
        <f t="shared" si="35"/>
        <v>0.15647798742138361</v>
      </c>
      <c r="E1060">
        <v>1.1975520626953721E-2</v>
      </c>
      <c r="G1060">
        <v>1058</v>
      </c>
      <c r="H1060">
        <f t="shared" ca="1" si="36"/>
        <v>-3.9556743472773069E-2</v>
      </c>
    </row>
    <row r="1061" spans="2:8" x14ac:dyDescent="0.3">
      <c r="B1061" s="113">
        <v>44060</v>
      </c>
      <c r="C1061">
        <v>198.75</v>
      </c>
      <c r="D1061">
        <f t="shared" si="35"/>
        <v>0.12300824951971981</v>
      </c>
      <c r="E1061">
        <v>1.1965376782077364E-2</v>
      </c>
      <c r="G1061">
        <v>1059</v>
      </c>
      <c r="H1061">
        <f t="shared" ca="1" si="36"/>
        <v>-3.1348236284205133E-2</v>
      </c>
    </row>
    <row r="1062" spans="2:8" x14ac:dyDescent="0.3">
      <c r="B1062" s="113">
        <v>41179</v>
      </c>
      <c r="C1062">
        <v>176.98</v>
      </c>
      <c r="D1062">
        <f t="shared" si="35"/>
        <v>-0.19627611262488648</v>
      </c>
      <c r="E1062">
        <v>1.1950368803247777E-2</v>
      </c>
      <c r="G1062">
        <v>1060</v>
      </c>
      <c r="H1062">
        <f t="shared" ca="1" si="36"/>
        <v>-6.8652048181418422E-3</v>
      </c>
    </row>
    <row r="1063" spans="2:8" x14ac:dyDescent="0.3">
      <c r="B1063" s="113">
        <v>44592</v>
      </c>
      <c r="C1063">
        <v>220.2</v>
      </c>
      <c r="D1063">
        <f t="shared" si="35"/>
        <v>4.6478471628172237E-2</v>
      </c>
      <c r="E1063">
        <v>1.1948529411764681E-2</v>
      </c>
      <c r="G1063">
        <v>1061</v>
      </c>
      <c r="H1063">
        <f t="shared" ca="1" si="36"/>
        <v>-3.7015818785472508E-3</v>
      </c>
    </row>
    <row r="1064" spans="2:8" x14ac:dyDescent="0.3">
      <c r="B1064" s="113">
        <v>42262</v>
      </c>
      <c r="C1064">
        <v>210.42</v>
      </c>
      <c r="D1064">
        <f t="shared" si="35"/>
        <v>-0.21367713004484315</v>
      </c>
      <c r="E1064">
        <v>1.1926517264595508E-2</v>
      </c>
      <c r="G1064">
        <v>1062</v>
      </c>
      <c r="H1064">
        <f t="shared" ca="1" si="36"/>
        <v>-8.1476712184672952E-4</v>
      </c>
    </row>
    <row r="1065" spans="2:8" x14ac:dyDescent="0.3">
      <c r="B1065" s="113">
        <v>43207</v>
      </c>
      <c r="C1065">
        <v>267.60000000000002</v>
      </c>
      <c r="D1065">
        <f t="shared" si="35"/>
        <v>1.3104817820756349</v>
      </c>
      <c r="E1065">
        <v>1.1911514463981979E-2</v>
      </c>
      <c r="G1065">
        <v>1063</v>
      </c>
      <c r="H1065">
        <f t="shared" ca="1" si="36"/>
        <v>1.4492407562861262E-3</v>
      </c>
    </row>
    <row r="1066" spans="2:8" x14ac:dyDescent="0.3">
      <c r="B1066" s="113">
        <v>40443</v>
      </c>
      <c r="C1066">
        <v>115.82</v>
      </c>
      <c r="D1066">
        <f t="shared" si="35"/>
        <v>5.4667783361250697</v>
      </c>
      <c r="E1066">
        <v>1.1881880132797479E-2</v>
      </c>
      <c r="G1066">
        <v>1064</v>
      </c>
      <c r="H1066">
        <f t="shared" ca="1" si="36"/>
        <v>5.4590174012673128E-3</v>
      </c>
    </row>
    <row r="1067" spans="2:8" x14ac:dyDescent="0.3">
      <c r="B1067" s="113">
        <v>37895</v>
      </c>
      <c r="C1067">
        <v>17.91</v>
      </c>
      <c r="D1067">
        <f t="shared" si="35"/>
        <v>-0.66722408026755842</v>
      </c>
      <c r="E1067">
        <v>1.1864406779661066E-2</v>
      </c>
      <c r="G1067">
        <v>1065</v>
      </c>
      <c r="H1067">
        <f t="shared" ca="1" si="36"/>
        <v>-1.253884764218636E-2</v>
      </c>
    </row>
    <row r="1068" spans="2:8" x14ac:dyDescent="0.3">
      <c r="B1068" s="113">
        <v>39645</v>
      </c>
      <c r="C1068">
        <v>53.82</v>
      </c>
      <c r="D1068">
        <f t="shared" si="35"/>
        <v>1.7389312977099238</v>
      </c>
      <c r="E1068">
        <v>1.1844331641286005E-2</v>
      </c>
      <c r="G1068">
        <v>1066</v>
      </c>
      <c r="H1068">
        <f t="shared" ca="1" si="36"/>
        <v>-3.3563547002204507E-2</v>
      </c>
    </row>
    <row r="1069" spans="2:8" x14ac:dyDescent="0.3">
      <c r="B1069" s="113">
        <v>37904</v>
      </c>
      <c r="C1069">
        <v>19.649999999999999</v>
      </c>
      <c r="D1069">
        <f t="shared" si="35"/>
        <v>-0.91643631724431207</v>
      </c>
      <c r="E1069">
        <v>1.1843460350154317E-2</v>
      </c>
      <c r="G1069">
        <v>1067</v>
      </c>
      <c r="H1069">
        <f t="shared" ca="1" si="36"/>
        <v>-2.5686103853949458E-2</v>
      </c>
    </row>
    <row r="1070" spans="2:8" x14ac:dyDescent="0.3">
      <c r="B1070" s="113">
        <v>41884</v>
      </c>
      <c r="C1070">
        <v>235.15</v>
      </c>
      <c r="D1070">
        <f t="shared" si="35"/>
        <v>3.163420679886686</v>
      </c>
      <c r="E1070">
        <v>1.1833046471600689E-2</v>
      </c>
      <c r="G1070">
        <v>1068</v>
      </c>
      <c r="H1070">
        <f t="shared" ca="1" si="36"/>
        <v>7.4769480714775502E-3</v>
      </c>
    </row>
    <row r="1071" spans="2:8" x14ac:dyDescent="0.3">
      <c r="B1071" s="113">
        <v>39071</v>
      </c>
      <c r="C1071">
        <v>56.48</v>
      </c>
      <c r="D1071">
        <f t="shared" si="35"/>
        <v>-0.73497254938764023</v>
      </c>
      <c r="E1071">
        <v>1.1823719097097753E-2</v>
      </c>
      <c r="G1071">
        <v>1069</v>
      </c>
      <c r="H1071">
        <f t="shared" ca="1" si="36"/>
        <v>2.8373406266403851E-2</v>
      </c>
    </row>
    <row r="1072" spans="2:8" x14ac:dyDescent="0.3">
      <c r="B1072" s="113">
        <v>42152</v>
      </c>
      <c r="C1072">
        <v>213.11</v>
      </c>
      <c r="D1072">
        <f t="shared" si="35"/>
        <v>11.440747227086984</v>
      </c>
      <c r="E1072">
        <v>1.1822239103598942E-2</v>
      </c>
      <c r="G1072">
        <v>1070</v>
      </c>
      <c r="H1072">
        <f t="shared" ca="1" si="36"/>
        <v>-2.5102861370874089E-2</v>
      </c>
    </row>
    <row r="1073" spans="2:8" x14ac:dyDescent="0.3">
      <c r="B1073" s="113">
        <v>37810</v>
      </c>
      <c r="C1073">
        <v>17.13</v>
      </c>
      <c r="D1073">
        <f t="shared" si="35"/>
        <v>-0.84973684210526323</v>
      </c>
      <c r="E1073">
        <v>1.1813349084465404E-2</v>
      </c>
      <c r="G1073">
        <v>1071</v>
      </c>
      <c r="H1073">
        <f t="shared" ca="1" si="36"/>
        <v>-5.1851295821117788E-4</v>
      </c>
    </row>
    <row r="1074" spans="2:8" x14ac:dyDescent="0.3">
      <c r="B1074" s="113">
        <v>40500</v>
      </c>
      <c r="C1074">
        <v>114</v>
      </c>
      <c r="D1074">
        <f t="shared" si="35"/>
        <v>-0.46803546430237986</v>
      </c>
      <c r="E1074">
        <v>1.180438448566609E-2</v>
      </c>
      <c r="G1074">
        <v>1072</v>
      </c>
      <c r="H1074">
        <f t="shared" ca="1" si="36"/>
        <v>-9.2200731956968811E-3</v>
      </c>
    </row>
    <row r="1075" spans="2:8" x14ac:dyDescent="0.3">
      <c r="B1075" s="113">
        <v>44586</v>
      </c>
      <c r="C1075">
        <v>214.3</v>
      </c>
      <c r="D1075">
        <f t="shared" si="35"/>
        <v>2.7875574407917996</v>
      </c>
      <c r="E1075">
        <v>1.1803588290840415E-2</v>
      </c>
      <c r="G1075">
        <v>1073</v>
      </c>
      <c r="H1075">
        <f t="shared" ca="1" si="36"/>
        <v>1.1334607224356542E-2</v>
      </c>
    </row>
    <row r="1076" spans="2:8" x14ac:dyDescent="0.3">
      <c r="B1076" s="113">
        <v>39827</v>
      </c>
      <c r="C1076">
        <v>56.58</v>
      </c>
      <c r="D1076">
        <f t="shared" si="35"/>
        <v>-0.78367424966545596</v>
      </c>
      <c r="E1076">
        <v>1.1802575107296076E-2</v>
      </c>
      <c r="G1076">
        <v>1074</v>
      </c>
      <c r="H1076">
        <f t="shared" ca="1" si="36"/>
        <v>1.1690419456758666E-2</v>
      </c>
    </row>
    <row r="1077" spans="2:8" x14ac:dyDescent="0.3">
      <c r="B1077" s="113">
        <v>43006</v>
      </c>
      <c r="C1077">
        <v>261.55</v>
      </c>
      <c r="D1077">
        <f t="shared" si="35"/>
        <v>3.2870021307982302</v>
      </c>
      <c r="E1077">
        <v>1.179883945841397E-2</v>
      </c>
      <c r="G1077">
        <v>1075</v>
      </c>
      <c r="H1077">
        <f t="shared" ca="1" si="36"/>
        <v>-4.0722933752337159E-3</v>
      </c>
    </row>
    <row r="1078" spans="2:8" x14ac:dyDescent="0.3">
      <c r="B1078" s="113">
        <v>39870</v>
      </c>
      <c r="C1078">
        <v>61.01</v>
      </c>
      <c r="D1078">
        <f t="shared" si="35"/>
        <v>-0.71033140252587601</v>
      </c>
      <c r="E1078">
        <v>1.1774461028192386E-2</v>
      </c>
      <c r="G1078">
        <v>1076</v>
      </c>
      <c r="H1078">
        <f t="shared" ca="1" si="36"/>
        <v>1.6235074582695529E-2</v>
      </c>
    </row>
    <row r="1079" spans="2:8" x14ac:dyDescent="0.3">
      <c r="B1079" s="113">
        <v>42151</v>
      </c>
      <c r="C1079">
        <v>210.62</v>
      </c>
      <c r="D1079">
        <f t="shared" si="35"/>
        <v>10.108649789029535</v>
      </c>
      <c r="E1079">
        <v>1.1769227074026119E-2</v>
      </c>
      <c r="G1079">
        <v>1077</v>
      </c>
      <c r="H1079">
        <f t="shared" ca="1" si="36"/>
        <v>4.7323831524626381E-2</v>
      </c>
    </row>
    <row r="1080" spans="2:8" x14ac:dyDescent="0.3">
      <c r="B1080" s="113">
        <v>37918</v>
      </c>
      <c r="C1080">
        <v>18.96</v>
      </c>
      <c r="D1080">
        <f t="shared" si="35"/>
        <v>-0.71053435114503816</v>
      </c>
      <c r="E1080">
        <v>1.1739594450373663E-2</v>
      </c>
      <c r="G1080">
        <v>1078</v>
      </c>
      <c r="H1080">
        <f t="shared" ca="1" si="36"/>
        <v>-3.1688651719077143E-2</v>
      </c>
    </row>
    <row r="1081" spans="2:8" x14ac:dyDescent="0.3">
      <c r="B1081" s="113">
        <v>39975</v>
      </c>
      <c r="C1081">
        <v>65.5</v>
      </c>
      <c r="D1081">
        <f t="shared" si="35"/>
        <v>-0.24824974176517842</v>
      </c>
      <c r="E1081">
        <v>1.1739264751313023E-2</v>
      </c>
      <c r="G1081">
        <v>1079</v>
      </c>
      <c r="H1081">
        <f t="shared" ca="1" si="36"/>
        <v>-1.2649092476739492E-2</v>
      </c>
    </row>
    <row r="1082" spans="2:8" x14ac:dyDescent="0.3">
      <c r="B1082" s="113">
        <v>40254</v>
      </c>
      <c r="C1082">
        <v>87.13</v>
      </c>
      <c r="D1082">
        <f t="shared" si="35"/>
        <v>-0.58803782505910163</v>
      </c>
      <c r="E1082">
        <v>1.1727821644217266E-2</v>
      </c>
      <c r="G1082">
        <v>1080</v>
      </c>
      <c r="H1082">
        <f t="shared" ca="1" si="36"/>
        <v>-2.5206698225187646E-2</v>
      </c>
    </row>
    <row r="1083" spans="2:8" x14ac:dyDescent="0.3">
      <c r="B1083" s="113">
        <v>44340</v>
      </c>
      <c r="C1083">
        <v>211.5</v>
      </c>
      <c r="D1083">
        <f t="shared" si="35"/>
        <v>10.659316427783903</v>
      </c>
      <c r="E1083">
        <v>1.1719684286055913E-2</v>
      </c>
      <c r="G1083">
        <v>1081</v>
      </c>
      <c r="H1083">
        <f t="shared" ca="1" si="36"/>
        <v>-2.3829890967266548E-2</v>
      </c>
    </row>
    <row r="1084" spans="2:8" x14ac:dyDescent="0.3">
      <c r="B1084" s="113">
        <v>37890</v>
      </c>
      <c r="C1084">
        <v>18.14</v>
      </c>
      <c r="D1084">
        <f t="shared" si="35"/>
        <v>-0.91433293978748531</v>
      </c>
      <c r="E1084">
        <v>1.1712214166201943E-2</v>
      </c>
      <c r="G1084">
        <v>1082</v>
      </c>
      <c r="H1084">
        <f t="shared" ca="1" si="36"/>
        <v>-1.8921960795868289E-3</v>
      </c>
    </row>
    <row r="1085" spans="2:8" x14ac:dyDescent="0.3">
      <c r="B1085" s="113">
        <v>44446</v>
      </c>
      <c r="C1085">
        <v>211.75</v>
      </c>
      <c r="D1085">
        <f t="shared" si="35"/>
        <v>-0.15654252141007771</v>
      </c>
      <c r="E1085">
        <v>1.1705685618729042E-2</v>
      </c>
      <c r="G1085">
        <v>1083</v>
      </c>
      <c r="H1085">
        <f t="shared" ca="1" si="36"/>
        <v>3.272102990434872E-2</v>
      </c>
    </row>
    <row r="1086" spans="2:8" x14ac:dyDescent="0.3">
      <c r="B1086" s="113">
        <v>42684</v>
      </c>
      <c r="C1086">
        <v>251.05</v>
      </c>
      <c r="D1086">
        <f t="shared" si="35"/>
        <v>3.4615247911853562</v>
      </c>
      <c r="E1086">
        <v>1.1686479951642174E-2</v>
      </c>
      <c r="G1086">
        <v>1084</v>
      </c>
      <c r="H1086">
        <f t="shared" ca="1" si="36"/>
        <v>-6.570929718082665E-3</v>
      </c>
    </row>
    <row r="1087" spans="2:8" x14ac:dyDescent="0.3">
      <c r="B1087" s="113">
        <v>39297</v>
      </c>
      <c r="C1087">
        <v>56.27</v>
      </c>
      <c r="D1087">
        <f t="shared" si="35"/>
        <v>0.22619307038570499</v>
      </c>
      <c r="E1087">
        <v>1.1686443725278779E-2</v>
      </c>
      <c r="G1087">
        <v>1085</v>
      </c>
      <c r="H1087">
        <f t="shared" ca="1" si="36"/>
        <v>2.812291801544178E-3</v>
      </c>
    </row>
    <row r="1088" spans="2:8" x14ac:dyDescent="0.3">
      <c r="B1088" s="113">
        <v>38698</v>
      </c>
      <c r="C1088">
        <v>45.89</v>
      </c>
      <c r="D1088">
        <f t="shared" si="35"/>
        <v>-0.77921578061101748</v>
      </c>
      <c r="E1088">
        <v>1.1684303350970043E-2</v>
      </c>
      <c r="G1088">
        <v>1086</v>
      </c>
      <c r="H1088">
        <f t="shared" ca="1" si="36"/>
        <v>1.6671813353423451E-2</v>
      </c>
    </row>
    <row r="1089" spans="2:8" x14ac:dyDescent="0.3">
      <c r="B1089" s="113">
        <v>44271</v>
      </c>
      <c r="C1089">
        <v>207.85</v>
      </c>
      <c r="D1089">
        <f t="shared" si="35"/>
        <v>-3.5454081395888508E-2</v>
      </c>
      <c r="E1089">
        <v>1.1681674373326872E-2</v>
      </c>
      <c r="G1089">
        <v>1087</v>
      </c>
      <c r="H1089">
        <f t="shared" ca="1" si="36"/>
        <v>-4.4118232261216627E-3</v>
      </c>
    </row>
    <row r="1090" spans="2:8" x14ac:dyDescent="0.3">
      <c r="B1090" s="113">
        <v>42443</v>
      </c>
      <c r="C1090">
        <v>215.49</v>
      </c>
      <c r="D1090">
        <f t="shared" si="35"/>
        <v>7.5342574257425747</v>
      </c>
      <c r="E1090">
        <v>1.1642645885169797E-2</v>
      </c>
      <c r="G1090">
        <v>1088</v>
      </c>
      <c r="H1090">
        <f t="shared" ca="1" si="36"/>
        <v>2.6373877935776929E-3</v>
      </c>
    </row>
    <row r="1091" spans="2:8" x14ac:dyDescent="0.3">
      <c r="B1091" s="113">
        <v>38310</v>
      </c>
      <c r="C1091">
        <v>25.25</v>
      </c>
      <c r="D1091">
        <f t="shared" ref="D1091:D1154" si="37">(C1091-C1092)/C1092</f>
        <v>-0.86938754396854956</v>
      </c>
      <c r="E1091">
        <v>1.1618589743589709E-2</v>
      </c>
      <c r="G1091">
        <v>1089</v>
      </c>
      <c r="H1091">
        <f t="shared" ca="1" si="36"/>
        <v>-2.8419592370539739E-3</v>
      </c>
    </row>
    <row r="1092" spans="2:8" x14ac:dyDescent="0.3">
      <c r="B1092" s="113">
        <v>41200</v>
      </c>
      <c r="C1092">
        <v>193.32</v>
      </c>
      <c r="D1092">
        <f t="shared" si="37"/>
        <v>-0.28492694655076761</v>
      </c>
      <c r="E1092">
        <v>1.1616954474097326E-2</v>
      </c>
      <c r="G1092">
        <v>1090</v>
      </c>
      <c r="H1092">
        <f t="shared" ref="H1092:H1155" ca="1" si="38">_xlfn.NORM.INV(RAND(),$L$4,$L$6)</f>
        <v>2.8042104210166764E-2</v>
      </c>
    </row>
    <row r="1093" spans="2:8" x14ac:dyDescent="0.3">
      <c r="B1093" s="113">
        <v>43026</v>
      </c>
      <c r="C1093">
        <v>270.35000000000002</v>
      </c>
      <c r="D1093">
        <f t="shared" si="37"/>
        <v>0.35323856241866064</v>
      </c>
      <c r="E1093">
        <v>1.1599625818522068E-2</v>
      </c>
      <c r="G1093">
        <v>1091</v>
      </c>
      <c r="H1093">
        <f t="shared" ca="1" si="38"/>
        <v>-1.7045633195342256E-3</v>
      </c>
    </row>
    <row r="1094" spans="2:8" x14ac:dyDescent="0.3">
      <c r="B1094" s="113">
        <v>41249</v>
      </c>
      <c r="C1094">
        <v>199.78</v>
      </c>
      <c r="D1094">
        <f t="shared" si="37"/>
        <v>0.47722567287784667</v>
      </c>
      <c r="E1094">
        <v>1.1595523823991047E-2</v>
      </c>
      <c r="G1094">
        <v>1092</v>
      </c>
      <c r="H1094">
        <f t="shared" ca="1" si="38"/>
        <v>2.1097587115152357E-2</v>
      </c>
    </row>
    <row r="1095" spans="2:8" x14ac:dyDescent="0.3">
      <c r="B1095" s="113">
        <v>40737</v>
      </c>
      <c r="C1095">
        <v>135.24</v>
      </c>
      <c r="D1095">
        <f t="shared" si="37"/>
        <v>1.1795326349717972</v>
      </c>
      <c r="E1095">
        <v>1.1593986087216781E-2</v>
      </c>
      <c r="G1095">
        <v>1093</v>
      </c>
      <c r="H1095">
        <f t="shared" ca="1" si="38"/>
        <v>9.7665717077545112E-3</v>
      </c>
    </row>
    <row r="1096" spans="2:8" x14ac:dyDescent="0.3">
      <c r="B1096" s="113">
        <v>38995</v>
      </c>
      <c r="C1096">
        <v>62.05</v>
      </c>
      <c r="D1096">
        <f t="shared" si="37"/>
        <v>-0.69864011656143765</v>
      </c>
      <c r="E1096">
        <v>1.1574828822953924E-2</v>
      </c>
      <c r="G1096">
        <v>1094</v>
      </c>
      <c r="H1096">
        <f t="shared" ca="1" si="38"/>
        <v>1.2461505743380492E-2</v>
      </c>
    </row>
    <row r="1097" spans="2:8" x14ac:dyDescent="0.3">
      <c r="B1097" s="113">
        <v>44308</v>
      </c>
      <c r="C1097">
        <v>205.9</v>
      </c>
      <c r="D1097">
        <f t="shared" si="37"/>
        <v>0.64233867751455687</v>
      </c>
      <c r="E1097">
        <v>1.1545074920167006E-2</v>
      </c>
      <c r="G1097">
        <v>1095</v>
      </c>
      <c r="H1097">
        <f t="shared" ca="1" si="38"/>
        <v>1.0395261649154117E-2</v>
      </c>
    </row>
    <row r="1098" spans="2:8" x14ac:dyDescent="0.3">
      <c r="B1098" s="113">
        <v>40688</v>
      </c>
      <c r="C1098">
        <v>125.37</v>
      </c>
      <c r="D1098">
        <f t="shared" si="37"/>
        <v>-0.49932108626198085</v>
      </c>
      <c r="E1098">
        <v>1.1537840890753645E-2</v>
      </c>
      <c r="G1098">
        <v>1096</v>
      </c>
      <c r="H1098">
        <f t="shared" ca="1" si="38"/>
        <v>-1.9437997605221326E-2</v>
      </c>
    </row>
    <row r="1099" spans="2:8" x14ac:dyDescent="0.3">
      <c r="B1099" s="113">
        <v>43734</v>
      </c>
      <c r="C1099">
        <v>250.4</v>
      </c>
      <c r="D1099">
        <f t="shared" si="37"/>
        <v>0.43175710446566429</v>
      </c>
      <c r="E1099">
        <v>1.1512825691779416E-2</v>
      </c>
      <c r="G1099">
        <v>1097</v>
      </c>
      <c r="H1099">
        <f t="shared" ca="1" si="38"/>
        <v>-1.9420837675333417E-2</v>
      </c>
    </row>
    <row r="1100" spans="2:8" x14ac:dyDescent="0.3">
      <c r="B1100" s="113">
        <v>41178</v>
      </c>
      <c r="C1100">
        <v>174.89</v>
      </c>
      <c r="D1100">
        <f t="shared" si="37"/>
        <v>6.9567788898999083</v>
      </c>
      <c r="E1100">
        <v>1.1509543088490344E-2</v>
      </c>
      <c r="G1100">
        <v>1098</v>
      </c>
      <c r="H1100">
        <f t="shared" ca="1" si="38"/>
        <v>-5.6612338152270108E-3</v>
      </c>
    </row>
    <row r="1101" spans="2:8" x14ac:dyDescent="0.3">
      <c r="B1101" s="113">
        <v>37987</v>
      </c>
      <c r="C1101">
        <v>21.98</v>
      </c>
      <c r="D1101">
        <f t="shared" si="37"/>
        <v>-0.9001136105430585</v>
      </c>
      <c r="E1101">
        <v>1.1504832029452369E-2</v>
      </c>
      <c r="G1101">
        <v>1099</v>
      </c>
      <c r="H1101">
        <f t="shared" ca="1" si="38"/>
        <v>2.2277696378399424E-3</v>
      </c>
    </row>
    <row r="1102" spans="2:8" x14ac:dyDescent="0.3">
      <c r="B1102" s="113">
        <v>44558</v>
      </c>
      <c r="C1102">
        <v>220.05</v>
      </c>
      <c r="D1102">
        <f t="shared" si="37"/>
        <v>0.64240931482310815</v>
      </c>
      <c r="E1102">
        <v>1.1491611123879567E-2</v>
      </c>
      <c r="G1102">
        <v>1100</v>
      </c>
      <c r="H1102">
        <f t="shared" ca="1" si="38"/>
        <v>2.4610692929039925E-2</v>
      </c>
    </row>
    <row r="1103" spans="2:8" x14ac:dyDescent="0.3">
      <c r="B1103" s="113">
        <v>40914</v>
      </c>
      <c r="C1103">
        <v>133.97999999999999</v>
      </c>
      <c r="D1103">
        <f t="shared" si="37"/>
        <v>-0.35369030390738071</v>
      </c>
      <c r="E1103">
        <v>1.1475162313151002E-2</v>
      </c>
      <c r="G1103">
        <v>1101</v>
      </c>
      <c r="H1103">
        <f t="shared" ca="1" si="38"/>
        <v>1.7433178401949294E-2</v>
      </c>
    </row>
    <row r="1104" spans="2:8" x14ac:dyDescent="0.3">
      <c r="B1104" s="113">
        <v>44410</v>
      </c>
      <c r="C1104">
        <v>207.3</v>
      </c>
      <c r="D1104">
        <f t="shared" si="37"/>
        <v>-8.1939557526383331E-4</v>
      </c>
      <c r="E1104">
        <v>1.1466211271041828E-2</v>
      </c>
      <c r="G1104">
        <v>1102</v>
      </c>
      <c r="H1104">
        <f t="shared" ca="1" si="38"/>
        <v>1.1376278363388653E-2</v>
      </c>
    </row>
    <row r="1105" spans="2:8" x14ac:dyDescent="0.3">
      <c r="B1105" s="113">
        <v>42396</v>
      </c>
      <c r="C1105">
        <v>207.47</v>
      </c>
      <c r="D1105">
        <f t="shared" si="37"/>
        <v>9.1372961599158364E-2</v>
      </c>
      <c r="E1105">
        <v>1.1456708268330706E-2</v>
      </c>
      <c r="G1105">
        <v>1103</v>
      </c>
      <c r="H1105">
        <f t="shared" ca="1" si="38"/>
        <v>-4.3261574713485598E-3</v>
      </c>
    </row>
    <row r="1106" spans="2:8" x14ac:dyDescent="0.3">
      <c r="B1106" s="113">
        <v>41197</v>
      </c>
      <c r="C1106">
        <v>190.1</v>
      </c>
      <c r="D1106">
        <f t="shared" si="37"/>
        <v>-0.31778216400502418</v>
      </c>
      <c r="E1106">
        <v>1.1439212556531023E-2</v>
      </c>
      <c r="G1106">
        <v>1104</v>
      </c>
      <c r="H1106">
        <f t="shared" ca="1" si="38"/>
        <v>5.1912994036799123E-3</v>
      </c>
    </row>
    <row r="1107" spans="2:8" x14ac:dyDescent="0.3">
      <c r="B1107" s="113">
        <v>43496</v>
      </c>
      <c r="C1107">
        <v>278.64999999999998</v>
      </c>
      <c r="D1107">
        <f t="shared" si="37"/>
        <v>2.314105613701237</v>
      </c>
      <c r="E1107">
        <v>1.143375680580754E-2</v>
      </c>
      <c r="G1107">
        <v>1105</v>
      </c>
      <c r="H1107">
        <f t="shared" ca="1" si="38"/>
        <v>-4.0445409073658387E-2</v>
      </c>
    </row>
    <row r="1108" spans="2:8" x14ac:dyDescent="0.3">
      <c r="B1108" s="113">
        <v>40182</v>
      </c>
      <c r="C1108">
        <v>84.08</v>
      </c>
      <c r="D1108">
        <f t="shared" si="37"/>
        <v>-0.66799605133267526</v>
      </c>
      <c r="E1108">
        <v>1.1427884037050438E-2</v>
      </c>
      <c r="G1108">
        <v>1106</v>
      </c>
      <c r="H1108">
        <f t="shared" ca="1" si="38"/>
        <v>1.1366481587155551E-4</v>
      </c>
    </row>
    <row r="1109" spans="2:8" x14ac:dyDescent="0.3">
      <c r="B1109" s="113">
        <v>43767</v>
      </c>
      <c r="C1109">
        <v>253.25</v>
      </c>
      <c r="D1109">
        <f t="shared" si="37"/>
        <v>5.9180259305729843E-2</v>
      </c>
      <c r="E1109">
        <v>1.138178913738017E-2</v>
      </c>
      <c r="G1109">
        <v>1107</v>
      </c>
      <c r="H1109">
        <f t="shared" ca="1" si="38"/>
        <v>-8.4755206054367815E-4</v>
      </c>
    </row>
    <row r="1110" spans="2:8" x14ac:dyDescent="0.3">
      <c r="B1110" s="113">
        <v>41722</v>
      </c>
      <c r="C1110">
        <v>239.1</v>
      </c>
      <c r="D1110">
        <f t="shared" si="37"/>
        <v>4.2711640211640214</v>
      </c>
      <c r="E1110">
        <v>1.1378537286916788E-2</v>
      </c>
      <c r="G1110">
        <v>1108</v>
      </c>
      <c r="H1110">
        <f t="shared" ca="1" si="38"/>
        <v>2.7939289362755616E-2</v>
      </c>
    </row>
    <row r="1111" spans="2:8" x14ac:dyDescent="0.3">
      <c r="B1111" s="113">
        <v>38695</v>
      </c>
      <c r="C1111">
        <v>45.36</v>
      </c>
      <c r="D1111">
        <f t="shared" si="37"/>
        <v>-0.82418604651162786</v>
      </c>
      <c r="E1111">
        <v>1.1371237458193935E-2</v>
      </c>
      <c r="G1111">
        <v>1109</v>
      </c>
      <c r="H1111">
        <f t="shared" ca="1" si="38"/>
        <v>-3.5225169271738722E-2</v>
      </c>
    </row>
    <row r="1112" spans="2:8" x14ac:dyDescent="0.3">
      <c r="B1112" s="113">
        <v>43056</v>
      </c>
      <c r="C1112">
        <v>258</v>
      </c>
      <c r="D1112">
        <f t="shared" si="37"/>
        <v>0.26495391253186895</v>
      </c>
      <c r="E1112">
        <v>1.136809094472758E-2</v>
      </c>
      <c r="G1112">
        <v>1110</v>
      </c>
      <c r="H1112">
        <f t="shared" ca="1" si="38"/>
        <v>6.908855421116084E-3</v>
      </c>
    </row>
    <row r="1113" spans="2:8" x14ac:dyDescent="0.3">
      <c r="B1113" s="113">
        <v>41305</v>
      </c>
      <c r="C1113">
        <v>203.96</v>
      </c>
      <c r="D1113">
        <f t="shared" si="37"/>
        <v>9.4061224489795912</v>
      </c>
      <c r="E1113">
        <v>1.1355184211831312E-2</v>
      </c>
      <c r="G1113">
        <v>1111</v>
      </c>
      <c r="H1113">
        <f t="shared" ca="1" si="38"/>
        <v>-1.7170773084311086E-2</v>
      </c>
    </row>
    <row r="1114" spans="2:8" x14ac:dyDescent="0.3">
      <c r="B1114" s="113">
        <v>38168</v>
      </c>
      <c r="C1114">
        <v>19.600000000000001</v>
      </c>
      <c r="D1114">
        <f t="shared" si="37"/>
        <v>-0.18705931148900865</v>
      </c>
      <c r="E1114">
        <v>1.1351909184726647E-2</v>
      </c>
      <c r="G1114">
        <v>1112</v>
      </c>
      <c r="H1114">
        <f t="shared" ca="1" si="38"/>
        <v>8.1466685627812098E-3</v>
      </c>
    </row>
    <row r="1115" spans="2:8" x14ac:dyDescent="0.3">
      <c r="B1115" s="113">
        <v>38037</v>
      </c>
      <c r="C1115">
        <v>24.11</v>
      </c>
      <c r="D1115">
        <f t="shared" si="37"/>
        <v>-0.91562554680664909</v>
      </c>
      <c r="E1115">
        <v>1.132550335570468E-2</v>
      </c>
      <c r="G1115">
        <v>1113</v>
      </c>
      <c r="H1115">
        <f t="shared" ca="1" si="38"/>
        <v>5.8285207159840266E-3</v>
      </c>
    </row>
    <row r="1116" spans="2:8" x14ac:dyDescent="0.3">
      <c r="B1116" s="113">
        <v>43530</v>
      </c>
      <c r="C1116">
        <v>285.75</v>
      </c>
      <c r="D1116">
        <f t="shared" si="37"/>
        <v>0.12124779281930551</v>
      </c>
      <c r="E1116">
        <v>1.1325429127587997E-2</v>
      </c>
      <c r="G1116">
        <v>1114</v>
      </c>
      <c r="H1116">
        <f t="shared" ca="1" si="38"/>
        <v>-8.0012467342790463E-4</v>
      </c>
    </row>
    <row r="1117" spans="2:8" x14ac:dyDescent="0.3">
      <c r="B1117" s="113">
        <v>44644</v>
      </c>
      <c r="C1117">
        <v>254.85</v>
      </c>
      <c r="D1117">
        <f t="shared" si="37"/>
        <v>3.379618491149682</v>
      </c>
      <c r="E1117">
        <v>1.1309523809523787E-2</v>
      </c>
      <c r="G1117">
        <v>1115</v>
      </c>
      <c r="H1117">
        <f t="shared" ca="1" si="38"/>
        <v>1.6241684577750607E-2</v>
      </c>
    </row>
    <row r="1118" spans="2:8" x14ac:dyDescent="0.3">
      <c r="B1118" s="113">
        <v>38793</v>
      </c>
      <c r="C1118">
        <v>58.19</v>
      </c>
      <c r="D1118">
        <f t="shared" si="37"/>
        <v>-7.4144789180588755E-2</v>
      </c>
      <c r="E1118">
        <v>1.1296489398679155E-2</v>
      </c>
      <c r="G1118">
        <v>1116</v>
      </c>
      <c r="H1118">
        <f t="shared" ca="1" si="38"/>
        <v>3.8872080248738602E-2</v>
      </c>
    </row>
    <row r="1119" spans="2:8" x14ac:dyDescent="0.3">
      <c r="B1119" s="113">
        <v>39428</v>
      </c>
      <c r="C1119">
        <v>62.85</v>
      </c>
      <c r="D1119">
        <f t="shared" si="37"/>
        <v>5.9865092748735318E-2</v>
      </c>
      <c r="E1119">
        <v>1.126307320997591E-2</v>
      </c>
      <c r="G1119">
        <v>1117</v>
      </c>
      <c r="H1119">
        <f t="shared" ca="1" si="38"/>
        <v>-2.3725531717282724E-2</v>
      </c>
    </row>
    <row r="1120" spans="2:8" x14ac:dyDescent="0.3">
      <c r="B1120" s="113">
        <v>38799</v>
      </c>
      <c r="C1120">
        <v>59.3</v>
      </c>
      <c r="D1120">
        <f t="shared" si="37"/>
        <v>-0.10813656188900583</v>
      </c>
      <c r="E1120">
        <v>1.125511596180076E-2</v>
      </c>
      <c r="G1120">
        <v>1118</v>
      </c>
      <c r="H1120">
        <f t="shared" ca="1" si="38"/>
        <v>3.2086510048705753E-2</v>
      </c>
    </row>
    <row r="1121" spans="2:8" x14ac:dyDescent="0.3">
      <c r="B1121" s="113">
        <v>38827</v>
      </c>
      <c r="C1121">
        <v>66.489999999999995</v>
      </c>
      <c r="D1121">
        <f t="shared" si="37"/>
        <v>-0.71555080213903743</v>
      </c>
      <c r="E1121">
        <v>1.1254752851710948E-2</v>
      </c>
      <c r="G1121">
        <v>1119</v>
      </c>
      <c r="H1121">
        <f t="shared" ca="1" si="38"/>
        <v>2.5415696070154266E-2</v>
      </c>
    </row>
    <row r="1122" spans="2:8" x14ac:dyDescent="0.3">
      <c r="B1122" s="113">
        <v>44459</v>
      </c>
      <c r="C1122">
        <v>233.75</v>
      </c>
      <c r="D1122">
        <f t="shared" si="37"/>
        <v>3.1211212976022567</v>
      </c>
      <c r="E1122">
        <v>1.1248107289638739E-2</v>
      </c>
      <c r="G1122">
        <v>1120</v>
      </c>
      <c r="H1122">
        <f t="shared" ca="1" si="38"/>
        <v>1.9691009441544297E-2</v>
      </c>
    </row>
    <row r="1123" spans="2:8" x14ac:dyDescent="0.3">
      <c r="B1123" s="113">
        <v>39094</v>
      </c>
      <c r="C1123">
        <v>56.72</v>
      </c>
      <c r="D1123">
        <f t="shared" si="37"/>
        <v>-5.2863436123350019E-4</v>
      </c>
      <c r="E1123">
        <v>1.1231948653948928E-2</v>
      </c>
      <c r="G1123">
        <v>1121</v>
      </c>
      <c r="H1123">
        <f t="shared" ca="1" si="38"/>
        <v>2.1700342964028202E-2</v>
      </c>
    </row>
    <row r="1124" spans="2:8" x14ac:dyDescent="0.3">
      <c r="B1124" s="113">
        <v>39633</v>
      </c>
      <c r="C1124">
        <v>56.75</v>
      </c>
      <c r="D1124">
        <f t="shared" si="37"/>
        <v>-0.7625523012552301</v>
      </c>
      <c r="E1124">
        <v>1.1225944404846804E-2</v>
      </c>
      <c r="G1124">
        <v>1122</v>
      </c>
      <c r="H1124">
        <f t="shared" ca="1" si="38"/>
        <v>-8.2330002560120318E-3</v>
      </c>
    </row>
    <row r="1125" spans="2:8" x14ac:dyDescent="0.3">
      <c r="B1125" s="113">
        <v>44634</v>
      </c>
      <c r="C1125">
        <v>239</v>
      </c>
      <c r="D1125">
        <f t="shared" si="37"/>
        <v>0.37966864861744509</v>
      </c>
      <c r="E1125">
        <v>1.1212185318383777E-2</v>
      </c>
      <c r="G1125">
        <v>1123</v>
      </c>
      <c r="H1125">
        <f t="shared" ca="1" si="38"/>
        <v>-1.360405005593828E-2</v>
      </c>
    </row>
    <row r="1126" spans="2:8" x14ac:dyDescent="0.3">
      <c r="B1126" s="113">
        <v>41128</v>
      </c>
      <c r="C1126">
        <v>173.23</v>
      </c>
      <c r="D1126">
        <f t="shared" si="37"/>
        <v>-0.2941775659047387</v>
      </c>
      <c r="E1126">
        <v>1.1207752028486296E-2</v>
      </c>
      <c r="G1126">
        <v>1124</v>
      </c>
      <c r="H1126">
        <f t="shared" ca="1" si="38"/>
        <v>-5.2999963856687265E-3</v>
      </c>
    </row>
    <row r="1127" spans="2:8" x14ac:dyDescent="0.3">
      <c r="B1127" s="113">
        <v>41912</v>
      </c>
      <c r="C1127">
        <v>245.43</v>
      </c>
      <c r="D1127">
        <f t="shared" si="37"/>
        <v>1.1528947368421054</v>
      </c>
      <c r="E1127">
        <v>1.1206789996291867E-2</v>
      </c>
      <c r="G1127">
        <v>1125</v>
      </c>
      <c r="H1127">
        <f t="shared" ca="1" si="38"/>
        <v>2.258995874746695E-2</v>
      </c>
    </row>
    <row r="1128" spans="2:8" x14ac:dyDescent="0.3">
      <c r="B1128" s="113">
        <v>40625</v>
      </c>
      <c r="C1128">
        <v>114</v>
      </c>
      <c r="D1128">
        <f t="shared" si="37"/>
        <v>-0.44145026947574717</v>
      </c>
      <c r="E1128">
        <v>1.117615753060143E-2</v>
      </c>
      <c r="G1128">
        <v>1126</v>
      </c>
      <c r="H1128">
        <f t="shared" ca="1" si="38"/>
        <v>-1.5112040950101083E-2</v>
      </c>
    </row>
    <row r="1129" spans="2:8" x14ac:dyDescent="0.3">
      <c r="B1129" s="113">
        <v>44391</v>
      </c>
      <c r="C1129">
        <v>204.1</v>
      </c>
      <c r="D1129">
        <f t="shared" si="37"/>
        <v>-0.14171572750210268</v>
      </c>
      <c r="E1129">
        <v>1.1146891255883081E-2</v>
      </c>
      <c r="G1129">
        <v>1127</v>
      </c>
      <c r="H1129">
        <f t="shared" ca="1" si="38"/>
        <v>-1.6652568767190333E-3</v>
      </c>
    </row>
    <row r="1130" spans="2:8" x14ac:dyDescent="0.3">
      <c r="B1130" s="113">
        <v>41900</v>
      </c>
      <c r="C1130">
        <v>237.8</v>
      </c>
      <c r="D1130">
        <f t="shared" si="37"/>
        <v>9.4087876696572426E-2</v>
      </c>
      <c r="E1130">
        <v>1.1140403095501338E-2</v>
      </c>
      <c r="G1130">
        <v>1128</v>
      </c>
      <c r="H1130">
        <f t="shared" ca="1" si="38"/>
        <v>-2.6410958027151356E-2</v>
      </c>
    </row>
    <row r="1131" spans="2:8" x14ac:dyDescent="0.3">
      <c r="B1131" s="113">
        <v>42137</v>
      </c>
      <c r="C1131">
        <v>217.35</v>
      </c>
      <c r="D1131">
        <f t="shared" si="37"/>
        <v>8.1863905325443778</v>
      </c>
      <c r="E1131">
        <v>1.1118347599553342E-2</v>
      </c>
      <c r="G1131">
        <v>1129</v>
      </c>
      <c r="H1131">
        <f t="shared" ca="1" si="38"/>
        <v>-1.4491119667242314E-2</v>
      </c>
    </row>
    <row r="1132" spans="2:8" x14ac:dyDescent="0.3">
      <c r="B1132" s="113">
        <v>38033</v>
      </c>
      <c r="C1132">
        <v>23.66</v>
      </c>
      <c r="D1132">
        <f t="shared" si="37"/>
        <v>-0.89583058160524809</v>
      </c>
      <c r="E1132">
        <v>1.1111111111111179E-2</v>
      </c>
      <c r="G1132">
        <v>1130</v>
      </c>
      <c r="H1132">
        <f t="shared" ca="1" si="38"/>
        <v>-2.9664663092488987E-3</v>
      </c>
    </row>
    <row r="1133" spans="2:8" x14ac:dyDescent="0.3">
      <c r="B1133" s="113">
        <v>41460</v>
      </c>
      <c r="C1133">
        <v>227.13</v>
      </c>
      <c r="D1133">
        <f t="shared" si="37"/>
        <v>-1.32504996090017E-2</v>
      </c>
      <c r="E1133">
        <v>1.108440170940175E-2</v>
      </c>
      <c r="G1133">
        <v>1131</v>
      </c>
      <c r="H1133">
        <f t="shared" ca="1" si="38"/>
        <v>-1.2988795251976104E-3</v>
      </c>
    </row>
    <row r="1134" spans="2:8" x14ac:dyDescent="0.3">
      <c r="B1134" s="113">
        <v>41712</v>
      </c>
      <c r="C1134">
        <v>230.18</v>
      </c>
      <c r="D1134">
        <f t="shared" si="37"/>
        <v>8.5857156335503435E-2</v>
      </c>
      <c r="E1134">
        <v>1.1069138188526796E-2</v>
      </c>
      <c r="G1134">
        <v>1132</v>
      </c>
      <c r="H1134">
        <f t="shared" ca="1" si="38"/>
        <v>-2.647982012655422E-3</v>
      </c>
    </row>
    <row r="1135" spans="2:8" x14ac:dyDescent="0.3">
      <c r="B1135" s="113">
        <v>41817</v>
      </c>
      <c r="C1135">
        <v>211.98</v>
      </c>
      <c r="D1135">
        <f t="shared" si="37"/>
        <v>2.9981139192757444</v>
      </c>
      <c r="E1135">
        <v>1.1065534675188367E-2</v>
      </c>
      <c r="G1135">
        <v>1133</v>
      </c>
      <c r="H1135">
        <f t="shared" ca="1" si="38"/>
        <v>-1.7992270486331764E-2</v>
      </c>
    </row>
    <row r="1136" spans="2:8" x14ac:dyDescent="0.3">
      <c r="B1136" s="113">
        <v>39149</v>
      </c>
      <c r="C1136">
        <v>53.02</v>
      </c>
      <c r="D1136">
        <f t="shared" si="37"/>
        <v>-0.51764919941775833</v>
      </c>
      <c r="E1136">
        <v>1.1060259344012308E-2</v>
      </c>
      <c r="G1136">
        <v>1134</v>
      </c>
      <c r="H1136">
        <f t="shared" ca="1" si="38"/>
        <v>-1.6185043504844392E-2</v>
      </c>
    </row>
    <row r="1137" spans="2:8" x14ac:dyDescent="0.3">
      <c r="B1137" s="113">
        <v>40427</v>
      </c>
      <c r="C1137">
        <v>109.92</v>
      </c>
      <c r="D1137">
        <f t="shared" si="37"/>
        <v>-0.60072648020341446</v>
      </c>
      <c r="E1137">
        <v>1.1037527593819011E-2</v>
      </c>
      <c r="G1137">
        <v>1135</v>
      </c>
      <c r="H1137">
        <f t="shared" ca="1" si="38"/>
        <v>1.2757044560620273E-2</v>
      </c>
    </row>
    <row r="1138" spans="2:8" x14ac:dyDescent="0.3">
      <c r="B1138" s="113">
        <v>43248</v>
      </c>
      <c r="C1138">
        <v>275.3</v>
      </c>
      <c r="D1138">
        <f t="shared" si="37"/>
        <v>2.2697722798023751E-2</v>
      </c>
      <c r="E1138">
        <v>1.1017260374586852E-2</v>
      </c>
      <c r="G1138">
        <v>1136</v>
      </c>
      <c r="H1138">
        <f t="shared" ca="1" si="38"/>
        <v>3.0473293004037654E-2</v>
      </c>
    </row>
    <row r="1139" spans="2:8" x14ac:dyDescent="0.3">
      <c r="B1139" s="113">
        <v>44721</v>
      </c>
      <c r="C1139">
        <v>269.19</v>
      </c>
      <c r="D1139">
        <f t="shared" si="37"/>
        <v>3.0663141993957703</v>
      </c>
      <c r="E1139">
        <v>1.1004281529332258E-2</v>
      </c>
      <c r="G1139">
        <v>1137</v>
      </c>
      <c r="H1139">
        <f t="shared" ca="1" si="38"/>
        <v>2.6743720118870173E-2</v>
      </c>
    </row>
    <row r="1140" spans="2:8" x14ac:dyDescent="0.3">
      <c r="B1140" s="113">
        <v>39435</v>
      </c>
      <c r="C1140">
        <v>66.2</v>
      </c>
      <c r="D1140">
        <f t="shared" si="37"/>
        <v>0.18003565062388593</v>
      </c>
      <c r="E1140">
        <v>1.0995723885155755E-2</v>
      </c>
      <c r="G1140">
        <v>1138</v>
      </c>
      <c r="H1140">
        <f t="shared" ca="1" si="38"/>
        <v>2.8224116069562013E-2</v>
      </c>
    </row>
    <row r="1141" spans="2:8" x14ac:dyDescent="0.3">
      <c r="B1141" s="113">
        <v>38930</v>
      </c>
      <c r="C1141">
        <v>56.1</v>
      </c>
      <c r="D1141">
        <f t="shared" si="37"/>
        <v>-0.75536368393511255</v>
      </c>
      <c r="E1141">
        <v>1.0992971706613794E-2</v>
      </c>
      <c r="G1141">
        <v>1139</v>
      </c>
      <c r="H1141">
        <f t="shared" ca="1" si="38"/>
        <v>-2.32497309762431E-2</v>
      </c>
    </row>
    <row r="1142" spans="2:8" x14ac:dyDescent="0.3">
      <c r="B1142" s="113">
        <v>41831</v>
      </c>
      <c r="C1142">
        <v>229.32</v>
      </c>
      <c r="D1142">
        <f t="shared" si="37"/>
        <v>1.6767830045523517</v>
      </c>
      <c r="E1142">
        <v>1.0977383943922676E-2</v>
      </c>
      <c r="G1142">
        <v>1140</v>
      </c>
      <c r="H1142">
        <f t="shared" ca="1" si="38"/>
        <v>3.8440503874388396E-3</v>
      </c>
    </row>
    <row r="1143" spans="2:8" x14ac:dyDescent="0.3">
      <c r="B1143" s="113">
        <v>40249</v>
      </c>
      <c r="C1143">
        <v>85.67</v>
      </c>
      <c r="D1143">
        <f t="shared" si="37"/>
        <v>-0.58865895232150578</v>
      </c>
      <c r="E1143">
        <v>1.0974746282747309E-2</v>
      </c>
      <c r="G1143">
        <v>1141</v>
      </c>
      <c r="H1143">
        <f t="shared" ca="1" si="38"/>
        <v>2.4176995730392286E-3</v>
      </c>
    </row>
    <row r="1144" spans="2:8" x14ac:dyDescent="0.3">
      <c r="B1144" s="113">
        <v>41605</v>
      </c>
      <c r="C1144">
        <v>208.27</v>
      </c>
      <c r="D1144">
        <f t="shared" si="37"/>
        <v>2.4723241080360125</v>
      </c>
      <c r="E1144">
        <v>1.0970341245570697E-2</v>
      </c>
      <c r="G1144">
        <v>1142</v>
      </c>
      <c r="H1144">
        <f t="shared" ca="1" si="38"/>
        <v>-7.4438025204661019E-3</v>
      </c>
    </row>
    <row r="1145" spans="2:8" x14ac:dyDescent="0.3">
      <c r="B1145" s="113">
        <v>39339</v>
      </c>
      <c r="C1145">
        <v>59.98</v>
      </c>
      <c r="D1145">
        <f t="shared" si="37"/>
        <v>-0.78334838360122816</v>
      </c>
      <c r="E1145">
        <v>1.0955671666947558E-2</v>
      </c>
      <c r="G1145">
        <v>1143</v>
      </c>
      <c r="H1145">
        <f t="shared" ca="1" si="38"/>
        <v>-2.4116463707642817E-2</v>
      </c>
    </row>
    <row r="1146" spans="2:8" x14ac:dyDescent="0.3">
      <c r="B1146" s="113">
        <v>43417</v>
      </c>
      <c r="C1146">
        <v>276.85000000000002</v>
      </c>
      <c r="D1146">
        <f t="shared" si="37"/>
        <v>4.1622226365840014</v>
      </c>
      <c r="E1146">
        <v>1.0954902318787657E-2</v>
      </c>
      <c r="G1146">
        <v>1144</v>
      </c>
      <c r="H1146">
        <f t="shared" ca="1" si="38"/>
        <v>6.1469327577621169E-3</v>
      </c>
    </row>
    <row r="1147" spans="2:8" x14ac:dyDescent="0.3">
      <c r="B1147" s="113">
        <v>39205</v>
      </c>
      <c r="C1147">
        <v>53.63</v>
      </c>
      <c r="D1147">
        <f t="shared" si="37"/>
        <v>1.3186338089061826</v>
      </c>
      <c r="E1147">
        <v>1.0933081998115088E-2</v>
      </c>
      <c r="G1147">
        <v>1145</v>
      </c>
      <c r="H1147">
        <f t="shared" ca="1" si="38"/>
        <v>1.1851737198673324E-2</v>
      </c>
    </row>
    <row r="1148" spans="2:8" x14ac:dyDescent="0.3">
      <c r="B1148" s="113">
        <v>38197</v>
      </c>
      <c r="C1148">
        <v>23.13</v>
      </c>
      <c r="D1148">
        <f t="shared" si="37"/>
        <v>-0.58391797085806807</v>
      </c>
      <c r="E1148">
        <v>1.0926573426573428E-2</v>
      </c>
      <c r="G1148">
        <v>1146</v>
      </c>
      <c r="H1148">
        <f t="shared" ca="1" si="38"/>
        <v>-3.6188845031803632E-4</v>
      </c>
    </row>
    <row r="1149" spans="2:8" x14ac:dyDescent="0.3">
      <c r="B1149" s="113">
        <v>39289</v>
      </c>
      <c r="C1149">
        <v>55.59</v>
      </c>
      <c r="D1149">
        <f t="shared" si="37"/>
        <v>-0.79999999999999993</v>
      </c>
      <c r="E1149">
        <v>1.0911074740862E-2</v>
      </c>
      <c r="G1149">
        <v>1147</v>
      </c>
      <c r="H1149">
        <f t="shared" ca="1" si="38"/>
        <v>1.6727772959483002E-2</v>
      </c>
    </row>
    <row r="1150" spans="2:8" x14ac:dyDescent="0.3">
      <c r="B1150" s="113">
        <v>42870</v>
      </c>
      <c r="C1150">
        <v>277.95</v>
      </c>
      <c r="D1150">
        <f t="shared" si="37"/>
        <v>0.11002396166134178</v>
      </c>
      <c r="E1150">
        <v>1.0911074740861976E-2</v>
      </c>
      <c r="G1150">
        <v>1148</v>
      </c>
      <c r="H1150">
        <f t="shared" ca="1" si="38"/>
        <v>2.0792377925324148E-2</v>
      </c>
    </row>
    <row r="1151" spans="2:8" x14ac:dyDescent="0.3">
      <c r="B1151" s="113">
        <v>43765</v>
      </c>
      <c r="C1151">
        <v>250.4</v>
      </c>
      <c r="D1151">
        <f t="shared" si="37"/>
        <v>14.858138062064599</v>
      </c>
      <c r="E1151">
        <v>1.0900282599919327E-2</v>
      </c>
      <c r="G1151">
        <v>1149</v>
      </c>
      <c r="H1151">
        <f t="shared" ca="1" si="38"/>
        <v>2.1929006872302897E-2</v>
      </c>
    </row>
    <row r="1152" spans="2:8" x14ac:dyDescent="0.3">
      <c r="B1152" s="113">
        <v>37789</v>
      </c>
      <c r="C1152">
        <v>15.79</v>
      </c>
      <c r="D1152">
        <f t="shared" si="37"/>
        <v>-0.88606681578757496</v>
      </c>
      <c r="E1152">
        <v>1.0883482714468627E-2</v>
      </c>
      <c r="G1152">
        <v>1150</v>
      </c>
      <c r="H1152">
        <f t="shared" ca="1" si="38"/>
        <v>1.8518879047245383E-2</v>
      </c>
    </row>
    <row r="1153" spans="2:8" x14ac:dyDescent="0.3">
      <c r="B1153" s="113">
        <v>40981</v>
      </c>
      <c r="C1153">
        <v>138.59</v>
      </c>
      <c r="D1153">
        <f t="shared" si="37"/>
        <v>-0.48746301775147921</v>
      </c>
      <c r="E1153">
        <v>1.0867979576951197E-2</v>
      </c>
      <c r="G1153">
        <v>1151</v>
      </c>
      <c r="H1153">
        <f t="shared" ca="1" si="38"/>
        <v>1.1307187380213444E-2</v>
      </c>
    </row>
    <row r="1154" spans="2:8" x14ac:dyDescent="0.3">
      <c r="B1154" s="113">
        <v>43257</v>
      </c>
      <c r="C1154">
        <v>270.39999999999998</v>
      </c>
      <c r="D1154">
        <f t="shared" si="37"/>
        <v>0.21315447081520031</v>
      </c>
      <c r="E1154">
        <v>1.0841121495327018E-2</v>
      </c>
      <c r="G1154">
        <v>1152</v>
      </c>
      <c r="H1154">
        <f t="shared" ca="1" si="38"/>
        <v>-1.1319083929407026E-3</v>
      </c>
    </row>
    <row r="1155" spans="2:8" x14ac:dyDescent="0.3">
      <c r="B1155" s="113">
        <v>41806</v>
      </c>
      <c r="C1155">
        <v>222.89</v>
      </c>
      <c r="D1155">
        <f t="shared" ref="D1155:D1218" si="39">(C1155-C1156)/C1156</f>
        <v>1.9467213114754098</v>
      </c>
      <c r="E1155">
        <v>1.0839002267573634E-2</v>
      </c>
      <c r="G1155">
        <v>1153</v>
      </c>
      <c r="H1155">
        <f t="shared" ca="1" si="38"/>
        <v>1.8292492164404098E-2</v>
      </c>
    </row>
    <row r="1156" spans="2:8" x14ac:dyDescent="0.3">
      <c r="B1156" s="113">
        <v>39589</v>
      </c>
      <c r="C1156">
        <v>75.64</v>
      </c>
      <c r="D1156">
        <f t="shared" si="39"/>
        <v>0.1887474461731887</v>
      </c>
      <c r="E1156">
        <v>1.0824535614058564E-2</v>
      </c>
      <c r="G1156">
        <v>1154</v>
      </c>
      <c r="H1156">
        <f t="shared" ref="H1156:H1219" ca="1" si="40">_xlfn.NORM.INV(RAND(),$L$4,$L$6)</f>
        <v>1.4184845798047567E-2</v>
      </c>
    </row>
    <row r="1157" spans="2:8" x14ac:dyDescent="0.3">
      <c r="B1157" s="113">
        <v>39667</v>
      </c>
      <c r="C1157">
        <v>63.63</v>
      </c>
      <c r="D1157">
        <f t="shared" si="39"/>
        <v>-0.7228054890002179</v>
      </c>
      <c r="E1157">
        <v>1.0802223987291497E-2</v>
      </c>
      <c r="G1157">
        <v>1155</v>
      </c>
      <c r="H1157">
        <f t="shared" ca="1" si="40"/>
        <v>2.2855964924450713E-2</v>
      </c>
    </row>
    <row r="1158" spans="2:8" x14ac:dyDescent="0.3">
      <c r="B1158" s="113">
        <v>42339</v>
      </c>
      <c r="C1158">
        <v>229.55</v>
      </c>
      <c r="D1158">
        <f t="shared" si="39"/>
        <v>6.4239974126778776</v>
      </c>
      <c r="E1158">
        <v>1.0788199031263835E-2</v>
      </c>
      <c r="G1158">
        <v>1156</v>
      </c>
      <c r="H1158">
        <f t="shared" ca="1" si="40"/>
        <v>-1.5150432085724039E-2</v>
      </c>
    </row>
    <row r="1159" spans="2:8" x14ac:dyDescent="0.3">
      <c r="B1159" s="113">
        <v>38380</v>
      </c>
      <c r="C1159">
        <v>30.92</v>
      </c>
      <c r="D1159">
        <f t="shared" si="39"/>
        <v>-0.88821402747650036</v>
      </c>
      <c r="E1159">
        <v>1.0787839163125265E-2</v>
      </c>
      <c r="G1159">
        <v>1157</v>
      </c>
      <c r="H1159">
        <f t="shared" ca="1" si="40"/>
        <v>9.2202828632684027E-3</v>
      </c>
    </row>
    <row r="1160" spans="2:8" x14ac:dyDescent="0.3">
      <c r="B1160" s="113">
        <v>43123</v>
      </c>
      <c r="C1160">
        <v>276.60000000000002</v>
      </c>
      <c r="D1160">
        <f t="shared" si="39"/>
        <v>0.23382995806940857</v>
      </c>
      <c r="E1160">
        <v>1.0780193678056079E-2</v>
      </c>
      <c r="G1160">
        <v>1158</v>
      </c>
      <c r="H1160">
        <f t="shared" ca="1" si="40"/>
        <v>-8.0355026025724328E-3</v>
      </c>
    </row>
    <row r="1161" spans="2:8" x14ac:dyDescent="0.3">
      <c r="B1161" s="113">
        <v>41705</v>
      </c>
      <c r="C1161">
        <v>224.18</v>
      </c>
      <c r="D1161">
        <f t="shared" si="39"/>
        <v>-0.13192642787996126</v>
      </c>
      <c r="E1161">
        <v>1.0775959240723273E-2</v>
      </c>
      <c r="G1161">
        <v>1159</v>
      </c>
      <c r="H1161">
        <f t="shared" ca="1" si="40"/>
        <v>5.8392409885809427E-3</v>
      </c>
    </row>
    <row r="1162" spans="2:8" x14ac:dyDescent="0.3">
      <c r="B1162" s="113">
        <v>43192</v>
      </c>
      <c r="C1162">
        <v>258.25</v>
      </c>
      <c r="D1162">
        <f t="shared" si="39"/>
        <v>-0.14245392661464379</v>
      </c>
      <c r="E1162">
        <v>1.0763209393346379E-2</v>
      </c>
      <c r="G1162">
        <v>1160</v>
      </c>
      <c r="H1162">
        <f t="shared" ca="1" si="40"/>
        <v>5.2990952949078934E-2</v>
      </c>
    </row>
    <row r="1163" spans="2:8" x14ac:dyDescent="0.3">
      <c r="B1163" s="113">
        <v>43368</v>
      </c>
      <c r="C1163">
        <v>301.14999999999998</v>
      </c>
      <c r="D1163">
        <f t="shared" si="39"/>
        <v>3.8338683788121988</v>
      </c>
      <c r="E1163">
        <v>1.0740057056553075E-2</v>
      </c>
      <c r="G1163">
        <v>1161</v>
      </c>
      <c r="H1163">
        <f t="shared" ca="1" si="40"/>
        <v>2.5666009410586318E-2</v>
      </c>
    </row>
    <row r="1164" spans="2:8" x14ac:dyDescent="0.3">
      <c r="B1164" s="113">
        <v>38968</v>
      </c>
      <c r="C1164">
        <v>62.3</v>
      </c>
      <c r="D1164">
        <f t="shared" si="39"/>
        <v>2.1417044881492688</v>
      </c>
      <c r="E1164">
        <v>1.0707332900713767E-2</v>
      </c>
      <c r="G1164">
        <v>1162</v>
      </c>
      <c r="H1164">
        <f t="shared" ca="1" si="40"/>
        <v>-1.8637910970608986E-2</v>
      </c>
    </row>
    <row r="1165" spans="2:8" x14ac:dyDescent="0.3">
      <c r="B1165" s="113">
        <v>38128</v>
      </c>
      <c r="C1165">
        <v>19.829999999999998</v>
      </c>
      <c r="D1165">
        <f t="shared" si="39"/>
        <v>-0.92374543357046723</v>
      </c>
      <c r="E1165">
        <v>1.0703363914372951E-2</v>
      </c>
      <c r="G1165">
        <v>1163</v>
      </c>
      <c r="H1165">
        <f t="shared" ca="1" si="40"/>
        <v>-2.0815630762841705E-2</v>
      </c>
    </row>
    <row r="1166" spans="2:8" x14ac:dyDescent="0.3">
      <c r="B1166" s="113">
        <v>42613</v>
      </c>
      <c r="C1166">
        <v>260.05</v>
      </c>
      <c r="D1166">
        <f t="shared" si="39"/>
        <v>9.0493563131630872E-2</v>
      </c>
      <c r="E1166">
        <v>1.0687912942090944E-2</v>
      </c>
      <c r="G1166">
        <v>1164</v>
      </c>
      <c r="H1166">
        <f t="shared" ca="1" si="40"/>
        <v>2.6192737042461038E-3</v>
      </c>
    </row>
    <row r="1167" spans="2:8" x14ac:dyDescent="0.3">
      <c r="B1167" s="113">
        <v>41717</v>
      </c>
      <c r="C1167">
        <v>238.47</v>
      </c>
      <c r="D1167">
        <f t="shared" si="39"/>
        <v>9.4914210294764629</v>
      </c>
      <c r="E1167">
        <v>1.0680228862047088E-2</v>
      </c>
      <c r="G1167">
        <v>1165</v>
      </c>
      <c r="H1167">
        <f t="shared" ca="1" si="40"/>
        <v>-1.5717553307707542E-2</v>
      </c>
    </row>
    <row r="1168" spans="2:8" x14ac:dyDescent="0.3">
      <c r="B1168" s="113">
        <v>38015</v>
      </c>
      <c r="C1168">
        <v>22.73</v>
      </c>
      <c r="D1168">
        <f t="shared" si="39"/>
        <v>-0.70469013901520072</v>
      </c>
      <c r="E1168">
        <v>1.0671409515340241E-2</v>
      </c>
      <c r="G1168">
        <v>1166</v>
      </c>
      <c r="H1168">
        <f t="shared" ca="1" si="40"/>
        <v>8.1211562962457788E-3</v>
      </c>
    </row>
    <row r="1169" spans="2:8" x14ac:dyDescent="0.3">
      <c r="B1169" s="113">
        <v>40018</v>
      </c>
      <c r="C1169">
        <v>76.97</v>
      </c>
      <c r="D1169">
        <f t="shared" si="39"/>
        <v>2.1149332254148119</v>
      </c>
      <c r="E1169">
        <v>1.0635504201680702E-2</v>
      </c>
      <c r="G1169">
        <v>1167</v>
      </c>
      <c r="H1169">
        <f t="shared" ca="1" si="40"/>
        <v>-1.0096881734652837E-2</v>
      </c>
    </row>
    <row r="1170" spans="2:8" x14ac:dyDescent="0.3">
      <c r="B1170" s="113">
        <v>38274</v>
      </c>
      <c r="C1170">
        <v>24.71</v>
      </c>
      <c r="D1170">
        <f t="shared" si="39"/>
        <v>-0.90244769048559015</v>
      </c>
      <c r="E1170">
        <v>1.0633946830265913E-2</v>
      </c>
      <c r="G1170">
        <v>1168</v>
      </c>
      <c r="H1170">
        <f t="shared" ca="1" si="40"/>
        <v>-1.8205451387807072E-2</v>
      </c>
    </row>
    <row r="1171" spans="2:8" x14ac:dyDescent="0.3">
      <c r="B1171" s="113">
        <v>44652</v>
      </c>
      <c r="C1171">
        <v>253.3</v>
      </c>
      <c r="D1171">
        <f t="shared" si="39"/>
        <v>0.29037187977585327</v>
      </c>
      <c r="E1171">
        <v>1.0572511470177562E-2</v>
      </c>
      <c r="G1171">
        <v>1169</v>
      </c>
      <c r="H1171">
        <f t="shared" ca="1" si="40"/>
        <v>-1.2909980125951655E-2</v>
      </c>
    </row>
    <row r="1172" spans="2:8" x14ac:dyDescent="0.3">
      <c r="B1172" s="113">
        <v>44020</v>
      </c>
      <c r="C1172">
        <v>196.3</v>
      </c>
      <c r="D1172">
        <f t="shared" si="39"/>
        <v>-0.37002567394094993</v>
      </c>
      <c r="E1172">
        <v>1.0553410553410612E-2</v>
      </c>
      <c r="G1172">
        <v>1170</v>
      </c>
      <c r="H1172">
        <f t="shared" ca="1" si="40"/>
        <v>-2.9508165950822524E-2</v>
      </c>
    </row>
    <row r="1173" spans="2:8" x14ac:dyDescent="0.3">
      <c r="B1173" s="113">
        <v>42915</v>
      </c>
      <c r="C1173">
        <v>311.60000000000002</v>
      </c>
      <c r="D1173">
        <f t="shared" si="39"/>
        <v>0.5107878787878789</v>
      </c>
      <c r="E1173">
        <v>1.0539970812388519E-2</v>
      </c>
      <c r="G1173">
        <v>1171</v>
      </c>
      <c r="H1173">
        <f t="shared" ca="1" si="40"/>
        <v>-4.1871948718988829E-3</v>
      </c>
    </row>
    <row r="1174" spans="2:8" x14ac:dyDescent="0.3">
      <c r="B1174" s="113">
        <v>44392</v>
      </c>
      <c r="C1174">
        <v>206.25</v>
      </c>
      <c r="D1174">
        <f t="shared" si="39"/>
        <v>2.7684999086424269</v>
      </c>
      <c r="E1174">
        <v>1.0534051935325849E-2</v>
      </c>
      <c r="G1174">
        <v>1172</v>
      </c>
      <c r="H1174">
        <f t="shared" ca="1" si="40"/>
        <v>3.6391907334802158E-3</v>
      </c>
    </row>
    <row r="1175" spans="2:8" x14ac:dyDescent="0.3">
      <c r="B1175" s="113">
        <v>39219</v>
      </c>
      <c r="C1175">
        <v>54.73</v>
      </c>
      <c r="D1175">
        <f t="shared" si="39"/>
        <v>2.560832791151594</v>
      </c>
      <c r="E1175">
        <v>1.0524372230428366E-2</v>
      </c>
      <c r="G1175">
        <v>1173</v>
      </c>
      <c r="H1175">
        <f t="shared" ca="1" si="40"/>
        <v>1.7903168637600966E-3</v>
      </c>
    </row>
    <row r="1176" spans="2:8" x14ac:dyDescent="0.3">
      <c r="B1176" s="113">
        <v>37768</v>
      </c>
      <c r="C1176">
        <v>15.37</v>
      </c>
      <c r="D1176">
        <f t="shared" si="39"/>
        <v>-0.3601165695253955</v>
      </c>
      <c r="E1176">
        <v>1.0519395134779641E-2</v>
      </c>
      <c r="G1176">
        <v>1174</v>
      </c>
      <c r="H1176">
        <f t="shared" ca="1" si="40"/>
        <v>-5.8595717340537362E-3</v>
      </c>
    </row>
    <row r="1177" spans="2:8" x14ac:dyDescent="0.3">
      <c r="B1177" s="113">
        <v>38096</v>
      </c>
      <c r="C1177">
        <v>24.02</v>
      </c>
      <c r="D1177">
        <f t="shared" si="39"/>
        <v>-0.86488158856949982</v>
      </c>
      <c r="E1177">
        <v>1.051745898190997E-2</v>
      </c>
      <c r="G1177">
        <v>1175</v>
      </c>
      <c r="H1177">
        <f t="shared" ca="1" si="40"/>
        <v>-2.0159248915833906E-2</v>
      </c>
    </row>
    <row r="1178" spans="2:8" x14ac:dyDescent="0.3">
      <c r="B1178" s="113">
        <v>41149</v>
      </c>
      <c r="C1178">
        <v>177.77</v>
      </c>
      <c r="D1178">
        <f t="shared" si="39"/>
        <v>1.282028241335045</v>
      </c>
      <c r="E1178">
        <v>1.0516143701682712E-2</v>
      </c>
      <c r="G1178">
        <v>1176</v>
      </c>
      <c r="H1178">
        <f t="shared" ca="1" si="40"/>
        <v>-1.011710496727778E-2</v>
      </c>
    </row>
    <row r="1179" spans="2:8" x14ac:dyDescent="0.3">
      <c r="B1179" s="113">
        <v>40081</v>
      </c>
      <c r="C1179">
        <v>77.900000000000006</v>
      </c>
      <c r="D1179">
        <f t="shared" si="39"/>
        <v>-0.60506970849176167</v>
      </c>
      <c r="E1179">
        <v>1.0507199377351176E-2</v>
      </c>
      <c r="G1179">
        <v>1177</v>
      </c>
      <c r="H1179">
        <f t="shared" ca="1" si="40"/>
        <v>1.8836899146101593E-2</v>
      </c>
    </row>
    <row r="1180" spans="2:8" x14ac:dyDescent="0.3">
      <c r="B1180" s="113">
        <v>44011</v>
      </c>
      <c r="C1180">
        <v>197.25</v>
      </c>
      <c r="D1180">
        <f t="shared" si="39"/>
        <v>0.57459886644847136</v>
      </c>
      <c r="E1180">
        <v>1.0502049180327927E-2</v>
      </c>
      <c r="G1180">
        <v>1178</v>
      </c>
      <c r="H1180">
        <f t="shared" ca="1" si="40"/>
        <v>3.6112725969053554E-3</v>
      </c>
    </row>
    <row r="1181" spans="2:8" x14ac:dyDescent="0.3">
      <c r="B1181" s="113">
        <v>40690</v>
      </c>
      <c r="C1181">
        <v>125.27</v>
      </c>
      <c r="D1181">
        <f t="shared" si="39"/>
        <v>-0.56721368111936432</v>
      </c>
      <c r="E1181">
        <v>1.048640800193593E-2</v>
      </c>
      <c r="G1181">
        <v>1179</v>
      </c>
      <c r="H1181">
        <f t="shared" ca="1" si="40"/>
        <v>-1.3992445361206736E-2</v>
      </c>
    </row>
    <row r="1182" spans="2:8" x14ac:dyDescent="0.3">
      <c r="B1182" s="113">
        <v>43392</v>
      </c>
      <c r="C1182">
        <v>289.45</v>
      </c>
      <c r="D1182">
        <f t="shared" si="39"/>
        <v>7.5509601181683896</v>
      </c>
      <c r="E1182">
        <v>1.0473031942747426E-2</v>
      </c>
      <c r="G1182">
        <v>1180</v>
      </c>
      <c r="H1182">
        <f t="shared" ca="1" si="40"/>
        <v>4.8390910451956747E-3</v>
      </c>
    </row>
    <row r="1183" spans="2:8" x14ac:dyDescent="0.3">
      <c r="B1183" s="113">
        <v>38498</v>
      </c>
      <c r="C1183">
        <v>33.85</v>
      </c>
      <c r="D1183">
        <f t="shared" si="39"/>
        <v>1.3328738800827018</v>
      </c>
      <c r="E1183">
        <v>1.0447761194029893E-2</v>
      </c>
      <c r="G1183">
        <v>1181</v>
      </c>
      <c r="H1183">
        <f t="shared" ca="1" si="40"/>
        <v>-1.2400489207771601E-2</v>
      </c>
    </row>
    <row r="1184" spans="2:8" x14ac:dyDescent="0.3">
      <c r="B1184" s="113">
        <v>37602</v>
      </c>
      <c r="C1184">
        <v>14.51</v>
      </c>
      <c r="D1184">
        <f t="shared" si="39"/>
        <v>-0.75836802664446301</v>
      </c>
      <c r="E1184">
        <v>1.0445682451253506E-2</v>
      </c>
      <c r="G1184">
        <v>1182</v>
      </c>
      <c r="H1184">
        <f t="shared" ca="1" si="40"/>
        <v>5.8284733615081956E-3</v>
      </c>
    </row>
    <row r="1185" spans="2:8" x14ac:dyDescent="0.3">
      <c r="B1185" s="113">
        <v>39860</v>
      </c>
      <c r="C1185">
        <v>60.05</v>
      </c>
      <c r="D1185">
        <f t="shared" si="39"/>
        <v>-0.72479376718606781</v>
      </c>
      <c r="E1185">
        <v>1.0432441527847846E-2</v>
      </c>
      <c r="G1185">
        <v>1183</v>
      </c>
      <c r="H1185">
        <f t="shared" ca="1" si="40"/>
        <v>8.505973305136064E-3</v>
      </c>
    </row>
    <row r="1186" spans="2:8" x14ac:dyDescent="0.3">
      <c r="B1186" s="113">
        <v>44229</v>
      </c>
      <c r="C1186">
        <v>218.2</v>
      </c>
      <c r="D1186">
        <f t="shared" si="39"/>
        <v>0.45060497274298633</v>
      </c>
      <c r="E1186">
        <v>1.0419078490391295E-2</v>
      </c>
      <c r="G1186">
        <v>1184</v>
      </c>
      <c r="H1186">
        <f t="shared" ca="1" si="40"/>
        <v>-2.6897757319899272E-3</v>
      </c>
    </row>
    <row r="1187" spans="2:8" x14ac:dyDescent="0.3">
      <c r="B1187" s="113">
        <v>40998</v>
      </c>
      <c r="C1187">
        <v>150.41999999999999</v>
      </c>
      <c r="D1187">
        <f t="shared" si="39"/>
        <v>-0.4563787495482472</v>
      </c>
      <c r="E1187">
        <v>1.0411768657217591E-2</v>
      </c>
      <c r="G1187">
        <v>1185</v>
      </c>
      <c r="H1187">
        <f t="shared" ca="1" si="40"/>
        <v>5.6967394423528515E-3</v>
      </c>
    </row>
    <row r="1188" spans="2:8" x14ac:dyDescent="0.3">
      <c r="B1188" s="113">
        <v>43649</v>
      </c>
      <c r="C1188">
        <v>276.7</v>
      </c>
      <c r="D1188">
        <f t="shared" si="39"/>
        <v>0.29510882284109519</v>
      </c>
      <c r="E1188">
        <v>1.040715720284815E-2</v>
      </c>
      <c r="G1188">
        <v>1186</v>
      </c>
      <c r="H1188">
        <f t="shared" ca="1" si="40"/>
        <v>-9.836910551713202E-3</v>
      </c>
    </row>
    <row r="1189" spans="2:8" x14ac:dyDescent="0.3">
      <c r="B1189" s="113">
        <v>44355</v>
      </c>
      <c r="C1189">
        <v>213.65</v>
      </c>
      <c r="D1189">
        <f t="shared" si="39"/>
        <v>-0.26719259132224321</v>
      </c>
      <c r="E1189">
        <v>1.0404350910380786E-2</v>
      </c>
      <c r="G1189">
        <v>1187</v>
      </c>
      <c r="H1189">
        <f t="shared" ca="1" si="40"/>
        <v>-2.7806263581854067E-3</v>
      </c>
    </row>
    <row r="1190" spans="2:8" x14ac:dyDescent="0.3">
      <c r="B1190" s="113">
        <v>42944</v>
      </c>
      <c r="C1190">
        <v>291.55</v>
      </c>
      <c r="D1190">
        <f t="shared" si="39"/>
        <v>0.22448551028979427</v>
      </c>
      <c r="E1190">
        <v>1.0396811644429042E-2</v>
      </c>
      <c r="G1190">
        <v>1188</v>
      </c>
      <c r="H1190">
        <f t="shared" ca="1" si="40"/>
        <v>8.9049857271955558E-4</v>
      </c>
    </row>
    <row r="1191" spans="2:8" x14ac:dyDescent="0.3">
      <c r="B1191" s="113">
        <v>41948</v>
      </c>
      <c r="C1191">
        <v>238.1</v>
      </c>
      <c r="D1191">
        <f t="shared" si="39"/>
        <v>0.57996018579960196</v>
      </c>
      <c r="E1191">
        <v>1.0396774877996982E-2</v>
      </c>
      <c r="G1191">
        <v>1189</v>
      </c>
      <c r="H1191">
        <f t="shared" ca="1" si="40"/>
        <v>-4.2149915095086041E-3</v>
      </c>
    </row>
    <row r="1192" spans="2:8" x14ac:dyDescent="0.3">
      <c r="B1192" s="113">
        <v>43908</v>
      </c>
      <c r="C1192">
        <v>150.69999999999999</v>
      </c>
      <c r="D1192">
        <f t="shared" si="39"/>
        <v>0.17385885651970706</v>
      </c>
      <c r="E1192">
        <v>1.0392222594703205E-2</v>
      </c>
      <c r="G1192">
        <v>1190</v>
      </c>
      <c r="H1192">
        <f t="shared" ca="1" si="40"/>
        <v>1.7132863101238925E-2</v>
      </c>
    </row>
    <row r="1193" spans="2:8" x14ac:dyDescent="0.3">
      <c r="B1193" s="113">
        <v>40660</v>
      </c>
      <c r="C1193">
        <v>128.38</v>
      </c>
      <c r="D1193">
        <f t="shared" si="39"/>
        <v>-0.5376193048802449</v>
      </c>
      <c r="E1193">
        <v>1.0388792696363868E-2</v>
      </c>
      <c r="G1193">
        <v>1191</v>
      </c>
      <c r="H1193">
        <f t="shared" ca="1" si="40"/>
        <v>1.8823940582251866E-2</v>
      </c>
    </row>
    <row r="1194" spans="2:8" x14ac:dyDescent="0.3">
      <c r="B1194" s="113">
        <v>42775</v>
      </c>
      <c r="C1194">
        <v>277.64999999999998</v>
      </c>
      <c r="D1194">
        <f t="shared" si="39"/>
        <v>19.340659340659339</v>
      </c>
      <c r="E1194">
        <v>1.0371179039301185E-2</v>
      </c>
      <c r="G1194">
        <v>1192</v>
      </c>
      <c r="H1194">
        <f t="shared" ca="1" si="40"/>
        <v>-1.9635864645426802E-2</v>
      </c>
    </row>
    <row r="1195" spans="2:8" x14ac:dyDescent="0.3">
      <c r="B1195" s="113">
        <v>37575</v>
      </c>
      <c r="C1195">
        <v>13.65</v>
      </c>
      <c r="D1195">
        <f t="shared" si="39"/>
        <v>-0.94045801526717554</v>
      </c>
      <c r="E1195">
        <v>1.0362694300518177E-2</v>
      </c>
      <c r="G1195">
        <v>1193</v>
      </c>
      <c r="H1195">
        <f t="shared" ca="1" si="40"/>
        <v>7.9014715006813091E-3</v>
      </c>
    </row>
    <row r="1196" spans="2:8" x14ac:dyDescent="0.3">
      <c r="B1196" s="113">
        <v>44629</v>
      </c>
      <c r="C1196">
        <v>229.25</v>
      </c>
      <c r="D1196">
        <f t="shared" si="39"/>
        <v>3.0482076637824473</v>
      </c>
      <c r="E1196">
        <v>1.0356985456148058E-2</v>
      </c>
      <c r="G1196">
        <v>1194</v>
      </c>
      <c r="H1196">
        <f t="shared" ca="1" si="40"/>
        <v>2.882461369900784E-2</v>
      </c>
    </row>
    <row r="1197" spans="2:8" x14ac:dyDescent="0.3">
      <c r="B1197" s="113">
        <v>39743</v>
      </c>
      <c r="C1197">
        <v>56.63</v>
      </c>
      <c r="D1197">
        <f t="shared" si="39"/>
        <v>-7.978550536236588E-2</v>
      </c>
      <c r="E1197">
        <v>1.0347903657448804E-2</v>
      </c>
      <c r="G1197">
        <v>1195</v>
      </c>
      <c r="H1197">
        <f t="shared" ca="1" si="40"/>
        <v>-8.9963456172447564E-3</v>
      </c>
    </row>
    <row r="1198" spans="2:8" x14ac:dyDescent="0.3">
      <c r="B1198" s="113">
        <v>38987</v>
      </c>
      <c r="C1198">
        <v>61.54</v>
      </c>
      <c r="D1198">
        <f t="shared" si="39"/>
        <v>3.4886943836615605</v>
      </c>
      <c r="E1198">
        <v>1.0343129207026803E-2</v>
      </c>
      <c r="G1198">
        <v>1196</v>
      </c>
      <c r="H1198">
        <f t="shared" ca="1" si="40"/>
        <v>-1.0028760873091798E-2</v>
      </c>
    </row>
    <row r="1199" spans="2:8" x14ac:dyDescent="0.3">
      <c r="B1199" s="113">
        <v>37561</v>
      </c>
      <c r="C1199">
        <v>13.71</v>
      </c>
      <c r="D1199">
        <f t="shared" si="39"/>
        <v>-0.90012384352006991</v>
      </c>
      <c r="E1199">
        <v>1.0316875460574838E-2</v>
      </c>
      <c r="G1199">
        <v>1197</v>
      </c>
      <c r="H1199">
        <f t="shared" ca="1" si="40"/>
        <v>-1.3591934637281399E-2</v>
      </c>
    </row>
    <row r="1200" spans="2:8" x14ac:dyDescent="0.3">
      <c r="B1200" s="113">
        <v>40921</v>
      </c>
      <c r="C1200">
        <v>137.27000000000001</v>
      </c>
      <c r="D1200">
        <f t="shared" si="39"/>
        <v>0.83934074768859734</v>
      </c>
      <c r="E1200">
        <v>1.0303967027305554E-2</v>
      </c>
      <c r="G1200">
        <v>1198</v>
      </c>
      <c r="H1200">
        <f t="shared" ca="1" si="40"/>
        <v>-1.7363133467537633E-2</v>
      </c>
    </row>
    <row r="1201" spans="2:8" x14ac:dyDescent="0.3">
      <c r="B1201" s="113">
        <v>40045</v>
      </c>
      <c r="C1201">
        <v>74.63</v>
      </c>
      <c r="D1201">
        <f t="shared" si="39"/>
        <v>-0.156627867555656</v>
      </c>
      <c r="E1201">
        <v>1.0288344388790996E-2</v>
      </c>
      <c r="G1201">
        <v>1199</v>
      </c>
      <c r="H1201">
        <f t="shared" ca="1" si="40"/>
        <v>1.5883986085138715E-2</v>
      </c>
    </row>
    <row r="1202" spans="2:8" x14ac:dyDescent="0.3">
      <c r="B1202" s="113">
        <v>40291</v>
      </c>
      <c r="C1202">
        <v>88.49</v>
      </c>
      <c r="D1202">
        <f t="shared" si="39"/>
        <v>-0.2437398512947612</v>
      </c>
      <c r="E1202">
        <v>1.0275145564562067E-2</v>
      </c>
      <c r="G1202">
        <v>1200</v>
      </c>
      <c r="H1202">
        <f t="shared" ca="1" si="40"/>
        <v>-2.2704780423876279E-2</v>
      </c>
    </row>
    <row r="1203" spans="2:8" x14ac:dyDescent="0.3">
      <c r="B1203" s="113">
        <v>40444</v>
      </c>
      <c r="C1203">
        <v>117.01</v>
      </c>
      <c r="D1203">
        <f t="shared" si="39"/>
        <v>-0.55945030120481931</v>
      </c>
      <c r="E1203">
        <v>1.0274563978587567E-2</v>
      </c>
      <c r="G1203">
        <v>1201</v>
      </c>
      <c r="H1203">
        <f t="shared" ca="1" si="40"/>
        <v>3.3862806009374836E-2</v>
      </c>
    </row>
    <row r="1204" spans="2:8" x14ac:dyDescent="0.3">
      <c r="B1204" s="113">
        <v>43108</v>
      </c>
      <c r="C1204">
        <v>265.60000000000002</v>
      </c>
      <c r="D1204">
        <f t="shared" si="39"/>
        <v>0.2978255558270218</v>
      </c>
      <c r="E1204">
        <v>1.0270064663370276E-2</v>
      </c>
      <c r="G1204">
        <v>1202</v>
      </c>
      <c r="H1204">
        <f t="shared" ca="1" si="40"/>
        <v>-2.6330900474023978E-3</v>
      </c>
    </row>
    <row r="1205" spans="2:8" x14ac:dyDescent="0.3">
      <c r="B1205" s="113">
        <v>41516</v>
      </c>
      <c r="C1205">
        <v>204.65</v>
      </c>
      <c r="D1205">
        <f t="shared" si="39"/>
        <v>1.1006980086224594</v>
      </c>
      <c r="E1205">
        <v>1.0268055486992214E-2</v>
      </c>
      <c r="G1205">
        <v>1203</v>
      </c>
      <c r="H1205">
        <f t="shared" ca="1" si="40"/>
        <v>9.7003873042775263E-3</v>
      </c>
    </row>
    <row r="1206" spans="2:8" x14ac:dyDescent="0.3">
      <c r="B1206" s="113">
        <v>40346</v>
      </c>
      <c r="C1206">
        <v>97.42</v>
      </c>
      <c r="D1206">
        <f t="shared" si="39"/>
        <v>5.1775523145212432</v>
      </c>
      <c r="E1206">
        <v>1.0266514570154463E-2</v>
      </c>
      <c r="G1206">
        <v>1204</v>
      </c>
      <c r="H1206">
        <f t="shared" ca="1" si="40"/>
        <v>3.0529514208704974E-2</v>
      </c>
    </row>
    <row r="1207" spans="2:8" x14ac:dyDescent="0.3">
      <c r="B1207" s="113">
        <v>37781</v>
      </c>
      <c r="C1207">
        <v>15.77</v>
      </c>
      <c r="D1207">
        <f t="shared" si="39"/>
        <v>-0.81827610048398258</v>
      </c>
      <c r="E1207">
        <v>1.0249839846252412E-2</v>
      </c>
      <c r="G1207">
        <v>1205</v>
      </c>
      <c r="H1207">
        <f t="shared" ca="1" si="40"/>
        <v>-3.7715023609208992E-4</v>
      </c>
    </row>
    <row r="1208" spans="2:8" x14ac:dyDescent="0.3">
      <c r="B1208" s="113">
        <v>40308</v>
      </c>
      <c r="C1208">
        <v>86.78</v>
      </c>
      <c r="D1208">
        <f t="shared" si="39"/>
        <v>-0.57082096933728976</v>
      </c>
      <c r="E1208">
        <v>1.0244470314318922E-2</v>
      </c>
      <c r="G1208">
        <v>1206</v>
      </c>
      <c r="H1208">
        <f t="shared" ca="1" si="40"/>
        <v>3.1371070376845653E-2</v>
      </c>
    </row>
    <row r="1209" spans="2:8" x14ac:dyDescent="0.3">
      <c r="B1209" s="113">
        <v>42174</v>
      </c>
      <c r="C1209">
        <v>202.2</v>
      </c>
      <c r="D1209">
        <f t="shared" si="39"/>
        <v>-4.6586193889098564E-2</v>
      </c>
      <c r="E1209">
        <v>1.0242318261303937E-2</v>
      </c>
      <c r="G1209">
        <v>1207</v>
      </c>
      <c r="H1209">
        <f t="shared" ca="1" si="40"/>
        <v>3.1678484305511352E-2</v>
      </c>
    </row>
    <row r="1210" spans="2:8" x14ac:dyDescent="0.3">
      <c r="B1210" s="113">
        <v>41590</v>
      </c>
      <c r="C1210">
        <v>212.08</v>
      </c>
      <c r="D1210">
        <f t="shared" si="39"/>
        <v>0.54656165682199387</v>
      </c>
      <c r="E1210">
        <v>1.0241509074453417E-2</v>
      </c>
      <c r="G1210">
        <v>1208</v>
      </c>
      <c r="H1210">
        <f t="shared" ca="1" si="40"/>
        <v>-6.8854384418679439E-3</v>
      </c>
    </row>
    <row r="1211" spans="2:8" x14ac:dyDescent="0.3">
      <c r="B1211" s="113">
        <v>40758</v>
      </c>
      <c r="C1211">
        <v>137.13</v>
      </c>
      <c r="D1211">
        <f t="shared" si="39"/>
        <v>-7.2395569391153266E-3</v>
      </c>
      <c r="E1211">
        <v>1.0240165021364272E-2</v>
      </c>
      <c r="G1211">
        <v>1209</v>
      </c>
      <c r="H1211">
        <f t="shared" ca="1" si="40"/>
        <v>-3.9690107276075484E-2</v>
      </c>
    </row>
    <row r="1212" spans="2:8" x14ac:dyDescent="0.3">
      <c r="B1212" s="113">
        <v>40753</v>
      </c>
      <c r="C1212">
        <v>138.13</v>
      </c>
      <c r="D1212">
        <f t="shared" si="39"/>
        <v>2.6815031982942426</v>
      </c>
      <c r="E1212">
        <v>1.0239157463614465E-2</v>
      </c>
      <c r="G1212">
        <v>1210</v>
      </c>
      <c r="H1212">
        <f t="shared" ca="1" si="40"/>
        <v>1.2429512308706587E-2</v>
      </c>
    </row>
    <row r="1213" spans="2:8" x14ac:dyDescent="0.3">
      <c r="B1213" s="113">
        <v>38541</v>
      </c>
      <c r="C1213">
        <v>37.520000000000003</v>
      </c>
      <c r="D1213">
        <f t="shared" si="39"/>
        <v>-0.28342245989304804</v>
      </c>
      <c r="E1213">
        <v>1.0231556273559574E-2</v>
      </c>
      <c r="G1213">
        <v>1211</v>
      </c>
      <c r="H1213">
        <f t="shared" ca="1" si="40"/>
        <v>-1.138979903959862E-2</v>
      </c>
    </row>
    <row r="1214" spans="2:8" x14ac:dyDescent="0.3">
      <c r="B1214" s="113">
        <v>39267</v>
      </c>
      <c r="C1214">
        <v>52.36</v>
      </c>
      <c r="D1214">
        <f t="shared" si="39"/>
        <v>-0.48606203376521395</v>
      </c>
      <c r="E1214">
        <v>1.0225737989581346E-2</v>
      </c>
      <c r="G1214">
        <v>1212</v>
      </c>
      <c r="H1214">
        <f t="shared" ca="1" si="40"/>
        <v>2.3765093736140852E-3</v>
      </c>
    </row>
    <row r="1215" spans="2:8" x14ac:dyDescent="0.3">
      <c r="B1215" s="113">
        <v>40387</v>
      </c>
      <c r="C1215">
        <v>101.88</v>
      </c>
      <c r="D1215">
        <f t="shared" si="39"/>
        <v>-0.51019230769230772</v>
      </c>
      <c r="E1215">
        <v>1.0213187902825991E-2</v>
      </c>
      <c r="G1215">
        <v>1213</v>
      </c>
      <c r="H1215">
        <f t="shared" ca="1" si="40"/>
        <v>-2.3950099952869564E-2</v>
      </c>
    </row>
    <row r="1216" spans="2:8" x14ac:dyDescent="0.3">
      <c r="B1216" s="113">
        <v>44438</v>
      </c>
      <c r="C1216">
        <v>208</v>
      </c>
      <c r="D1216">
        <f t="shared" si="39"/>
        <v>4.9445005045408739E-2</v>
      </c>
      <c r="E1216">
        <v>1.019912578921804E-2</v>
      </c>
      <c r="G1216">
        <v>1214</v>
      </c>
      <c r="H1216">
        <f t="shared" ca="1" si="40"/>
        <v>4.5751104870473888E-2</v>
      </c>
    </row>
    <row r="1217" spans="2:8" x14ac:dyDescent="0.3">
      <c r="B1217" s="113">
        <v>44169</v>
      </c>
      <c r="C1217">
        <v>198.2</v>
      </c>
      <c r="D1217">
        <f t="shared" si="39"/>
        <v>-0.21644593793239772</v>
      </c>
      <c r="E1217">
        <v>1.0193679918450561E-2</v>
      </c>
      <c r="G1217">
        <v>1215</v>
      </c>
      <c r="H1217">
        <f t="shared" ca="1" si="40"/>
        <v>1.925329956610727E-2</v>
      </c>
    </row>
    <row r="1218" spans="2:8" x14ac:dyDescent="0.3">
      <c r="B1218" s="113">
        <v>43735</v>
      </c>
      <c r="C1218">
        <v>252.95</v>
      </c>
      <c r="D1218">
        <f t="shared" si="39"/>
        <v>2.6338169803189193</v>
      </c>
      <c r="E1218">
        <v>1.0183706070287471E-2</v>
      </c>
      <c r="G1218">
        <v>1216</v>
      </c>
      <c r="H1218">
        <f t="shared" ca="1" si="40"/>
        <v>6.1031850053059212E-3</v>
      </c>
    </row>
    <row r="1219" spans="2:8" x14ac:dyDescent="0.3">
      <c r="B1219" s="113">
        <v>39554</v>
      </c>
      <c r="C1219">
        <v>69.61</v>
      </c>
      <c r="D1219">
        <f t="shared" ref="D1219:D1282" si="41">(C1219-C1220)/C1220</f>
        <v>-0.48172139081229992</v>
      </c>
      <c r="E1219">
        <v>1.0158177332752908E-2</v>
      </c>
      <c r="G1219">
        <v>1217</v>
      </c>
      <c r="H1219">
        <f t="shared" ca="1" si="40"/>
        <v>-1.5644682074643805E-2</v>
      </c>
    </row>
    <row r="1220" spans="2:8" x14ac:dyDescent="0.3">
      <c r="B1220" s="113">
        <v>40735</v>
      </c>
      <c r="C1220">
        <v>134.31</v>
      </c>
      <c r="D1220">
        <f t="shared" si="41"/>
        <v>-0.54277446808510632</v>
      </c>
      <c r="E1220">
        <v>1.0153429602888044E-2</v>
      </c>
      <c r="G1220">
        <v>1218</v>
      </c>
      <c r="H1220">
        <f t="shared" ref="H1220:H1283" ca="1" si="42">_xlfn.NORM.INV(RAND(),$L$4,$L$6)</f>
        <v>1.6924927627029511E-2</v>
      </c>
    </row>
    <row r="1221" spans="2:8" x14ac:dyDescent="0.3">
      <c r="B1221" s="113">
        <v>43542</v>
      </c>
      <c r="C1221">
        <v>293.75</v>
      </c>
      <c r="D1221">
        <f t="shared" si="41"/>
        <v>0.37202241943017283</v>
      </c>
      <c r="E1221">
        <v>1.0144429160935312E-2</v>
      </c>
      <c r="G1221">
        <v>1219</v>
      </c>
      <c r="H1221">
        <f t="shared" ca="1" si="42"/>
        <v>1.1183979422912351E-2</v>
      </c>
    </row>
    <row r="1222" spans="2:8" x14ac:dyDescent="0.3">
      <c r="B1222" s="113">
        <v>41451</v>
      </c>
      <c r="C1222">
        <v>214.1</v>
      </c>
      <c r="D1222">
        <f t="shared" si="41"/>
        <v>14.325697924123119</v>
      </c>
      <c r="E1222">
        <v>1.0143901863647114E-2</v>
      </c>
      <c r="G1222">
        <v>1220</v>
      </c>
      <c r="H1222">
        <f t="shared" ca="1" si="42"/>
        <v>1.1411642103849075E-2</v>
      </c>
    </row>
    <row r="1223" spans="2:8" x14ac:dyDescent="0.3">
      <c r="B1223" s="113">
        <v>37714</v>
      </c>
      <c r="C1223">
        <v>13.97</v>
      </c>
      <c r="D1223">
        <f t="shared" si="41"/>
        <v>-0.92708387702907247</v>
      </c>
      <c r="E1223">
        <v>1.0122921185827952E-2</v>
      </c>
      <c r="G1223">
        <v>1221</v>
      </c>
      <c r="H1223">
        <f t="shared" ca="1" si="42"/>
        <v>-1.3665255936297057E-2</v>
      </c>
    </row>
    <row r="1224" spans="2:8" x14ac:dyDescent="0.3">
      <c r="B1224" s="113">
        <v>41235</v>
      </c>
      <c r="C1224">
        <v>191.59</v>
      </c>
      <c r="D1224">
        <f t="shared" si="41"/>
        <v>1.6277602523659307</v>
      </c>
      <c r="E1224">
        <v>1.0122844941213771E-2</v>
      </c>
      <c r="G1224">
        <v>1222</v>
      </c>
      <c r="H1224">
        <f t="shared" ca="1" si="42"/>
        <v>-2.7115614315097666E-3</v>
      </c>
    </row>
    <row r="1225" spans="2:8" x14ac:dyDescent="0.3">
      <c r="B1225" s="113">
        <v>39601</v>
      </c>
      <c r="C1225">
        <v>72.91</v>
      </c>
      <c r="D1225">
        <f t="shared" si="41"/>
        <v>-0.72484715827609636</v>
      </c>
      <c r="E1225">
        <v>1.0113604876697003E-2</v>
      </c>
      <c r="G1225">
        <v>1223</v>
      </c>
      <c r="H1225">
        <f t="shared" ca="1" si="42"/>
        <v>3.2541838338753333E-3</v>
      </c>
    </row>
    <row r="1226" spans="2:8" x14ac:dyDescent="0.3">
      <c r="B1226" s="113">
        <v>42060</v>
      </c>
      <c r="C1226">
        <v>264.98</v>
      </c>
      <c r="D1226">
        <f t="shared" si="41"/>
        <v>0.29164026322203274</v>
      </c>
      <c r="E1226">
        <v>1.0101780200510937E-2</v>
      </c>
      <c r="G1226">
        <v>1224</v>
      </c>
      <c r="H1226">
        <f t="shared" ca="1" si="42"/>
        <v>-7.7916780222578256E-3</v>
      </c>
    </row>
    <row r="1227" spans="2:8" x14ac:dyDescent="0.3">
      <c r="B1227" s="113">
        <v>41361</v>
      </c>
      <c r="C1227">
        <v>205.15</v>
      </c>
      <c r="D1227">
        <f t="shared" si="41"/>
        <v>11.046388725778039</v>
      </c>
      <c r="E1227">
        <v>1.0093549975381642E-2</v>
      </c>
      <c r="G1227">
        <v>1225</v>
      </c>
      <c r="H1227">
        <f t="shared" ca="1" si="42"/>
        <v>1.4413152169896394E-2</v>
      </c>
    </row>
    <row r="1228" spans="2:8" x14ac:dyDescent="0.3">
      <c r="B1228" s="113">
        <v>37851</v>
      </c>
      <c r="C1228">
        <v>17.03</v>
      </c>
      <c r="D1228">
        <f t="shared" si="41"/>
        <v>-0.93468839884947263</v>
      </c>
      <c r="E1228">
        <v>1.0083036773428334E-2</v>
      </c>
      <c r="G1228">
        <v>1226</v>
      </c>
      <c r="H1228">
        <f t="shared" ca="1" si="42"/>
        <v>-1.1110405206274675E-2</v>
      </c>
    </row>
    <row r="1229" spans="2:8" x14ac:dyDescent="0.3">
      <c r="B1229" s="113">
        <v>43063</v>
      </c>
      <c r="C1229">
        <v>260.75</v>
      </c>
      <c r="D1229">
        <f t="shared" si="41"/>
        <v>0.2089109369929065</v>
      </c>
      <c r="E1229">
        <v>1.0071663761379131E-2</v>
      </c>
      <c r="G1229">
        <v>1227</v>
      </c>
      <c r="H1229">
        <f t="shared" ca="1" si="42"/>
        <v>3.5458900084919899E-2</v>
      </c>
    </row>
    <row r="1230" spans="2:8" x14ac:dyDescent="0.3">
      <c r="B1230" s="113">
        <v>41494</v>
      </c>
      <c r="C1230">
        <v>215.69</v>
      </c>
      <c r="D1230">
        <f t="shared" si="41"/>
        <v>14.351601423487542</v>
      </c>
      <c r="E1230">
        <v>1.0068371265336731E-2</v>
      </c>
      <c r="G1230">
        <v>1228</v>
      </c>
      <c r="H1230">
        <f t="shared" ca="1" si="42"/>
        <v>-7.084247145174756E-3</v>
      </c>
    </row>
    <row r="1231" spans="2:8" x14ac:dyDescent="0.3">
      <c r="B1231" s="113">
        <v>37669</v>
      </c>
      <c r="C1231">
        <v>14.05</v>
      </c>
      <c r="D1231">
        <f t="shared" si="41"/>
        <v>-0.95415239027573828</v>
      </c>
      <c r="E1231">
        <v>1.0064701653486741E-2</v>
      </c>
      <c r="G1231">
        <v>1229</v>
      </c>
      <c r="H1231">
        <f t="shared" ca="1" si="42"/>
        <v>-1.1625515548796645E-2</v>
      </c>
    </row>
    <row r="1232" spans="2:8" x14ac:dyDescent="0.3">
      <c r="B1232" s="113">
        <v>43579</v>
      </c>
      <c r="C1232">
        <v>306.45</v>
      </c>
      <c r="D1232">
        <f t="shared" si="41"/>
        <v>0.72930421533773471</v>
      </c>
      <c r="E1232">
        <v>1.0052735662491798E-2</v>
      </c>
      <c r="G1232">
        <v>1230</v>
      </c>
      <c r="H1232">
        <f t="shared" ca="1" si="42"/>
        <v>-3.1671574714166079E-3</v>
      </c>
    </row>
    <row r="1233" spans="2:8" x14ac:dyDescent="0.3">
      <c r="B1233" s="113">
        <v>41163</v>
      </c>
      <c r="C1233">
        <v>177.21</v>
      </c>
      <c r="D1233">
        <f t="shared" si="41"/>
        <v>3.6196558915537023</v>
      </c>
      <c r="E1233">
        <v>1.0031347962382557E-2</v>
      </c>
      <c r="G1233">
        <v>1231</v>
      </c>
      <c r="H1233">
        <f t="shared" ca="1" si="42"/>
        <v>-1.6132148417166044E-2</v>
      </c>
    </row>
    <row r="1234" spans="2:8" x14ac:dyDescent="0.3">
      <c r="B1234" s="113">
        <v>38568</v>
      </c>
      <c r="C1234">
        <v>38.36</v>
      </c>
      <c r="D1234">
        <f t="shared" si="41"/>
        <v>-0.85341434521762383</v>
      </c>
      <c r="E1234">
        <v>1.0005265929436614E-2</v>
      </c>
      <c r="G1234">
        <v>1232</v>
      </c>
      <c r="H1234">
        <f t="shared" ca="1" si="42"/>
        <v>-3.1390003187186051E-2</v>
      </c>
    </row>
    <row r="1235" spans="2:8" x14ac:dyDescent="0.3">
      <c r="B1235" s="113">
        <v>44729</v>
      </c>
      <c r="C1235">
        <v>261.69</v>
      </c>
      <c r="D1235">
        <f t="shared" si="41"/>
        <v>17.467889908256883</v>
      </c>
      <c r="E1235">
        <v>9.9961404862986287E-3</v>
      </c>
      <c r="G1235">
        <v>1233</v>
      </c>
      <c r="H1235">
        <f t="shared" ca="1" si="42"/>
        <v>-8.9279192822445726E-3</v>
      </c>
    </row>
    <row r="1236" spans="2:8" x14ac:dyDescent="0.3">
      <c r="B1236" s="113">
        <v>37687</v>
      </c>
      <c r="C1236">
        <v>14.17</v>
      </c>
      <c r="D1236">
        <f t="shared" si="41"/>
        <v>-0.76667215544212086</v>
      </c>
      <c r="E1236">
        <v>9.9786172487527133E-3</v>
      </c>
      <c r="G1236">
        <v>1234</v>
      </c>
      <c r="H1236">
        <f t="shared" ca="1" si="42"/>
        <v>4.3398252212856593E-3</v>
      </c>
    </row>
    <row r="1237" spans="2:8" x14ac:dyDescent="0.3">
      <c r="B1237" s="113">
        <v>38863</v>
      </c>
      <c r="C1237">
        <v>60.73</v>
      </c>
      <c r="D1237">
        <f t="shared" si="41"/>
        <v>-0.65334779382384844</v>
      </c>
      <c r="E1237">
        <v>9.9783801762846208E-3</v>
      </c>
      <c r="G1237">
        <v>1235</v>
      </c>
      <c r="H1237">
        <f t="shared" ca="1" si="42"/>
        <v>-2.7887154764609238E-2</v>
      </c>
    </row>
    <row r="1238" spans="2:8" x14ac:dyDescent="0.3">
      <c r="B1238" s="113">
        <v>41144</v>
      </c>
      <c r="C1238">
        <v>175.19</v>
      </c>
      <c r="D1238">
        <f t="shared" si="41"/>
        <v>-0.28009040476679681</v>
      </c>
      <c r="E1238">
        <v>9.9734809177907859E-3</v>
      </c>
      <c r="G1238">
        <v>1236</v>
      </c>
      <c r="H1238">
        <f t="shared" ca="1" si="42"/>
        <v>3.8673329136616336E-2</v>
      </c>
    </row>
    <row r="1239" spans="2:8" x14ac:dyDescent="0.3">
      <c r="B1239" s="113">
        <v>42738</v>
      </c>
      <c r="C1239">
        <v>243.35</v>
      </c>
      <c r="D1239">
        <f t="shared" si="41"/>
        <v>-2.1708542713567862E-2</v>
      </c>
      <c r="E1239">
        <v>9.9605727329321672E-3</v>
      </c>
      <c r="G1239">
        <v>1237</v>
      </c>
      <c r="H1239">
        <f t="shared" ca="1" si="42"/>
        <v>-4.1210951764106768E-3</v>
      </c>
    </row>
    <row r="1240" spans="2:8" x14ac:dyDescent="0.3">
      <c r="B1240" s="113">
        <v>43691</v>
      </c>
      <c r="C1240">
        <v>248.75</v>
      </c>
      <c r="D1240">
        <f t="shared" si="41"/>
        <v>0.11587116454333399</v>
      </c>
      <c r="E1240">
        <v>9.9472188388144075E-3</v>
      </c>
      <c r="G1240">
        <v>1238</v>
      </c>
      <c r="H1240">
        <f t="shared" ca="1" si="42"/>
        <v>1.9193122165706483E-2</v>
      </c>
    </row>
    <row r="1241" spans="2:8" x14ac:dyDescent="0.3">
      <c r="B1241" s="113">
        <v>41809</v>
      </c>
      <c r="C1241">
        <v>222.92</v>
      </c>
      <c r="D1241">
        <f t="shared" si="41"/>
        <v>-2.6890169373144861E-2</v>
      </c>
      <c r="E1241">
        <v>9.9216237031667549E-3</v>
      </c>
      <c r="G1241">
        <v>1239</v>
      </c>
      <c r="H1241">
        <f t="shared" ca="1" si="42"/>
        <v>-2.5645521309417664E-3</v>
      </c>
    </row>
    <row r="1242" spans="2:8" x14ac:dyDescent="0.3">
      <c r="B1242" s="113">
        <v>41768</v>
      </c>
      <c r="C1242">
        <v>229.08</v>
      </c>
      <c r="D1242">
        <f t="shared" si="41"/>
        <v>-0.18200321371183717</v>
      </c>
      <c r="E1242">
        <v>9.9193228408940605E-3</v>
      </c>
      <c r="G1242">
        <v>1240</v>
      </c>
      <c r="H1242">
        <f t="shared" ca="1" si="42"/>
        <v>2.6065326827450571E-3</v>
      </c>
    </row>
    <row r="1243" spans="2:8" x14ac:dyDescent="0.3">
      <c r="B1243" s="113">
        <v>43411</v>
      </c>
      <c r="C1243">
        <v>280.05</v>
      </c>
      <c r="D1243">
        <f t="shared" si="41"/>
        <v>3.4346793349168649</v>
      </c>
      <c r="E1243">
        <v>9.9170573386224304E-3</v>
      </c>
      <c r="G1243">
        <v>1241</v>
      </c>
      <c r="H1243">
        <f t="shared" ca="1" si="42"/>
        <v>1.9283004535841912E-2</v>
      </c>
    </row>
    <row r="1244" spans="2:8" x14ac:dyDescent="0.3">
      <c r="B1244" s="113">
        <v>39925</v>
      </c>
      <c r="C1244">
        <v>63.15</v>
      </c>
      <c r="D1244">
        <f t="shared" si="41"/>
        <v>-0.73064619321817015</v>
      </c>
      <c r="E1244">
        <v>9.9152406844714124E-3</v>
      </c>
      <c r="G1244">
        <v>1242</v>
      </c>
      <c r="H1244">
        <f t="shared" ca="1" si="42"/>
        <v>-5.3000091367459423E-3</v>
      </c>
    </row>
    <row r="1245" spans="2:8" x14ac:dyDescent="0.3">
      <c r="B1245" s="113">
        <v>44595</v>
      </c>
      <c r="C1245">
        <v>234.45</v>
      </c>
      <c r="D1245">
        <f t="shared" si="41"/>
        <v>0.12150203300645766</v>
      </c>
      <c r="E1245">
        <v>9.9073874650010031E-3</v>
      </c>
      <c r="G1245">
        <v>1243</v>
      </c>
      <c r="H1245">
        <f t="shared" ca="1" si="42"/>
        <v>3.8693844152078148E-3</v>
      </c>
    </row>
    <row r="1246" spans="2:8" x14ac:dyDescent="0.3">
      <c r="B1246" s="113">
        <v>44337</v>
      </c>
      <c r="C1246">
        <v>209.05</v>
      </c>
      <c r="D1246">
        <f t="shared" si="41"/>
        <v>0.99000475963826762</v>
      </c>
      <c r="E1246">
        <v>9.9033816425121331E-3</v>
      </c>
      <c r="G1246">
        <v>1244</v>
      </c>
      <c r="H1246">
        <f t="shared" ca="1" si="42"/>
        <v>-4.8285328028370182E-3</v>
      </c>
    </row>
    <row r="1247" spans="2:8" x14ac:dyDescent="0.3">
      <c r="B1247" s="113">
        <v>40591</v>
      </c>
      <c r="C1247">
        <v>105.05</v>
      </c>
      <c r="D1247">
        <f t="shared" si="41"/>
        <v>6.3461538461538458</v>
      </c>
      <c r="E1247">
        <v>9.9019419342434266E-3</v>
      </c>
      <c r="G1247">
        <v>1245</v>
      </c>
      <c r="H1247">
        <f t="shared" ca="1" si="42"/>
        <v>1.5447620850707054E-2</v>
      </c>
    </row>
    <row r="1248" spans="2:8" x14ac:dyDescent="0.3">
      <c r="B1248" s="113">
        <v>37543</v>
      </c>
      <c r="C1248">
        <v>14.3</v>
      </c>
      <c r="D1248">
        <f t="shared" si="41"/>
        <v>-0.83158638558473685</v>
      </c>
      <c r="E1248">
        <v>9.8870056497175549E-3</v>
      </c>
      <c r="G1248">
        <v>1246</v>
      </c>
      <c r="H1248">
        <f t="shared" ca="1" si="42"/>
        <v>-1.471690305646081E-2</v>
      </c>
    </row>
    <row r="1249" spans="2:8" x14ac:dyDescent="0.3">
      <c r="B1249" s="113">
        <v>40183</v>
      </c>
      <c r="C1249">
        <v>84.91</v>
      </c>
      <c r="D1249">
        <f t="shared" si="41"/>
        <v>-0.69307789625881078</v>
      </c>
      <c r="E1249">
        <v>9.8715509039010267E-3</v>
      </c>
      <c r="G1249">
        <v>1247</v>
      </c>
      <c r="H1249">
        <f t="shared" ca="1" si="42"/>
        <v>-1.9131951817967747E-2</v>
      </c>
    </row>
    <row r="1250" spans="2:8" x14ac:dyDescent="0.3">
      <c r="B1250" s="113">
        <v>42866</v>
      </c>
      <c r="C1250">
        <v>276.64999999999998</v>
      </c>
      <c r="D1250">
        <f t="shared" si="41"/>
        <v>18.278745644599301</v>
      </c>
      <c r="E1250">
        <v>9.8558131045810866E-3</v>
      </c>
      <c r="G1250">
        <v>1248</v>
      </c>
      <c r="H1250">
        <f t="shared" ca="1" si="42"/>
        <v>-4.5967881782034686E-3</v>
      </c>
    </row>
    <row r="1251" spans="2:8" x14ac:dyDescent="0.3">
      <c r="B1251" s="113">
        <v>37538</v>
      </c>
      <c r="C1251">
        <v>14.35</v>
      </c>
      <c r="D1251">
        <f t="shared" si="41"/>
        <v>-0.89647958447554466</v>
      </c>
      <c r="E1251">
        <v>9.852216748768388E-3</v>
      </c>
      <c r="G1251">
        <v>1249</v>
      </c>
      <c r="H1251">
        <f t="shared" ca="1" si="42"/>
        <v>-4.9315132455564972E-3</v>
      </c>
    </row>
    <row r="1252" spans="2:8" x14ac:dyDescent="0.3">
      <c r="B1252" s="113">
        <v>40924</v>
      </c>
      <c r="C1252">
        <v>138.62</v>
      </c>
      <c r="D1252">
        <f t="shared" si="41"/>
        <v>-0.41092979772225052</v>
      </c>
      <c r="E1252">
        <v>9.8346324761418684E-3</v>
      </c>
      <c r="G1252">
        <v>1250</v>
      </c>
      <c r="H1252">
        <f t="shared" ca="1" si="42"/>
        <v>6.9011187991001892E-3</v>
      </c>
    </row>
    <row r="1253" spans="2:8" x14ac:dyDescent="0.3">
      <c r="B1253" s="113">
        <v>42109</v>
      </c>
      <c r="C1253">
        <v>235.32</v>
      </c>
      <c r="D1253">
        <f t="shared" si="41"/>
        <v>2.6275628179435793</v>
      </c>
      <c r="E1253">
        <v>9.827060893447162E-3</v>
      </c>
      <c r="G1253">
        <v>1251</v>
      </c>
      <c r="H1253">
        <f t="shared" ca="1" si="42"/>
        <v>-7.5763032600575757E-3</v>
      </c>
    </row>
    <row r="1254" spans="2:8" x14ac:dyDescent="0.3">
      <c r="B1254" s="113">
        <v>39672</v>
      </c>
      <c r="C1254">
        <v>64.87</v>
      </c>
      <c r="D1254">
        <f t="shared" si="41"/>
        <v>-0.69335854407941389</v>
      </c>
      <c r="E1254">
        <v>9.8069738480698904E-3</v>
      </c>
      <c r="G1254">
        <v>1252</v>
      </c>
      <c r="H1254">
        <f t="shared" ca="1" si="42"/>
        <v>1.3207674497059266E-3</v>
      </c>
    </row>
    <row r="1255" spans="2:8" x14ac:dyDescent="0.3">
      <c r="B1255" s="113">
        <v>44194</v>
      </c>
      <c r="C1255">
        <v>211.55</v>
      </c>
      <c r="D1255">
        <f t="shared" si="41"/>
        <v>7.8923917612442214</v>
      </c>
      <c r="E1255">
        <v>9.7852028639618688E-3</v>
      </c>
      <c r="G1255">
        <v>1253</v>
      </c>
      <c r="H1255">
        <f t="shared" ca="1" si="42"/>
        <v>3.0839105727147674E-2</v>
      </c>
    </row>
    <row r="1256" spans="2:8" x14ac:dyDescent="0.3">
      <c r="B1256" s="113">
        <v>38107</v>
      </c>
      <c r="C1256">
        <v>23.79</v>
      </c>
      <c r="D1256">
        <f t="shared" si="41"/>
        <v>-0.90992048466489972</v>
      </c>
      <c r="E1256">
        <v>9.7623089983022264E-3</v>
      </c>
      <c r="G1256">
        <v>1254</v>
      </c>
      <c r="H1256">
        <f t="shared" ca="1" si="42"/>
        <v>-8.1970518736115966E-3</v>
      </c>
    </row>
    <row r="1257" spans="2:8" x14ac:dyDescent="0.3">
      <c r="B1257" s="113">
        <v>42800</v>
      </c>
      <c r="C1257">
        <v>264.10000000000002</v>
      </c>
      <c r="D1257">
        <f t="shared" si="41"/>
        <v>0.24223894637817511</v>
      </c>
      <c r="E1257">
        <v>9.749569871917458E-3</v>
      </c>
      <c r="G1257">
        <v>1255</v>
      </c>
      <c r="H1257">
        <f t="shared" ca="1" si="42"/>
        <v>-1.2185939247541815E-2</v>
      </c>
    </row>
    <row r="1258" spans="2:8" x14ac:dyDescent="0.3">
      <c r="B1258" s="113">
        <v>43872</v>
      </c>
      <c r="C1258">
        <v>212.6</v>
      </c>
      <c r="D1258">
        <f t="shared" si="41"/>
        <v>-0.14584170349537973</v>
      </c>
      <c r="E1258">
        <v>9.7364046544762897E-3</v>
      </c>
      <c r="G1258">
        <v>1256</v>
      </c>
      <c r="H1258">
        <f t="shared" ca="1" si="42"/>
        <v>4.0279508659286756E-2</v>
      </c>
    </row>
    <row r="1259" spans="2:8" x14ac:dyDescent="0.3">
      <c r="B1259" s="113">
        <v>43760</v>
      </c>
      <c r="C1259">
        <v>248.9</v>
      </c>
      <c r="D1259">
        <f t="shared" si="41"/>
        <v>-2.0464384100747694E-2</v>
      </c>
      <c r="E1259">
        <v>9.7363083164300427E-3</v>
      </c>
      <c r="G1259">
        <v>1257</v>
      </c>
      <c r="H1259">
        <f t="shared" ca="1" si="42"/>
        <v>1.1052326789441251E-2</v>
      </c>
    </row>
    <row r="1260" spans="2:8" x14ac:dyDescent="0.3">
      <c r="B1260" s="113">
        <v>42594</v>
      </c>
      <c r="C1260">
        <v>254.1</v>
      </c>
      <c r="D1260">
        <f t="shared" si="41"/>
        <v>0.85163593966333906</v>
      </c>
      <c r="E1260">
        <v>9.735744089012472E-3</v>
      </c>
      <c r="G1260">
        <v>1258</v>
      </c>
      <c r="H1260">
        <f t="shared" ca="1" si="42"/>
        <v>1.7041173765331569E-4</v>
      </c>
    </row>
    <row r="1261" spans="2:8" x14ac:dyDescent="0.3">
      <c r="B1261" s="113">
        <v>40973</v>
      </c>
      <c r="C1261">
        <v>137.22999999999999</v>
      </c>
      <c r="D1261">
        <f t="shared" si="41"/>
        <v>-0.39835152790565131</v>
      </c>
      <c r="E1261">
        <v>9.7123096166580325E-3</v>
      </c>
      <c r="G1261">
        <v>1259</v>
      </c>
      <c r="H1261">
        <f t="shared" ca="1" si="42"/>
        <v>1.2792578680908216E-2</v>
      </c>
    </row>
    <row r="1262" spans="2:8" x14ac:dyDescent="0.3">
      <c r="B1262" s="113">
        <v>42290</v>
      </c>
      <c r="C1262">
        <v>228.09</v>
      </c>
      <c r="D1262">
        <f t="shared" si="41"/>
        <v>-3.158833269647178E-2</v>
      </c>
      <c r="E1262">
        <v>9.6945551128817965E-3</v>
      </c>
      <c r="G1262">
        <v>1260</v>
      </c>
      <c r="H1262">
        <f t="shared" ca="1" si="42"/>
        <v>5.4640465165888439E-3</v>
      </c>
    </row>
    <row r="1263" spans="2:8" x14ac:dyDescent="0.3">
      <c r="B1263" s="113">
        <v>42535</v>
      </c>
      <c r="C1263">
        <v>235.53</v>
      </c>
      <c r="D1263">
        <f t="shared" si="41"/>
        <v>8.8137500000000006</v>
      </c>
      <c r="E1263">
        <v>9.6883439790799962E-3</v>
      </c>
      <c r="G1263">
        <v>1261</v>
      </c>
      <c r="H1263">
        <f t="shared" ca="1" si="42"/>
        <v>-1.9172100131213884E-2</v>
      </c>
    </row>
    <row r="1264" spans="2:8" x14ac:dyDescent="0.3">
      <c r="B1264" s="113">
        <v>38090</v>
      </c>
      <c r="C1264">
        <v>24</v>
      </c>
      <c r="D1264">
        <f t="shared" si="41"/>
        <v>-0.92342054881940017</v>
      </c>
      <c r="E1264">
        <v>9.6760622633571911E-3</v>
      </c>
      <c r="G1264">
        <v>1262</v>
      </c>
      <c r="H1264">
        <f t="shared" ca="1" si="42"/>
        <v>4.443173944048172E-3</v>
      </c>
    </row>
    <row r="1265" spans="2:8" x14ac:dyDescent="0.3">
      <c r="B1265" s="113">
        <v>43339</v>
      </c>
      <c r="C1265">
        <v>313.39999999999998</v>
      </c>
      <c r="D1265">
        <f t="shared" si="41"/>
        <v>0.1312037538350477</v>
      </c>
      <c r="E1265">
        <v>9.6649484536082478E-3</v>
      </c>
      <c r="G1265">
        <v>1263</v>
      </c>
      <c r="H1265">
        <f t="shared" ca="1" si="42"/>
        <v>5.3300897466304923E-3</v>
      </c>
    </row>
    <row r="1266" spans="2:8" x14ac:dyDescent="0.3">
      <c r="B1266" s="113">
        <v>43291</v>
      </c>
      <c r="C1266">
        <v>277.05</v>
      </c>
      <c r="D1266">
        <f t="shared" si="41"/>
        <v>2.3968857282981855</v>
      </c>
      <c r="E1266">
        <v>9.6574344023324862E-3</v>
      </c>
      <c r="G1266">
        <v>1264</v>
      </c>
      <c r="H1266">
        <f t="shared" ca="1" si="42"/>
        <v>8.612749786467918E-3</v>
      </c>
    </row>
    <row r="1267" spans="2:8" x14ac:dyDescent="0.3">
      <c r="B1267" s="113">
        <v>40241</v>
      </c>
      <c r="C1267">
        <v>81.56</v>
      </c>
      <c r="D1267">
        <f t="shared" si="41"/>
        <v>2.2481083233771408</v>
      </c>
      <c r="E1267">
        <v>9.6558554097549033E-3</v>
      </c>
      <c r="G1267">
        <v>1265</v>
      </c>
      <c r="H1267">
        <f t="shared" ca="1" si="42"/>
        <v>5.0453305238736144E-3</v>
      </c>
    </row>
    <row r="1268" spans="2:8" x14ac:dyDescent="0.3">
      <c r="B1268" s="113">
        <v>38294</v>
      </c>
      <c r="C1268">
        <v>25.11</v>
      </c>
      <c r="D1268">
        <f t="shared" si="41"/>
        <v>-0.4421239724505665</v>
      </c>
      <c r="E1268">
        <v>9.6501809408925786E-3</v>
      </c>
      <c r="G1268">
        <v>1266</v>
      </c>
      <c r="H1268">
        <f t="shared" ca="1" si="42"/>
        <v>1.1605522674842123E-2</v>
      </c>
    </row>
    <row r="1269" spans="2:8" x14ac:dyDescent="0.3">
      <c r="B1269" s="113">
        <v>38687</v>
      </c>
      <c r="C1269">
        <v>45.01</v>
      </c>
      <c r="D1269">
        <f t="shared" si="41"/>
        <v>-0.2183049670024314</v>
      </c>
      <c r="E1269">
        <v>9.6455809780170414E-3</v>
      </c>
      <c r="G1269">
        <v>1267</v>
      </c>
      <c r="H1269">
        <f t="shared" ca="1" si="42"/>
        <v>3.2585302207293693E-2</v>
      </c>
    </row>
    <row r="1270" spans="2:8" x14ac:dyDescent="0.3">
      <c r="B1270" s="113">
        <v>39876</v>
      </c>
      <c r="C1270">
        <v>57.58</v>
      </c>
      <c r="D1270">
        <f t="shared" si="41"/>
        <v>-0.79668079096045208</v>
      </c>
      <c r="E1270">
        <v>9.6440469928107519E-3</v>
      </c>
      <c r="G1270">
        <v>1268</v>
      </c>
      <c r="H1270">
        <f t="shared" ca="1" si="42"/>
        <v>-6.4591676423392582E-3</v>
      </c>
    </row>
    <row r="1271" spans="2:8" x14ac:dyDescent="0.3">
      <c r="B1271" s="113">
        <v>42823</v>
      </c>
      <c r="C1271">
        <v>283.2</v>
      </c>
      <c r="D1271">
        <f t="shared" si="41"/>
        <v>2.8023630504833505</v>
      </c>
      <c r="E1271">
        <v>9.62566844919782E-3</v>
      </c>
      <c r="G1271">
        <v>1269</v>
      </c>
      <c r="H1271">
        <f t="shared" ca="1" si="42"/>
        <v>2.8627204058691281E-2</v>
      </c>
    </row>
    <row r="1272" spans="2:8" x14ac:dyDescent="0.3">
      <c r="B1272" s="113">
        <v>40043</v>
      </c>
      <c r="C1272">
        <v>74.48</v>
      </c>
      <c r="D1272">
        <f t="shared" si="41"/>
        <v>-1.3901760889712659E-2</v>
      </c>
      <c r="E1272">
        <v>9.6245086078352721E-3</v>
      </c>
      <c r="G1272">
        <v>1270</v>
      </c>
      <c r="H1272">
        <f t="shared" ca="1" si="42"/>
        <v>-8.7134639620631057E-3</v>
      </c>
    </row>
    <row r="1273" spans="2:8" x14ac:dyDescent="0.3">
      <c r="B1273" s="113">
        <v>40037</v>
      </c>
      <c r="C1273">
        <v>75.53</v>
      </c>
      <c r="D1273">
        <f t="shared" si="41"/>
        <v>-0.42862546334821089</v>
      </c>
      <c r="E1273">
        <v>9.6243817671434143E-3</v>
      </c>
      <c r="G1273">
        <v>1271</v>
      </c>
      <c r="H1273">
        <f t="shared" ca="1" si="42"/>
        <v>-1.0490869096804549E-2</v>
      </c>
    </row>
    <row r="1274" spans="2:8" x14ac:dyDescent="0.3">
      <c r="B1274" s="113">
        <v>40897</v>
      </c>
      <c r="C1274">
        <v>132.19</v>
      </c>
      <c r="D1274">
        <f t="shared" si="41"/>
        <v>1.5712896323672438</v>
      </c>
      <c r="E1274">
        <v>9.6234629191170162E-3</v>
      </c>
      <c r="G1274">
        <v>1272</v>
      </c>
      <c r="H1274">
        <f t="shared" ca="1" si="42"/>
        <v>1.2392518001212478E-2</v>
      </c>
    </row>
    <row r="1275" spans="2:8" x14ac:dyDescent="0.3">
      <c r="B1275" s="113">
        <v>39261</v>
      </c>
      <c r="C1275">
        <v>51.41</v>
      </c>
      <c r="D1275">
        <f t="shared" si="41"/>
        <v>-0.15693670055755987</v>
      </c>
      <c r="E1275">
        <v>9.6229379418694989E-3</v>
      </c>
      <c r="G1275">
        <v>1273</v>
      </c>
      <c r="H1275">
        <f t="shared" ca="1" si="42"/>
        <v>3.804742800693474E-3</v>
      </c>
    </row>
    <row r="1276" spans="2:8" x14ac:dyDescent="0.3">
      <c r="B1276" s="113">
        <v>39685</v>
      </c>
      <c r="C1276">
        <v>60.98</v>
      </c>
      <c r="D1276">
        <f t="shared" si="41"/>
        <v>-0.77695683979517194</v>
      </c>
      <c r="E1276">
        <v>9.6026490066224886E-3</v>
      </c>
      <c r="G1276">
        <v>1274</v>
      </c>
      <c r="H1276">
        <f t="shared" ca="1" si="42"/>
        <v>-7.1034309340739493E-3</v>
      </c>
    </row>
    <row r="1277" spans="2:8" x14ac:dyDescent="0.3">
      <c r="B1277" s="113">
        <v>42781</v>
      </c>
      <c r="C1277">
        <v>273.39999999999998</v>
      </c>
      <c r="D1277">
        <f t="shared" si="41"/>
        <v>1.6975826344351257</v>
      </c>
      <c r="E1277">
        <v>9.6011816838994304E-3</v>
      </c>
      <c r="G1277">
        <v>1275</v>
      </c>
      <c r="H1277">
        <f t="shared" ca="1" si="42"/>
        <v>-1.7096778758898656E-2</v>
      </c>
    </row>
    <row r="1278" spans="2:8" x14ac:dyDescent="0.3">
      <c r="B1278" s="113">
        <v>40353</v>
      </c>
      <c r="C1278">
        <v>101.35</v>
      </c>
      <c r="D1278">
        <f t="shared" si="41"/>
        <v>-0.26290909090909093</v>
      </c>
      <c r="E1278">
        <v>9.5627054487498128E-3</v>
      </c>
      <c r="G1278">
        <v>1276</v>
      </c>
      <c r="H1278">
        <f t="shared" ca="1" si="42"/>
        <v>4.1384583955630114E-3</v>
      </c>
    </row>
    <row r="1279" spans="2:8" x14ac:dyDescent="0.3">
      <c r="B1279" s="113">
        <v>40960</v>
      </c>
      <c r="C1279">
        <v>137.5</v>
      </c>
      <c r="D1279">
        <f t="shared" si="41"/>
        <v>2.4186971655892591</v>
      </c>
      <c r="E1279">
        <v>9.54478707782681E-3</v>
      </c>
      <c r="G1279">
        <v>1277</v>
      </c>
      <c r="H1279">
        <f t="shared" ca="1" si="42"/>
        <v>1.1903532248177726E-3</v>
      </c>
    </row>
    <row r="1280" spans="2:8" x14ac:dyDescent="0.3">
      <c r="B1280" s="113">
        <v>38657</v>
      </c>
      <c r="C1280">
        <v>40.22</v>
      </c>
      <c r="D1280">
        <f t="shared" si="41"/>
        <v>-0.85125739644970411</v>
      </c>
      <c r="E1280">
        <v>9.5381526104416515E-3</v>
      </c>
      <c r="G1280">
        <v>1278</v>
      </c>
      <c r="H1280">
        <f t="shared" ca="1" si="42"/>
        <v>-1.6977378462521227E-2</v>
      </c>
    </row>
    <row r="1281" spans="2:8" x14ac:dyDescent="0.3">
      <c r="B1281" s="113">
        <v>43672</v>
      </c>
      <c r="C1281">
        <v>270.39999999999998</v>
      </c>
      <c r="D1281">
        <f t="shared" si="41"/>
        <v>0.24008254987388197</v>
      </c>
      <c r="E1281">
        <v>9.5202538734364545E-3</v>
      </c>
      <c r="G1281">
        <v>1279</v>
      </c>
      <c r="H1281">
        <f t="shared" ca="1" si="42"/>
        <v>6.3891873490382663E-3</v>
      </c>
    </row>
    <row r="1282" spans="2:8" x14ac:dyDescent="0.3">
      <c r="B1282" s="113">
        <v>44561</v>
      </c>
      <c r="C1282">
        <v>218.05</v>
      </c>
      <c r="D1282">
        <f t="shared" si="41"/>
        <v>0.34773471784411908</v>
      </c>
      <c r="E1282">
        <v>9.4907407407407926E-3</v>
      </c>
      <c r="G1282">
        <v>1280</v>
      </c>
      <c r="H1282">
        <f t="shared" ca="1" si="42"/>
        <v>4.7398727122829869E-3</v>
      </c>
    </row>
    <row r="1283" spans="2:8" x14ac:dyDescent="0.3">
      <c r="B1283" s="113">
        <v>41018</v>
      </c>
      <c r="C1283">
        <v>161.79</v>
      </c>
      <c r="D1283">
        <f t="shared" ref="D1283:D1346" si="43">(C1283-C1284)/C1284</f>
        <v>-0.33936300530828917</v>
      </c>
      <c r="E1283">
        <v>9.483995757159679E-3</v>
      </c>
      <c r="G1283">
        <v>1281</v>
      </c>
      <c r="H1283">
        <f t="shared" ca="1" si="42"/>
        <v>4.203489787649111E-2</v>
      </c>
    </row>
    <row r="1284" spans="2:8" x14ac:dyDescent="0.3">
      <c r="B1284" s="113">
        <v>44637</v>
      </c>
      <c r="C1284">
        <v>244.9</v>
      </c>
      <c r="D1284">
        <f t="shared" si="43"/>
        <v>2.5867018160515522</v>
      </c>
      <c r="E1284">
        <v>9.4806265457543747E-3</v>
      </c>
      <c r="G1284">
        <v>1282</v>
      </c>
      <c r="H1284">
        <f t="shared" ref="H1284:H1347" ca="1" si="44">_xlfn.NORM.INV(RAND(),$L$4,$L$6)</f>
        <v>-1.6834358110704217E-2</v>
      </c>
    </row>
    <row r="1285" spans="2:8" x14ac:dyDescent="0.3">
      <c r="B1285" s="113">
        <v>38812</v>
      </c>
      <c r="C1285">
        <v>68.28</v>
      </c>
      <c r="D1285">
        <f t="shared" si="43"/>
        <v>-0.70400554881220734</v>
      </c>
      <c r="E1285">
        <v>9.4618568894145553E-3</v>
      </c>
      <c r="G1285">
        <v>1283</v>
      </c>
      <c r="H1285">
        <f t="shared" ca="1" si="44"/>
        <v>1.8438845519747461E-4</v>
      </c>
    </row>
    <row r="1286" spans="2:8" x14ac:dyDescent="0.3">
      <c r="B1286" s="113">
        <v>41765</v>
      </c>
      <c r="C1286">
        <v>230.68</v>
      </c>
      <c r="D1286">
        <f t="shared" si="43"/>
        <v>2.9271365338781066</v>
      </c>
      <c r="E1286">
        <v>9.4521267285139002E-3</v>
      </c>
      <c r="G1286">
        <v>1284</v>
      </c>
      <c r="H1286">
        <f t="shared" ca="1" si="44"/>
        <v>6.5052556305606919E-3</v>
      </c>
    </row>
    <row r="1287" spans="2:8" x14ac:dyDescent="0.3">
      <c r="B1287" s="113">
        <v>38796</v>
      </c>
      <c r="C1287">
        <v>58.74</v>
      </c>
      <c r="D1287">
        <f t="shared" si="43"/>
        <v>-0.73708710052815318</v>
      </c>
      <c r="E1287">
        <v>9.4517958412099028E-3</v>
      </c>
      <c r="G1287">
        <v>1285</v>
      </c>
      <c r="H1287">
        <f t="shared" ca="1" si="44"/>
        <v>-1.3040360121734198E-2</v>
      </c>
    </row>
    <row r="1288" spans="2:8" x14ac:dyDescent="0.3">
      <c r="B1288" s="113">
        <v>41435</v>
      </c>
      <c r="C1288">
        <v>223.42</v>
      </c>
      <c r="D1288">
        <f t="shared" si="43"/>
        <v>2.601225016118633</v>
      </c>
      <c r="E1288">
        <v>9.4429132968868873E-3</v>
      </c>
      <c r="G1288">
        <v>1286</v>
      </c>
      <c r="H1288">
        <f t="shared" ca="1" si="44"/>
        <v>1.6489158055414756E-2</v>
      </c>
    </row>
    <row r="1289" spans="2:8" x14ac:dyDescent="0.3">
      <c r="B1289" s="113">
        <v>39370</v>
      </c>
      <c r="C1289">
        <v>62.04</v>
      </c>
      <c r="D1289">
        <f t="shared" si="43"/>
        <v>1.0652463382157125</v>
      </c>
      <c r="E1289">
        <v>9.437032216075468E-3</v>
      </c>
      <c r="G1289">
        <v>1287</v>
      </c>
      <c r="H1289">
        <f t="shared" ca="1" si="44"/>
        <v>-8.6362840274171737E-3</v>
      </c>
    </row>
    <row r="1290" spans="2:8" x14ac:dyDescent="0.3">
      <c r="B1290" s="113">
        <v>38377</v>
      </c>
      <c r="C1290">
        <v>30.04</v>
      </c>
      <c r="D1290">
        <f t="shared" si="43"/>
        <v>-0.66266142616507584</v>
      </c>
      <c r="E1290">
        <v>9.4086021505375532E-3</v>
      </c>
      <c r="G1290">
        <v>1288</v>
      </c>
      <c r="H1290">
        <f t="shared" ca="1" si="44"/>
        <v>-1.4278363551877634E-3</v>
      </c>
    </row>
    <row r="1291" spans="2:8" x14ac:dyDescent="0.3">
      <c r="B1291" s="113">
        <v>40316</v>
      </c>
      <c r="C1291">
        <v>89.05</v>
      </c>
      <c r="D1291">
        <f t="shared" si="43"/>
        <v>-0.28496868475991655</v>
      </c>
      <c r="E1291">
        <v>9.4082974382226053E-3</v>
      </c>
      <c r="G1291">
        <v>1289</v>
      </c>
      <c r="H1291">
        <f t="shared" ca="1" si="44"/>
        <v>1.0922110113183972E-4</v>
      </c>
    </row>
    <row r="1292" spans="2:8" x14ac:dyDescent="0.3">
      <c r="B1292" s="113">
        <v>40680</v>
      </c>
      <c r="C1292">
        <v>124.54</v>
      </c>
      <c r="D1292">
        <f t="shared" si="43"/>
        <v>-0.33790536948431682</v>
      </c>
      <c r="E1292">
        <v>9.4018479494246306E-3</v>
      </c>
      <c r="G1292">
        <v>1290</v>
      </c>
      <c r="H1292">
        <f t="shared" ca="1" si="44"/>
        <v>-4.5336834244708701E-3</v>
      </c>
    </row>
    <row r="1293" spans="2:8" x14ac:dyDescent="0.3">
      <c r="B1293" s="113">
        <v>43938</v>
      </c>
      <c r="C1293">
        <v>188.1</v>
      </c>
      <c r="D1293">
        <f t="shared" si="43"/>
        <v>-5.9405940594059389E-2</v>
      </c>
      <c r="E1293">
        <v>9.390931043734908E-3</v>
      </c>
      <c r="G1293">
        <v>1291</v>
      </c>
      <c r="H1293">
        <f t="shared" ca="1" si="44"/>
        <v>1.24529306634415E-3</v>
      </c>
    </row>
    <row r="1294" spans="2:8" x14ac:dyDescent="0.3">
      <c r="B1294" s="113">
        <v>41346</v>
      </c>
      <c r="C1294">
        <v>199.98</v>
      </c>
      <c r="D1294">
        <f t="shared" si="43"/>
        <v>2.8748304592133307</v>
      </c>
      <c r="E1294">
        <v>9.3882495457297856E-3</v>
      </c>
      <c r="G1294">
        <v>1292</v>
      </c>
      <c r="H1294">
        <f t="shared" ca="1" si="44"/>
        <v>-3.779254257923382E-3</v>
      </c>
    </row>
    <row r="1295" spans="2:8" x14ac:dyDescent="0.3">
      <c r="B1295" s="113">
        <v>39280</v>
      </c>
      <c r="C1295">
        <v>51.61</v>
      </c>
      <c r="D1295">
        <f t="shared" si="43"/>
        <v>-0.8020405814890107</v>
      </c>
      <c r="E1295">
        <v>9.3878349305690761E-3</v>
      </c>
      <c r="G1295">
        <v>1293</v>
      </c>
      <c r="H1295">
        <f t="shared" ca="1" si="44"/>
        <v>1.4823761084738177E-3</v>
      </c>
    </row>
    <row r="1296" spans="2:8" x14ac:dyDescent="0.3">
      <c r="B1296" s="113">
        <v>42053</v>
      </c>
      <c r="C1296">
        <v>260.70999999999998</v>
      </c>
      <c r="D1296">
        <f t="shared" si="43"/>
        <v>-6.9889404209775352E-2</v>
      </c>
      <c r="E1296">
        <v>9.3693135622748037E-3</v>
      </c>
      <c r="G1296">
        <v>1294</v>
      </c>
      <c r="H1296">
        <f t="shared" ca="1" si="44"/>
        <v>-4.1315262207003857E-2</v>
      </c>
    </row>
    <row r="1297" spans="2:8" x14ac:dyDescent="0.3">
      <c r="B1297" s="113">
        <v>43503</v>
      </c>
      <c r="C1297">
        <v>280.3</v>
      </c>
      <c r="D1297">
        <f t="shared" si="43"/>
        <v>4.7654643991777233E-2</v>
      </c>
      <c r="E1297">
        <v>9.3626215340296103E-3</v>
      </c>
      <c r="G1297">
        <v>1295</v>
      </c>
      <c r="H1297">
        <f t="shared" ca="1" si="44"/>
        <v>-2.7619569816617749E-2</v>
      </c>
    </row>
    <row r="1298" spans="2:8" x14ac:dyDescent="0.3">
      <c r="B1298" s="113">
        <v>44708</v>
      </c>
      <c r="C1298">
        <v>267.55</v>
      </c>
      <c r="D1298">
        <f t="shared" si="43"/>
        <v>7.5424648786717761</v>
      </c>
      <c r="E1298">
        <v>9.3560191647490028E-3</v>
      </c>
      <c r="G1298">
        <v>1296</v>
      </c>
      <c r="H1298">
        <f t="shared" ca="1" si="44"/>
        <v>-2.3200150410570691E-2</v>
      </c>
    </row>
    <row r="1299" spans="2:8" x14ac:dyDescent="0.3">
      <c r="B1299" s="113">
        <v>38455</v>
      </c>
      <c r="C1299">
        <v>31.32</v>
      </c>
      <c r="D1299">
        <f t="shared" si="43"/>
        <v>1.0700594844679443</v>
      </c>
      <c r="E1299">
        <v>9.345794392523336E-3</v>
      </c>
      <c r="G1299">
        <v>1297</v>
      </c>
      <c r="H1299">
        <f t="shared" ca="1" si="44"/>
        <v>-6.9704443523663142E-3</v>
      </c>
    </row>
    <row r="1300" spans="2:8" x14ac:dyDescent="0.3">
      <c r="B1300" s="113">
        <v>37504</v>
      </c>
      <c r="C1300">
        <v>15.13</v>
      </c>
      <c r="D1300">
        <f t="shared" si="43"/>
        <v>-0.73097439544807963</v>
      </c>
      <c r="E1300">
        <v>9.3395597064710179E-3</v>
      </c>
      <c r="G1300">
        <v>1298</v>
      </c>
      <c r="H1300">
        <f t="shared" ca="1" si="44"/>
        <v>4.1740008542363961E-2</v>
      </c>
    </row>
    <row r="1301" spans="2:8" x14ac:dyDescent="0.3">
      <c r="B1301" s="113">
        <v>39822</v>
      </c>
      <c r="C1301">
        <v>56.24</v>
      </c>
      <c r="D1301">
        <f t="shared" si="43"/>
        <v>-0.76369747899159657</v>
      </c>
      <c r="E1301">
        <v>9.3323761665470763E-3</v>
      </c>
      <c r="G1301">
        <v>1299</v>
      </c>
      <c r="H1301">
        <f t="shared" ca="1" si="44"/>
        <v>-9.2728312326664317E-3</v>
      </c>
    </row>
    <row r="1302" spans="2:8" x14ac:dyDescent="0.3">
      <c r="B1302" s="113">
        <v>43840</v>
      </c>
      <c r="C1302">
        <v>238</v>
      </c>
      <c r="D1302">
        <f t="shared" si="43"/>
        <v>0.20512431009165016</v>
      </c>
      <c r="E1302">
        <v>9.3299406276505029E-3</v>
      </c>
      <c r="G1302">
        <v>1300</v>
      </c>
      <c r="H1302">
        <f t="shared" ca="1" si="44"/>
        <v>-9.9079517179717323E-3</v>
      </c>
    </row>
    <row r="1303" spans="2:8" x14ac:dyDescent="0.3">
      <c r="B1303" s="113">
        <v>41248</v>
      </c>
      <c r="C1303">
        <v>197.49</v>
      </c>
      <c r="D1303">
        <f t="shared" si="43"/>
        <v>-7.155281839123688E-2</v>
      </c>
      <c r="E1303">
        <v>9.3013747636327571E-3</v>
      </c>
      <c r="G1303">
        <v>1301</v>
      </c>
      <c r="H1303">
        <f t="shared" ca="1" si="44"/>
        <v>1.7748517277203502E-3</v>
      </c>
    </row>
    <row r="1304" spans="2:8" x14ac:dyDescent="0.3">
      <c r="B1304" s="113">
        <v>41619</v>
      </c>
      <c r="C1304">
        <v>212.71</v>
      </c>
      <c r="D1304">
        <f t="shared" si="43"/>
        <v>2.9173112338858203</v>
      </c>
      <c r="E1304">
        <v>9.3001186239620778E-3</v>
      </c>
      <c r="G1304">
        <v>1302</v>
      </c>
      <c r="H1304">
        <f t="shared" ca="1" si="44"/>
        <v>2.0472047443707397E-2</v>
      </c>
    </row>
    <row r="1305" spans="2:8" x14ac:dyDescent="0.3">
      <c r="B1305" s="113">
        <v>39233</v>
      </c>
      <c r="C1305">
        <v>54.3</v>
      </c>
      <c r="D1305">
        <f t="shared" si="43"/>
        <v>0.92212389380530968</v>
      </c>
      <c r="E1305">
        <v>9.2936802973977699E-3</v>
      </c>
      <c r="G1305">
        <v>1303</v>
      </c>
      <c r="H1305">
        <f t="shared" ca="1" si="44"/>
        <v>1.0502098204298389E-2</v>
      </c>
    </row>
    <row r="1306" spans="2:8" x14ac:dyDescent="0.3">
      <c r="B1306" s="113">
        <v>38335</v>
      </c>
      <c r="C1306">
        <v>28.25</v>
      </c>
      <c r="D1306">
        <f t="shared" si="43"/>
        <v>0.73100490196078427</v>
      </c>
      <c r="E1306">
        <v>9.2890317970704388E-3</v>
      </c>
      <c r="G1306">
        <v>1304</v>
      </c>
      <c r="H1306">
        <f t="shared" ca="1" si="44"/>
        <v>-8.2612951287398713E-3</v>
      </c>
    </row>
    <row r="1307" spans="2:8" x14ac:dyDescent="0.3">
      <c r="B1307" s="113">
        <v>37840</v>
      </c>
      <c r="C1307">
        <v>16.32</v>
      </c>
      <c r="D1307">
        <f t="shared" si="43"/>
        <v>-0.94406169665809769</v>
      </c>
      <c r="E1307">
        <v>9.2764378478663312E-3</v>
      </c>
      <c r="G1307">
        <v>1305</v>
      </c>
      <c r="H1307">
        <f t="shared" ca="1" si="44"/>
        <v>-1.2970371846061377E-2</v>
      </c>
    </row>
    <row r="1308" spans="2:8" x14ac:dyDescent="0.3">
      <c r="B1308" s="113">
        <v>44757</v>
      </c>
      <c r="C1308">
        <v>291.75</v>
      </c>
      <c r="D1308">
        <f t="shared" si="43"/>
        <v>0.68320544625858182</v>
      </c>
      <c r="E1308">
        <v>9.2711108036116052E-3</v>
      </c>
      <c r="G1308">
        <v>1306</v>
      </c>
      <c r="H1308">
        <f t="shared" ca="1" si="44"/>
        <v>-2.9235426193018145E-2</v>
      </c>
    </row>
    <row r="1309" spans="2:8" x14ac:dyDescent="0.3">
      <c r="B1309" s="113">
        <v>41123</v>
      </c>
      <c r="C1309">
        <v>173.33</v>
      </c>
      <c r="D1309">
        <f t="shared" si="43"/>
        <v>-0.38860670194003522</v>
      </c>
      <c r="E1309">
        <v>9.2581809712356088E-3</v>
      </c>
      <c r="G1309">
        <v>1307</v>
      </c>
      <c r="H1309">
        <f t="shared" ca="1" si="44"/>
        <v>-1.3360997681511588E-2</v>
      </c>
    </row>
    <row r="1310" spans="2:8" x14ac:dyDescent="0.3">
      <c r="B1310" s="113">
        <v>43402</v>
      </c>
      <c r="C1310">
        <v>283.5</v>
      </c>
      <c r="D1310">
        <f t="shared" si="43"/>
        <v>1.0114942528735633</v>
      </c>
      <c r="E1310">
        <v>9.2559629761481774E-3</v>
      </c>
      <c r="G1310">
        <v>1308</v>
      </c>
      <c r="H1310">
        <f t="shared" ca="1" si="44"/>
        <v>8.234709527039568E-3</v>
      </c>
    </row>
    <row r="1311" spans="2:8" x14ac:dyDescent="0.3">
      <c r="B1311" s="113">
        <v>40863</v>
      </c>
      <c r="C1311">
        <v>140.94</v>
      </c>
      <c r="D1311">
        <f t="shared" si="43"/>
        <v>-0.50416886543535622</v>
      </c>
      <c r="E1311">
        <v>9.2373791621911342E-3</v>
      </c>
      <c r="G1311">
        <v>1309</v>
      </c>
      <c r="H1311">
        <f t="shared" ca="1" si="44"/>
        <v>1.256270119148312E-2</v>
      </c>
    </row>
    <row r="1312" spans="2:8" x14ac:dyDescent="0.3">
      <c r="B1312" s="113">
        <v>43473</v>
      </c>
      <c r="C1312">
        <v>284.25</v>
      </c>
      <c r="D1312">
        <f t="shared" si="43"/>
        <v>3.4756731223429385</v>
      </c>
      <c r="E1312">
        <v>9.2313154624534804E-3</v>
      </c>
      <c r="G1312">
        <v>1310</v>
      </c>
      <c r="H1312">
        <f t="shared" ca="1" si="44"/>
        <v>8.2878172113504697E-4</v>
      </c>
    </row>
    <row r="1313" spans="2:8" x14ac:dyDescent="0.3">
      <c r="B1313" s="113">
        <v>39652</v>
      </c>
      <c r="C1313">
        <v>63.51</v>
      </c>
      <c r="D1313">
        <f t="shared" si="43"/>
        <v>1.7541196877710323</v>
      </c>
      <c r="E1313">
        <v>9.2165898617511243E-3</v>
      </c>
      <c r="G1313">
        <v>1311</v>
      </c>
      <c r="H1313">
        <f t="shared" ca="1" si="44"/>
        <v>-6.1956886787272337E-3</v>
      </c>
    </row>
    <row r="1314" spans="2:8" x14ac:dyDescent="0.3">
      <c r="B1314" s="113">
        <v>38225</v>
      </c>
      <c r="C1314">
        <v>23.06</v>
      </c>
      <c r="D1314">
        <f t="shared" si="43"/>
        <v>-0.22225969645868465</v>
      </c>
      <c r="E1314">
        <v>9.1903719912471461E-3</v>
      </c>
      <c r="G1314">
        <v>1312</v>
      </c>
      <c r="H1314">
        <f t="shared" ca="1" si="44"/>
        <v>2.2191476782090269E-2</v>
      </c>
    </row>
    <row r="1315" spans="2:8" x14ac:dyDescent="0.3">
      <c r="B1315" s="113">
        <v>38387</v>
      </c>
      <c r="C1315">
        <v>29.65</v>
      </c>
      <c r="D1315">
        <f t="shared" si="43"/>
        <v>-0.88514429595196586</v>
      </c>
      <c r="E1315">
        <v>9.1899251191286443E-3</v>
      </c>
      <c r="G1315">
        <v>1313</v>
      </c>
      <c r="H1315">
        <f t="shared" ca="1" si="44"/>
        <v>2.7309157902543704E-2</v>
      </c>
    </row>
    <row r="1316" spans="2:8" x14ac:dyDescent="0.3">
      <c r="B1316" s="113">
        <v>43061</v>
      </c>
      <c r="C1316">
        <v>258.14999999999998</v>
      </c>
      <c r="D1316">
        <f t="shared" si="43"/>
        <v>0.11825860948667959</v>
      </c>
      <c r="E1316">
        <v>9.1868647380764883E-3</v>
      </c>
      <c r="G1316">
        <v>1314</v>
      </c>
      <c r="H1316">
        <f t="shared" ca="1" si="44"/>
        <v>1.332078841604553E-3</v>
      </c>
    </row>
    <row r="1317" spans="2:8" x14ac:dyDescent="0.3">
      <c r="B1317" s="113">
        <v>44510</v>
      </c>
      <c r="C1317">
        <v>230.85</v>
      </c>
      <c r="D1317">
        <f t="shared" si="43"/>
        <v>-0.22285810469617914</v>
      </c>
      <c r="E1317">
        <v>9.1803278688524347E-3</v>
      </c>
      <c r="G1317">
        <v>1315</v>
      </c>
      <c r="H1317">
        <f t="shared" ca="1" si="44"/>
        <v>1.4893396645862056E-2</v>
      </c>
    </row>
    <row r="1318" spans="2:8" x14ac:dyDescent="0.3">
      <c r="B1318" s="113">
        <v>43600</v>
      </c>
      <c r="C1318">
        <v>297.05</v>
      </c>
      <c r="D1318">
        <f t="shared" si="43"/>
        <v>11.842628620838738</v>
      </c>
      <c r="E1318">
        <v>9.1727535247154348E-3</v>
      </c>
      <c r="G1318">
        <v>1316</v>
      </c>
      <c r="H1318">
        <f t="shared" ca="1" si="44"/>
        <v>1.534945371325507E-2</v>
      </c>
    </row>
    <row r="1319" spans="2:8" x14ac:dyDescent="0.3">
      <c r="B1319" s="113">
        <v>38204</v>
      </c>
      <c r="C1319">
        <v>23.13</v>
      </c>
      <c r="D1319">
        <f t="shared" si="43"/>
        <v>-0.91608924360602217</v>
      </c>
      <c r="E1319">
        <v>9.1623036649213473E-3</v>
      </c>
      <c r="G1319">
        <v>1317</v>
      </c>
      <c r="H1319">
        <f t="shared" ca="1" si="44"/>
        <v>1.5433723445649536E-2</v>
      </c>
    </row>
    <row r="1320" spans="2:8" x14ac:dyDescent="0.3">
      <c r="B1320" s="113">
        <v>43657</v>
      </c>
      <c r="C1320">
        <v>275.64999999999998</v>
      </c>
      <c r="D1320">
        <f t="shared" si="43"/>
        <v>-5.0006892748828392E-2</v>
      </c>
      <c r="E1320">
        <v>9.1524803221673078E-3</v>
      </c>
      <c r="G1320">
        <v>1318</v>
      </c>
      <c r="H1320">
        <f t="shared" ca="1" si="44"/>
        <v>-4.7552935751421742E-3</v>
      </c>
    </row>
    <row r="1321" spans="2:8" x14ac:dyDescent="0.3">
      <c r="B1321" s="113">
        <v>44749</v>
      </c>
      <c r="C1321">
        <v>290.16000000000003</v>
      </c>
      <c r="D1321">
        <f t="shared" si="43"/>
        <v>3.3797735849056609</v>
      </c>
      <c r="E1321">
        <v>9.146871630786535E-3</v>
      </c>
      <c r="G1321">
        <v>1319</v>
      </c>
      <c r="H1321">
        <f t="shared" ca="1" si="44"/>
        <v>3.132434309531066E-2</v>
      </c>
    </row>
    <row r="1322" spans="2:8" x14ac:dyDescent="0.3">
      <c r="B1322" s="113">
        <v>39442</v>
      </c>
      <c r="C1322">
        <v>66.25</v>
      </c>
      <c r="D1322">
        <f t="shared" si="43"/>
        <v>-0.68751473987076084</v>
      </c>
      <c r="E1322">
        <v>9.1393754760090515E-3</v>
      </c>
      <c r="G1322">
        <v>1320</v>
      </c>
      <c r="H1322">
        <f t="shared" ca="1" si="44"/>
        <v>4.1269541788434408E-2</v>
      </c>
    </row>
    <row r="1323" spans="2:8" x14ac:dyDescent="0.3">
      <c r="B1323" s="113">
        <v>41684</v>
      </c>
      <c r="C1323">
        <v>212.01</v>
      </c>
      <c r="D1323">
        <f t="shared" si="43"/>
        <v>-8.7147470398277763E-2</v>
      </c>
      <c r="E1323">
        <v>9.1389404540910442E-3</v>
      </c>
      <c r="G1323">
        <v>1321</v>
      </c>
      <c r="H1323">
        <f t="shared" ca="1" si="44"/>
        <v>1.0086565070623494E-2</v>
      </c>
    </row>
    <row r="1324" spans="2:8" x14ac:dyDescent="0.3">
      <c r="B1324" s="113">
        <v>44602</v>
      </c>
      <c r="C1324">
        <v>232.25</v>
      </c>
      <c r="D1324">
        <f t="shared" si="43"/>
        <v>-0.1250706347711433</v>
      </c>
      <c r="E1324">
        <v>9.1244840321529196E-3</v>
      </c>
      <c r="G1324">
        <v>1322</v>
      </c>
      <c r="H1324">
        <f t="shared" ca="1" si="44"/>
        <v>8.7010920220831119E-3</v>
      </c>
    </row>
    <row r="1325" spans="2:8" x14ac:dyDescent="0.3">
      <c r="B1325" s="113">
        <v>43284</v>
      </c>
      <c r="C1325">
        <v>265.45</v>
      </c>
      <c r="D1325">
        <f t="shared" si="43"/>
        <v>-7.7818308146604245E-2</v>
      </c>
      <c r="E1325">
        <v>9.1237407337007304E-3</v>
      </c>
      <c r="G1325">
        <v>1323</v>
      </c>
      <c r="H1325">
        <f t="shared" ca="1" si="44"/>
        <v>1.4099612317339555E-2</v>
      </c>
    </row>
    <row r="1326" spans="2:8" x14ac:dyDescent="0.3">
      <c r="B1326" s="113">
        <v>42948</v>
      </c>
      <c r="C1326">
        <v>287.85000000000002</v>
      </c>
      <c r="D1326">
        <f t="shared" si="43"/>
        <v>0.33202221193891729</v>
      </c>
      <c r="E1326">
        <v>9.1148115687993778E-3</v>
      </c>
      <c r="G1326">
        <v>1324</v>
      </c>
      <c r="H1326">
        <f t="shared" ca="1" si="44"/>
        <v>1.7756263100179585E-2</v>
      </c>
    </row>
    <row r="1327" spans="2:8" x14ac:dyDescent="0.3">
      <c r="B1327" s="113">
        <v>44453</v>
      </c>
      <c r="C1327">
        <v>216.1</v>
      </c>
      <c r="D1327">
        <f t="shared" si="43"/>
        <v>-6.7086858919012227E-2</v>
      </c>
      <c r="E1327">
        <v>9.1057669857575931E-3</v>
      </c>
      <c r="G1327">
        <v>1325</v>
      </c>
      <c r="H1327">
        <f t="shared" ca="1" si="44"/>
        <v>7.0397692387602542E-3</v>
      </c>
    </row>
    <row r="1328" spans="2:8" x14ac:dyDescent="0.3">
      <c r="B1328" s="113">
        <v>42340</v>
      </c>
      <c r="C1328">
        <v>231.64</v>
      </c>
      <c r="D1328">
        <f t="shared" si="43"/>
        <v>1.8994867943422205</v>
      </c>
      <c r="E1328">
        <v>9.1047702025701359E-3</v>
      </c>
      <c r="G1328">
        <v>1326</v>
      </c>
      <c r="H1328">
        <f t="shared" ca="1" si="44"/>
        <v>1.8613353185353936E-2</v>
      </c>
    </row>
    <row r="1329" spans="2:8" x14ac:dyDescent="0.3">
      <c r="B1329" s="113">
        <v>40022</v>
      </c>
      <c r="C1329">
        <v>79.89</v>
      </c>
      <c r="D1329">
        <f t="shared" si="43"/>
        <v>2.5986486486486484</v>
      </c>
      <c r="E1329">
        <v>9.094353921940114E-3</v>
      </c>
      <c r="G1329">
        <v>1327</v>
      </c>
      <c r="H1329">
        <f t="shared" ca="1" si="44"/>
        <v>-1.5695800371684842E-2</v>
      </c>
    </row>
    <row r="1330" spans="2:8" x14ac:dyDescent="0.3">
      <c r="B1330" s="113">
        <v>38027</v>
      </c>
      <c r="C1330">
        <v>22.2</v>
      </c>
      <c r="D1330">
        <f t="shared" si="43"/>
        <v>-0.86686656671664175</v>
      </c>
      <c r="E1330">
        <v>9.0909090909090592E-3</v>
      </c>
      <c r="G1330">
        <v>1328</v>
      </c>
      <c r="H1330">
        <f t="shared" ca="1" si="44"/>
        <v>-9.1902086034841689E-3</v>
      </c>
    </row>
    <row r="1331" spans="2:8" x14ac:dyDescent="0.3">
      <c r="B1331" s="113">
        <v>44137</v>
      </c>
      <c r="C1331">
        <v>166.75</v>
      </c>
      <c r="D1331">
        <f t="shared" si="43"/>
        <v>0.45050452331245661</v>
      </c>
      <c r="E1331">
        <v>9.0771558245083209E-3</v>
      </c>
      <c r="G1331">
        <v>1329</v>
      </c>
      <c r="H1331">
        <f t="shared" ca="1" si="44"/>
        <v>1.4962504921350116E-2</v>
      </c>
    </row>
    <row r="1332" spans="2:8" x14ac:dyDescent="0.3">
      <c r="B1332" s="113">
        <v>40484</v>
      </c>
      <c r="C1332">
        <v>114.96</v>
      </c>
      <c r="D1332">
        <f t="shared" si="43"/>
        <v>-0.62553745928338766</v>
      </c>
      <c r="E1332">
        <v>9.0406389888526891E-3</v>
      </c>
      <c r="G1332">
        <v>1330</v>
      </c>
      <c r="H1332">
        <f t="shared" ca="1" si="44"/>
        <v>1.8919186406409133E-2</v>
      </c>
    </row>
    <row r="1333" spans="2:8" x14ac:dyDescent="0.3">
      <c r="B1333" s="113">
        <v>43591</v>
      </c>
      <c r="C1333">
        <v>307</v>
      </c>
      <c r="D1333">
        <f t="shared" si="43"/>
        <v>18.641714651311581</v>
      </c>
      <c r="E1333">
        <v>9.0386195562859491E-3</v>
      </c>
      <c r="G1333">
        <v>1331</v>
      </c>
      <c r="H1333">
        <f t="shared" ca="1" si="44"/>
        <v>2.9498708645145845E-2</v>
      </c>
    </row>
    <row r="1334" spans="2:8" x14ac:dyDescent="0.3">
      <c r="B1334" s="113">
        <v>37446</v>
      </c>
      <c r="C1334">
        <v>15.63</v>
      </c>
      <c r="D1334">
        <f t="shared" si="43"/>
        <v>-0.79415250888976685</v>
      </c>
      <c r="E1334">
        <v>9.0380890897353502E-3</v>
      </c>
      <c r="G1334">
        <v>1332</v>
      </c>
      <c r="H1334">
        <f t="shared" ca="1" si="44"/>
        <v>1.3004250631527039E-2</v>
      </c>
    </row>
    <row r="1335" spans="2:8" x14ac:dyDescent="0.3">
      <c r="B1335" s="113">
        <v>40066</v>
      </c>
      <c r="C1335">
        <v>75.930000000000007</v>
      </c>
      <c r="D1335">
        <f t="shared" si="43"/>
        <v>1.2665671641791048</v>
      </c>
      <c r="E1335">
        <v>9.0365448504984291E-3</v>
      </c>
      <c r="G1335">
        <v>1333</v>
      </c>
      <c r="H1335">
        <f t="shared" ca="1" si="44"/>
        <v>1.4120095172863596E-2</v>
      </c>
    </row>
    <row r="1336" spans="2:8" x14ac:dyDescent="0.3">
      <c r="B1336" s="113">
        <v>38497</v>
      </c>
      <c r="C1336">
        <v>33.5</v>
      </c>
      <c r="D1336">
        <f t="shared" si="43"/>
        <v>-0.86373805165751472</v>
      </c>
      <c r="E1336">
        <v>9.0361445783131659E-3</v>
      </c>
      <c r="G1336">
        <v>1334</v>
      </c>
      <c r="H1336">
        <f t="shared" ca="1" si="44"/>
        <v>4.338466486471868E-3</v>
      </c>
    </row>
    <row r="1337" spans="2:8" x14ac:dyDescent="0.3">
      <c r="B1337" s="113">
        <v>43755</v>
      </c>
      <c r="C1337">
        <v>245.85</v>
      </c>
      <c r="D1337">
        <f t="shared" si="43"/>
        <v>5.216981939570315E-2</v>
      </c>
      <c r="E1337">
        <v>9.029345372460449E-3</v>
      </c>
      <c r="G1337">
        <v>1335</v>
      </c>
      <c r="H1337">
        <f t="shared" ca="1" si="44"/>
        <v>1.4541374632110553E-3</v>
      </c>
    </row>
    <row r="1338" spans="2:8" x14ac:dyDescent="0.3">
      <c r="B1338" s="113">
        <v>41877</v>
      </c>
      <c r="C1338">
        <v>233.66</v>
      </c>
      <c r="D1338">
        <f t="shared" si="43"/>
        <v>-0.14707063332724948</v>
      </c>
      <c r="E1338">
        <v>9.0253487066545898E-3</v>
      </c>
      <c r="G1338">
        <v>1336</v>
      </c>
      <c r="H1338">
        <f t="shared" ca="1" si="44"/>
        <v>1.0703759085348331E-2</v>
      </c>
    </row>
    <row r="1339" spans="2:8" x14ac:dyDescent="0.3">
      <c r="B1339" s="113">
        <v>42865</v>
      </c>
      <c r="C1339">
        <v>273.95</v>
      </c>
      <c r="D1339">
        <f t="shared" si="43"/>
        <v>0.36022840119165828</v>
      </c>
      <c r="E1339">
        <v>9.0239410681399214E-3</v>
      </c>
      <c r="G1339">
        <v>1337</v>
      </c>
      <c r="H1339">
        <f t="shared" ca="1" si="44"/>
        <v>3.2735496906228113E-3</v>
      </c>
    </row>
    <row r="1340" spans="2:8" x14ac:dyDescent="0.3">
      <c r="B1340" s="113">
        <v>44321</v>
      </c>
      <c r="C1340">
        <v>201.4</v>
      </c>
      <c r="D1340">
        <f t="shared" si="43"/>
        <v>6.1954269381922114</v>
      </c>
      <c r="E1340">
        <v>9.0180360721443462E-3</v>
      </c>
      <c r="G1340">
        <v>1338</v>
      </c>
      <c r="H1340">
        <f t="shared" ca="1" si="44"/>
        <v>2.2689058664561441E-3</v>
      </c>
    </row>
    <row r="1341" spans="2:8" x14ac:dyDescent="0.3">
      <c r="B1341" s="113">
        <v>38341</v>
      </c>
      <c r="C1341">
        <v>27.99</v>
      </c>
      <c r="D1341">
        <f t="shared" si="43"/>
        <v>-0.8889285714285714</v>
      </c>
      <c r="E1341">
        <v>9.0122566690699363E-3</v>
      </c>
      <c r="G1341">
        <v>1339</v>
      </c>
      <c r="H1341">
        <f t="shared" ca="1" si="44"/>
        <v>-1.1732755597644725E-2</v>
      </c>
    </row>
    <row r="1342" spans="2:8" x14ac:dyDescent="0.3">
      <c r="B1342" s="113">
        <v>44643</v>
      </c>
      <c r="C1342">
        <v>252</v>
      </c>
      <c r="D1342">
        <f t="shared" si="43"/>
        <v>0.12199465716829923</v>
      </c>
      <c r="E1342">
        <v>9.0090090090090089E-3</v>
      </c>
      <c r="G1342">
        <v>1340</v>
      </c>
      <c r="H1342">
        <f t="shared" ca="1" si="44"/>
        <v>2.7996843819471175E-2</v>
      </c>
    </row>
    <row r="1343" spans="2:8" x14ac:dyDescent="0.3">
      <c r="B1343" s="113">
        <v>44578</v>
      </c>
      <c r="C1343">
        <v>224.6</v>
      </c>
      <c r="D1343">
        <f t="shared" si="43"/>
        <v>1.2451019592163133</v>
      </c>
      <c r="E1343">
        <v>8.9847259658580418E-3</v>
      </c>
      <c r="G1343">
        <v>1341</v>
      </c>
      <c r="H1343">
        <f t="shared" ca="1" si="44"/>
        <v>-9.4651658788978549E-3</v>
      </c>
    </row>
    <row r="1344" spans="2:8" x14ac:dyDescent="0.3">
      <c r="B1344" s="113">
        <v>40351</v>
      </c>
      <c r="C1344">
        <v>100.04</v>
      </c>
      <c r="D1344">
        <f t="shared" si="43"/>
        <v>2.1738578680203049</v>
      </c>
      <c r="E1344">
        <v>8.9762985375693438E-3</v>
      </c>
      <c r="G1344">
        <v>1342</v>
      </c>
      <c r="H1344">
        <f t="shared" ca="1" si="44"/>
        <v>-1.7728371267972838E-2</v>
      </c>
    </row>
    <row r="1345" spans="2:8" x14ac:dyDescent="0.3">
      <c r="B1345" s="113">
        <v>38476</v>
      </c>
      <c r="C1345">
        <v>31.52</v>
      </c>
      <c r="D1345">
        <f t="shared" si="43"/>
        <v>-0.8437592941409735</v>
      </c>
      <c r="E1345">
        <v>8.9628681177977322E-3</v>
      </c>
      <c r="G1345">
        <v>1343</v>
      </c>
      <c r="H1345">
        <f t="shared" ca="1" si="44"/>
        <v>-6.671628458325563E-3</v>
      </c>
    </row>
    <row r="1346" spans="2:8" x14ac:dyDescent="0.3">
      <c r="B1346" s="113">
        <v>42160</v>
      </c>
      <c r="C1346">
        <v>201.74</v>
      </c>
      <c r="D1346">
        <f t="shared" si="43"/>
        <v>5.1675328645674101</v>
      </c>
      <c r="E1346">
        <v>8.952238059514981E-3</v>
      </c>
      <c r="G1346">
        <v>1344</v>
      </c>
      <c r="H1346">
        <f t="shared" ca="1" si="44"/>
        <v>-1.4967164265266676E-3</v>
      </c>
    </row>
    <row r="1347" spans="2:8" x14ac:dyDescent="0.3">
      <c r="B1347" s="113">
        <v>38485</v>
      </c>
      <c r="C1347">
        <v>32.71</v>
      </c>
      <c r="D1347">
        <f t="shared" ref="D1347:D1410" si="45">(C1347-C1348)/C1348</f>
        <v>-0.86060089494992542</v>
      </c>
      <c r="E1347">
        <v>8.945095619987636E-3</v>
      </c>
      <c r="G1347">
        <v>1345</v>
      </c>
      <c r="H1347">
        <f t="shared" ca="1" si="44"/>
        <v>4.3627788415157666E-2</v>
      </c>
    </row>
    <row r="1348" spans="2:8" x14ac:dyDescent="0.3">
      <c r="B1348" s="113">
        <v>41890</v>
      </c>
      <c r="C1348">
        <v>234.65</v>
      </c>
      <c r="D1348">
        <f t="shared" si="45"/>
        <v>12</v>
      </c>
      <c r="E1348">
        <v>8.9435438792622116E-3</v>
      </c>
      <c r="G1348">
        <v>1346</v>
      </c>
      <c r="H1348">
        <f t="shared" ref="H1348:H1411" ca="1" si="46">_xlfn.NORM.INV(RAND(),$L$4,$L$6)</f>
        <v>1.5849177134431496E-2</v>
      </c>
    </row>
    <row r="1349" spans="2:8" x14ac:dyDescent="0.3">
      <c r="B1349" s="113">
        <v>37861</v>
      </c>
      <c r="C1349">
        <v>18.05</v>
      </c>
      <c r="D1349">
        <f t="shared" si="45"/>
        <v>-0.36060928090683669</v>
      </c>
      <c r="E1349">
        <v>8.9435438792621648E-3</v>
      </c>
      <c r="G1349">
        <v>1347</v>
      </c>
      <c r="H1349">
        <f t="shared" ca="1" si="46"/>
        <v>2.3751155050507813E-2</v>
      </c>
    </row>
    <row r="1350" spans="2:8" x14ac:dyDescent="0.3">
      <c r="B1350" s="113">
        <v>38330</v>
      </c>
      <c r="C1350">
        <v>28.23</v>
      </c>
      <c r="D1350">
        <f t="shared" si="45"/>
        <v>-0.7253623893374842</v>
      </c>
      <c r="E1350">
        <v>8.9349535382416013E-3</v>
      </c>
      <c r="G1350">
        <v>1348</v>
      </c>
      <c r="H1350">
        <f t="shared" ca="1" si="46"/>
        <v>-3.1854554678172361E-3</v>
      </c>
    </row>
    <row r="1351" spans="2:8" x14ac:dyDescent="0.3">
      <c r="B1351" s="113">
        <v>40388</v>
      </c>
      <c r="C1351">
        <v>102.79</v>
      </c>
      <c r="D1351">
        <f t="shared" si="45"/>
        <v>0.21200330149746496</v>
      </c>
      <c r="E1351">
        <v>8.9320769532784724E-3</v>
      </c>
      <c r="G1351">
        <v>1349</v>
      </c>
      <c r="H1351">
        <f t="shared" ca="1" si="46"/>
        <v>-1.768379359164178E-3</v>
      </c>
    </row>
    <row r="1352" spans="2:8" x14ac:dyDescent="0.3">
      <c r="B1352" s="113">
        <v>40171</v>
      </c>
      <c r="C1352">
        <v>84.81</v>
      </c>
      <c r="D1352">
        <f t="shared" si="45"/>
        <v>3.9946996466431095</v>
      </c>
      <c r="E1352">
        <v>8.9221984296930755E-3</v>
      </c>
      <c r="G1352">
        <v>1350</v>
      </c>
      <c r="H1352">
        <f t="shared" ca="1" si="46"/>
        <v>1.4391764637430386E-2</v>
      </c>
    </row>
    <row r="1353" spans="2:8" x14ac:dyDescent="0.3">
      <c r="B1353" s="113">
        <v>37844</v>
      </c>
      <c r="C1353">
        <v>16.98</v>
      </c>
      <c r="D1353">
        <f t="shared" si="45"/>
        <v>-0.79455535390199639</v>
      </c>
      <c r="E1353">
        <v>8.9126559714796279E-3</v>
      </c>
      <c r="G1353">
        <v>1351</v>
      </c>
      <c r="H1353">
        <f t="shared" ca="1" si="46"/>
        <v>6.7883403089575732E-4</v>
      </c>
    </row>
    <row r="1354" spans="2:8" x14ac:dyDescent="0.3">
      <c r="B1354" s="113">
        <v>40224</v>
      </c>
      <c r="C1354">
        <v>82.65</v>
      </c>
      <c r="D1354">
        <f t="shared" si="45"/>
        <v>-0.56025538707102951</v>
      </c>
      <c r="E1354">
        <v>8.9111328125000486E-3</v>
      </c>
      <c r="G1354">
        <v>1352</v>
      </c>
      <c r="H1354">
        <f t="shared" ca="1" si="46"/>
        <v>-7.0408476497073949E-3</v>
      </c>
    </row>
    <row r="1355" spans="2:8" x14ac:dyDescent="0.3">
      <c r="B1355" s="113">
        <v>41193</v>
      </c>
      <c r="C1355">
        <v>187.95</v>
      </c>
      <c r="D1355">
        <f t="shared" si="45"/>
        <v>-0.12213918729565626</v>
      </c>
      <c r="E1355">
        <v>8.9108379408449016E-3</v>
      </c>
      <c r="G1355">
        <v>1353</v>
      </c>
      <c r="H1355">
        <f t="shared" ca="1" si="46"/>
        <v>-3.0873298410193779E-2</v>
      </c>
    </row>
    <row r="1356" spans="2:8" x14ac:dyDescent="0.3">
      <c r="B1356" s="113">
        <v>42353</v>
      </c>
      <c r="C1356">
        <v>214.1</v>
      </c>
      <c r="D1356">
        <f t="shared" si="45"/>
        <v>0.25926361604517106</v>
      </c>
      <c r="E1356">
        <v>8.9062720889684106E-3</v>
      </c>
      <c r="G1356">
        <v>1354</v>
      </c>
      <c r="H1356">
        <f t="shared" ca="1" si="46"/>
        <v>3.8690473138657623E-2</v>
      </c>
    </row>
    <row r="1357" spans="2:8" x14ac:dyDescent="0.3">
      <c r="B1357" s="113">
        <v>41172</v>
      </c>
      <c r="C1357">
        <v>170.02</v>
      </c>
      <c r="D1357">
        <f t="shared" si="45"/>
        <v>1.2054741211570892</v>
      </c>
      <c r="E1357">
        <v>8.9010206503679079E-3</v>
      </c>
      <c r="G1357">
        <v>1355</v>
      </c>
      <c r="H1357">
        <f t="shared" ca="1" si="46"/>
        <v>-1.6990567359206107E-2</v>
      </c>
    </row>
    <row r="1358" spans="2:8" x14ac:dyDescent="0.3">
      <c r="B1358" s="113">
        <v>40080</v>
      </c>
      <c r="C1358">
        <v>77.09</v>
      </c>
      <c r="D1358">
        <f t="shared" si="45"/>
        <v>-0.63480032213747695</v>
      </c>
      <c r="E1358">
        <v>8.8993587226803665E-3</v>
      </c>
      <c r="G1358">
        <v>1356</v>
      </c>
      <c r="H1358">
        <f t="shared" ca="1" si="46"/>
        <v>-3.4329970334693329E-3</v>
      </c>
    </row>
    <row r="1359" spans="2:8" x14ac:dyDescent="0.3">
      <c r="B1359" s="113">
        <v>42191</v>
      </c>
      <c r="C1359">
        <v>211.09</v>
      </c>
      <c r="D1359">
        <f t="shared" si="45"/>
        <v>-2.2052351169793798E-2</v>
      </c>
      <c r="E1359">
        <v>8.8897385652153792E-3</v>
      </c>
      <c r="G1359">
        <v>1357</v>
      </c>
      <c r="H1359">
        <f t="shared" ca="1" si="46"/>
        <v>-3.9714821786679324E-4</v>
      </c>
    </row>
    <row r="1360" spans="2:8" x14ac:dyDescent="0.3">
      <c r="B1360" s="113">
        <v>44620</v>
      </c>
      <c r="C1360">
        <v>215.85</v>
      </c>
      <c r="D1360">
        <f t="shared" si="45"/>
        <v>8.0427314620862997</v>
      </c>
      <c r="E1360">
        <v>8.8805795746670045E-3</v>
      </c>
      <c r="G1360">
        <v>1358</v>
      </c>
      <c r="H1360">
        <f t="shared" ca="1" si="46"/>
        <v>-2.9084393940327431E-2</v>
      </c>
    </row>
    <row r="1361" spans="2:8" x14ac:dyDescent="0.3">
      <c r="B1361" s="113">
        <v>38034</v>
      </c>
      <c r="C1361">
        <v>23.87</v>
      </c>
      <c r="D1361">
        <f t="shared" si="45"/>
        <v>-0.89306513753247918</v>
      </c>
      <c r="E1361">
        <v>8.8757396449704509E-3</v>
      </c>
      <c r="G1361">
        <v>1359</v>
      </c>
      <c r="H1361">
        <f t="shared" ca="1" si="46"/>
        <v>1.6427304812095023E-2</v>
      </c>
    </row>
    <row r="1362" spans="2:8" x14ac:dyDescent="0.3">
      <c r="B1362" s="113">
        <v>41796</v>
      </c>
      <c r="C1362">
        <v>223.22</v>
      </c>
      <c r="D1362">
        <f t="shared" si="45"/>
        <v>8.8612533528407644E-2</v>
      </c>
      <c r="E1362">
        <v>8.8583566844436766E-3</v>
      </c>
      <c r="G1362">
        <v>1360</v>
      </c>
      <c r="H1362">
        <f t="shared" ca="1" si="46"/>
        <v>9.4815789002033E-3</v>
      </c>
    </row>
    <row r="1363" spans="2:8" x14ac:dyDescent="0.3">
      <c r="B1363" s="113">
        <v>44372</v>
      </c>
      <c r="C1363">
        <v>205.05</v>
      </c>
      <c r="D1363">
        <f t="shared" si="45"/>
        <v>-0.21751574127074985</v>
      </c>
      <c r="E1363">
        <v>8.8560885608856641E-3</v>
      </c>
      <c r="G1363">
        <v>1361</v>
      </c>
      <c r="H1363">
        <f t="shared" ca="1" si="46"/>
        <v>7.1500633029950985E-3</v>
      </c>
    </row>
    <row r="1364" spans="2:8" x14ac:dyDescent="0.3">
      <c r="B1364" s="113">
        <v>44686</v>
      </c>
      <c r="C1364">
        <v>262.05</v>
      </c>
      <c r="D1364">
        <f t="shared" si="45"/>
        <v>3.2561312327432193</v>
      </c>
      <c r="E1364">
        <v>8.854667949951921E-3</v>
      </c>
      <c r="G1364">
        <v>1362</v>
      </c>
      <c r="H1364">
        <f t="shared" ca="1" si="46"/>
        <v>-1.1000674047779199E-2</v>
      </c>
    </row>
    <row r="1365" spans="2:8" x14ac:dyDescent="0.3">
      <c r="B1365" s="113">
        <v>39036</v>
      </c>
      <c r="C1365">
        <v>61.57</v>
      </c>
      <c r="D1365">
        <f t="shared" si="45"/>
        <v>-0.71463663329625515</v>
      </c>
      <c r="E1365">
        <v>8.848107488120583E-3</v>
      </c>
      <c r="G1365">
        <v>1363</v>
      </c>
      <c r="H1365">
        <f t="shared" ca="1" si="46"/>
        <v>2.5075346181714789E-3</v>
      </c>
    </row>
    <row r="1366" spans="2:8" x14ac:dyDescent="0.3">
      <c r="B1366" s="113">
        <v>41652</v>
      </c>
      <c r="C1366">
        <v>215.76</v>
      </c>
      <c r="D1366">
        <f t="shared" si="45"/>
        <v>5.5144927536231885</v>
      </c>
      <c r="E1366">
        <v>8.8371440594753187E-3</v>
      </c>
      <c r="G1366">
        <v>1364</v>
      </c>
      <c r="H1366">
        <f t="shared" ca="1" si="46"/>
        <v>6.226232469328278E-5</v>
      </c>
    </row>
    <row r="1367" spans="2:8" x14ac:dyDescent="0.3">
      <c r="B1367" s="113">
        <v>38491</v>
      </c>
      <c r="C1367">
        <v>33.119999999999997</v>
      </c>
      <c r="D1367">
        <f t="shared" si="45"/>
        <v>-0.80986279350134904</v>
      </c>
      <c r="E1367">
        <v>8.833384099908595E-3</v>
      </c>
      <c r="G1367">
        <v>1365</v>
      </c>
      <c r="H1367">
        <f t="shared" ca="1" si="46"/>
        <v>-2.6038131390100097E-2</v>
      </c>
    </row>
    <row r="1368" spans="2:8" x14ac:dyDescent="0.3">
      <c r="B1368" s="113">
        <v>41159</v>
      </c>
      <c r="C1368">
        <v>174.19</v>
      </c>
      <c r="D1368">
        <f t="shared" si="45"/>
        <v>0.87644080577399552</v>
      </c>
      <c r="E1368">
        <v>8.8029188625702807E-3</v>
      </c>
      <c r="G1368">
        <v>1366</v>
      </c>
      <c r="H1368">
        <f t="shared" ca="1" si="46"/>
        <v>-5.7169278918801211E-3</v>
      </c>
    </row>
    <row r="1369" spans="2:8" x14ac:dyDescent="0.3">
      <c r="B1369" s="113">
        <v>40339</v>
      </c>
      <c r="C1369">
        <v>92.83</v>
      </c>
      <c r="D1369">
        <f t="shared" si="45"/>
        <v>5.1969292389853132</v>
      </c>
      <c r="E1369">
        <v>8.8024342534231935E-3</v>
      </c>
      <c r="G1369">
        <v>1367</v>
      </c>
      <c r="H1369">
        <f t="shared" ca="1" si="46"/>
        <v>-1.2421417212305715E-2</v>
      </c>
    </row>
    <row r="1370" spans="2:8" x14ac:dyDescent="0.3">
      <c r="B1370" s="113">
        <v>37628</v>
      </c>
      <c r="C1370">
        <v>14.98</v>
      </c>
      <c r="D1370">
        <f t="shared" si="45"/>
        <v>-0.9261450475767885</v>
      </c>
      <c r="E1370">
        <v>8.7542087542088077E-3</v>
      </c>
      <c r="G1370">
        <v>1368</v>
      </c>
      <c r="H1370">
        <f t="shared" ca="1" si="46"/>
        <v>1.1065836164071847E-2</v>
      </c>
    </row>
    <row r="1371" spans="2:8" x14ac:dyDescent="0.3">
      <c r="B1371" s="113">
        <v>41255</v>
      </c>
      <c r="C1371">
        <v>202.83</v>
      </c>
      <c r="D1371">
        <f t="shared" si="45"/>
        <v>-0.26696783520057815</v>
      </c>
      <c r="E1371">
        <v>8.7531705376238094E-3</v>
      </c>
      <c r="G1371">
        <v>1369</v>
      </c>
      <c r="H1371">
        <f t="shared" ca="1" si="46"/>
        <v>-1.0940783634884616E-2</v>
      </c>
    </row>
    <row r="1372" spans="2:8" x14ac:dyDescent="0.3">
      <c r="B1372" s="113">
        <v>43521</v>
      </c>
      <c r="C1372">
        <v>276.7</v>
      </c>
      <c r="D1372">
        <f t="shared" si="45"/>
        <v>-1.8066847335144125E-4</v>
      </c>
      <c r="E1372">
        <v>8.749544294567908E-3</v>
      </c>
      <c r="G1372">
        <v>1370</v>
      </c>
      <c r="H1372">
        <f t="shared" ca="1" si="46"/>
        <v>1.7067224086938396E-2</v>
      </c>
    </row>
    <row r="1373" spans="2:8" x14ac:dyDescent="0.3">
      <c r="B1373" s="113">
        <v>42849</v>
      </c>
      <c r="C1373">
        <v>276.75</v>
      </c>
      <c r="D1373">
        <f t="shared" si="45"/>
        <v>0.25938566552901021</v>
      </c>
      <c r="E1373">
        <v>8.7479496992891453E-3</v>
      </c>
      <c r="G1373">
        <v>1371</v>
      </c>
      <c r="H1373">
        <f t="shared" ca="1" si="46"/>
        <v>-4.3374928270977102E-2</v>
      </c>
    </row>
    <row r="1374" spans="2:8" x14ac:dyDescent="0.3">
      <c r="B1374" s="113">
        <v>44214</v>
      </c>
      <c r="C1374">
        <v>219.75</v>
      </c>
      <c r="D1374">
        <f t="shared" si="45"/>
        <v>0.6377254434341928</v>
      </c>
      <c r="E1374">
        <v>8.7215974294239419E-3</v>
      </c>
      <c r="G1374">
        <v>1372</v>
      </c>
      <c r="H1374">
        <f t="shared" ca="1" si="46"/>
        <v>3.6309278051138656E-2</v>
      </c>
    </row>
    <row r="1375" spans="2:8" x14ac:dyDescent="0.3">
      <c r="B1375" s="113">
        <v>40945</v>
      </c>
      <c r="C1375">
        <v>134.18</v>
      </c>
      <c r="D1375">
        <f t="shared" si="45"/>
        <v>-0.42648315951444693</v>
      </c>
      <c r="E1375">
        <v>8.7204931589234431E-3</v>
      </c>
      <c r="G1375">
        <v>1373</v>
      </c>
      <c r="H1375">
        <f t="shared" ca="1" si="46"/>
        <v>-4.668413533307823E-3</v>
      </c>
    </row>
    <row r="1376" spans="2:8" x14ac:dyDescent="0.3">
      <c r="B1376" s="113">
        <v>41842</v>
      </c>
      <c r="C1376">
        <v>233.96</v>
      </c>
      <c r="D1376">
        <f t="shared" si="45"/>
        <v>3.2967860422405875</v>
      </c>
      <c r="E1376">
        <v>8.7091489178236191E-3</v>
      </c>
      <c r="G1376">
        <v>1374</v>
      </c>
      <c r="H1376">
        <f t="shared" ca="1" si="46"/>
        <v>-1.1988451859996673E-2</v>
      </c>
    </row>
    <row r="1377" spans="2:8" x14ac:dyDescent="0.3">
      <c r="B1377" s="113">
        <v>38769</v>
      </c>
      <c r="C1377">
        <v>54.45</v>
      </c>
      <c r="D1377">
        <f t="shared" si="45"/>
        <v>-0.28907168037602821</v>
      </c>
      <c r="E1377">
        <v>8.7069284920341973E-3</v>
      </c>
      <c r="G1377">
        <v>1375</v>
      </c>
      <c r="H1377">
        <f t="shared" ca="1" si="46"/>
        <v>2.6790684848289038E-2</v>
      </c>
    </row>
    <row r="1378" spans="2:8" x14ac:dyDescent="0.3">
      <c r="B1378" s="113">
        <v>40072</v>
      </c>
      <c r="C1378">
        <v>76.59</v>
      </c>
      <c r="D1378">
        <f t="shared" si="45"/>
        <v>0.13685616743357576</v>
      </c>
      <c r="E1378">
        <v>8.6922165152113328E-3</v>
      </c>
      <c r="G1378">
        <v>1376</v>
      </c>
      <c r="H1378">
        <f t="shared" ca="1" si="46"/>
        <v>9.7978258234965505E-4</v>
      </c>
    </row>
    <row r="1379" spans="2:8" x14ac:dyDescent="0.3">
      <c r="B1379" s="113">
        <v>39616</v>
      </c>
      <c r="C1379">
        <v>67.37</v>
      </c>
      <c r="D1379">
        <f t="shared" si="45"/>
        <v>0.23320519860882302</v>
      </c>
      <c r="E1379">
        <v>8.6839347207665549E-3</v>
      </c>
      <c r="G1379">
        <v>1377</v>
      </c>
      <c r="H1379">
        <f t="shared" ca="1" si="46"/>
        <v>1.6064642697358394E-2</v>
      </c>
    </row>
    <row r="1380" spans="2:8" x14ac:dyDescent="0.3">
      <c r="B1380" s="113">
        <v>39307</v>
      </c>
      <c r="C1380">
        <v>54.63</v>
      </c>
      <c r="D1380">
        <f t="shared" si="45"/>
        <v>-0.75923314235345973</v>
      </c>
      <c r="E1380">
        <v>8.6779911373708642E-3</v>
      </c>
      <c r="G1380">
        <v>1378</v>
      </c>
      <c r="H1380">
        <f t="shared" ca="1" si="46"/>
        <v>2.0784217602279109E-2</v>
      </c>
    </row>
    <row r="1381" spans="2:8" x14ac:dyDescent="0.3">
      <c r="B1381" s="113">
        <v>44628</v>
      </c>
      <c r="C1381">
        <v>226.9</v>
      </c>
      <c r="D1381">
        <f t="shared" si="45"/>
        <v>-5.1619644723092974E-2</v>
      </c>
      <c r="E1381">
        <v>8.6685930206713366E-3</v>
      </c>
      <c r="G1381">
        <v>1379</v>
      </c>
      <c r="H1381">
        <f t="shared" ca="1" si="46"/>
        <v>9.3618545999935594E-3</v>
      </c>
    </row>
    <row r="1382" spans="2:8" x14ac:dyDescent="0.3">
      <c r="B1382" s="113">
        <v>43726</v>
      </c>
      <c r="C1382">
        <v>239.25</v>
      </c>
      <c r="D1382">
        <f t="shared" si="45"/>
        <v>16.077087794432551</v>
      </c>
      <c r="E1382">
        <v>8.6424957841484459E-3</v>
      </c>
      <c r="G1382">
        <v>1380</v>
      </c>
      <c r="H1382">
        <f t="shared" ca="1" si="46"/>
        <v>-2.8830500451105484E-3</v>
      </c>
    </row>
    <row r="1383" spans="2:8" x14ac:dyDescent="0.3">
      <c r="B1383" s="113">
        <v>37582</v>
      </c>
      <c r="C1383">
        <v>14.01</v>
      </c>
      <c r="D1383">
        <f t="shared" si="45"/>
        <v>-0.9441943835889266</v>
      </c>
      <c r="E1383">
        <v>8.63930885529152E-3</v>
      </c>
      <c r="G1383">
        <v>1381</v>
      </c>
      <c r="H1383">
        <f t="shared" ca="1" si="46"/>
        <v>1.4506894018082349E-2</v>
      </c>
    </row>
    <row r="1384" spans="2:8" x14ac:dyDescent="0.3">
      <c r="B1384" s="113">
        <v>43761</v>
      </c>
      <c r="C1384">
        <v>251.05</v>
      </c>
      <c r="D1384">
        <f t="shared" si="45"/>
        <v>2.2815237319209709E-2</v>
      </c>
      <c r="E1384">
        <v>8.6380072318200298E-3</v>
      </c>
      <c r="G1384">
        <v>1382</v>
      </c>
      <c r="H1384">
        <f t="shared" ca="1" si="46"/>
        <v>2.8094852343409658E-2</v>
      </c>
    </row>
    <row r="1385" spans="2:8" x14ac:dyDescent="0.3">
      <c r="B1385" s="113">
        <v>42739</v>
      </c>
      <c r="C1385">
        <v>245.45</v>
      </c>
      <c r="D1385">
        <f t="shared" si="45"/>
        <v>0.87466585198197488</v>
      </c>
      <c r="E1385">
        <v>8.6295459215122022E-3</v>
      </c>
      <c r="G1385">
        <v>1383</v>
      </c>
      <c r="H1385">
        <f t="shared" ca="1" si="46"/>
        <v>-1.2567468889953894E-2</v>
      </c>
    </row>
    <row r="1386" spans="2:8" x14ac:dyDescent="0.3">
      <c r="B1386" s="113">
        <v>40896</v>
      </c>
      <c r="C1386">
        <v>130.93</v>
      </c>
      <c r="D1386">
        <f t="shared" si="45"/>
        <v>1.1117741935483871</v>
      </c>
      <c r="E1386">
        <v>8.6279947615746436E-3</v>
      </c>
      <c r="G1386">
        <v>1384</v>
      </c>
      <c r="H1386">
        <f t="shared" ca="1" si="46"/>
        <v>-1.3032375139813531E-2</v>
      </c>
    </row>
    <row r="1387" spans="2:8" x14ac:dyDescent="0.3">
      <c r="B1387" s="113">
        <v>39030</v>
      </c>
      <c r="C1387">
        <v>62</v>
      </c>
      <c r="D1387">
        <f t="shared" si="45"/>
        <v>0.14475627769571647</v>
      </c>
      <c r="E1387">
        <v>8.6220920774361665E-3</v>
      </c>
      <c r="G1387">
        <v>1385</v>
      </c>
      <c r="H1387">
        <f t="shared" ca="1" si="46"/>
        <v>-1.4337436469874912E-2</v>
      </c>
    </row>
    <row r="1388" spans="2:8" x14ac:dyDescent="0.3">
      <c r="B1388" s="113">
        <v>39218</v>
      </c>
      <c r="C1388">
        <v>54.16</v>
      </c>
      <c r="D1388">
        <f t="shared" si="45"/>
        <v>-0.67677249940319884</v>
      </c>
      <c r="E1388">
        <v>8.566108007448673E-3</v>
      </c>
      <c r="G1388">
        <v>1386</v>
      </c>
      <c r="H1388">
        <f t="shared" ca="1" si="46"/>
        <v>2.7485480214292219E-2</v>
      </c>
    </row>
    <row r="1389" spans="2:8" x14ac:dyDescent="0.3">
      <c r="B1389" s="113">
        <v>41096</v>
      </c>
      <c r="C1389">
        <v>167.56</v>
      </c>
      <c r="D1389">
        <f t="shared" si="45"/>
        <v>9.9230769230769234</v>
      </c>
      <c r="E1389">
        <v>8.5470085470086433E-3</v>
      </c>
      <c r="G1389">
        <v>1387</v>
      </c>
      <c r="H1389">
        <f t="shared" ca="1" si="46"/>
        <v>-1.5480222232967198E-2</v>
      </c>
    </row>
    <row r="1390" spans="2:8" x14ac:dyDescent="0.3">
      <c r="B1390" s="113">
        <v>37771</v>
      </c>
      <c r="C1390">
        <v>15.34</v>
      </c>
      <c r="D1390">
        <f t="shared" si="45"/>
        <v>-0.90717095310136153</v>
      </c>
      <c r="E1390">
        <v>8.5470085470084819E-3</v>
      </c>
      <c r="G1390">
        <v>1388</v>
      </c>
      <c r="H1390">
        <f t="shared" ca="1" si="46"/>
        <v>9.1087049609046792E-3</v>
      </c>
    </row>
    <row r="1391" spans="2:8" x14ac:dyDescent="0.3">
      <c r="B1391" s="113">
        <v>44134</v>
      </c>
      <c r="C1391">
        <v>165.25</v>
      </c>
      <c r="D1391">
        <f t="shared" si="45"/>
        <v>0.45594713656387664</v>
      </c>
      <c r="E1391">
        <v>8.5444003661886217E-3</v>
      </c>
      <c r="G1391">
        <v>1389</v>
      </c>
      <c r="H1391">
        <f t="shared" ca="1" si="46"/>
        <v>1.6428526962859263E-2</v>
      </c>
    </row>
    <row r="1392" spans="2:8" x14ac:dyDescent="0.3">
      <c r="B1392" s="113">
        <v>40540</v>
      </c>
      <c r="C1392">
        <v>113.5</v>
      </c>
      <c r="D1392">
        <f t="shared" si="45"/>
        <v>0.80818862513939771</v>
      </c>
      <c r="E1392">
        <v>8.5303003376576651E-3</v>
      </c>
      <c r="G1392">
        <v>1390</v>
      </c>
      <c r="H1392">
        <f t="shared" ca="1" si="46"/>
        <v>-2.8788709337461884E-2</v>
      </c>
    </row>
    <row r="1393" spans="2:8" x14ac:dyDescent="0.3">
      <c r="B1393" s="113">
        <v>39055</v>
      </c>
      <c r="C1393">
        <v>62.77</v>
      </c>
      <c r="D1393">
        <f t="shared" si="45"/>
        <v>-0.5274055112181899</v>
      </c>
      <c r="E1393">
        <v>8.5154241645244398E-3</v>
      </c>
      <c r="G1393">
        <v>1391</v>
      </c>
      <c r="H1393">
        <f t="shared" ca="1" si="46"/>
        <v>-1.1898610971346615E-2</v>
      </c>
    </row>
    <row r="1394" spans="2:8" x14ac:dyDescent="0.3">
      <c r="B1394" s="113">
        <v>40911</v>
      </c>
      <c r="C1394">
        <v>132.82</v>
      </c>
      <c r="D1394">
        <f t="shared" si="45"/>
        <v>2.3917262512768134</v>
      </c>
      <c r="E1394">
        <v>8.5041761579347352E-3</v>
      </c>
      <c r="G1394">
        <v>1392</v>
      </c>
      <c r="H1394">
        <f t="shared" ca="1" si="46"/>
        <v>3.1522052974732914E-2</v>
      </c>
    </row>
    <row r="1395" spans="2:8" x14ac:dyDescent="0.3">
      <c r="B1395" s="113">
        <v>38650</v>
      </c>
      <c r="C1395">
        <v>39.159999999999997</v>
      </c>
      <c r="D1395">
        <f t="shared" si="45"/>
        <v>-0.83518518518518514</v>
      </c>
      <c r="E1395">
        <v>8.4985835694050549E-3</v>
      </c>
      <c r="G1395">
        <v>1393</v>
      </c>
      <c r="H1395">
        <f t="shared" ca="1" si="46"/>
        <v>1.1794586929306483E-2</v>
      </c>
    </row>
    <row r="1396" spans="2:8" x14ac:dyDescent="0.3">
      <c r="B1396" s="113">
        <v>43810</v>
      </c>
      <c r="C1396">
        <v>237.6</v>
      </c>
      <c r="D1396">
        <f t="shared" si="45"/>
        <v>-6.9876688197298864E-2</v>
      </c>
      <c r="E1396">
        <v>8.4889643463497456E-3</v>
      </c>
      <c r="G1396">
        <v>1394</v>
      </c>
      <c r="H1396">
        <f t="shared" ca="1" si="46"/>
        <v>-2.3111715259582332E-4</v>
      </c>
    </row>
    <row r="1397" spans="2:8" x14ac:dyDescent="0.3">
      <c r="B1397" s="113">
        <v>44655</v>
      </c>
      <c r="C1397">
        <v>255.45</v>
      </c>
      <c r="D1397">
        <f t="shared" si="45"/>
        <v>0.1298098186643078</v>
      </c>
      <c r="E1397">
        <v>8.4879589419659587E-3</v>
      </c>
      <c r="G1397">
        <v>1395</v>
      </c>
      <c r="H1397">
        <f t="shared" ca="1" si="46"/>
        <v>1.2639476162330516E-2</v>
      </c>
    </row>
    <row r="1398" spans="2:8" x14ac:dyDescent="0.3">
      <c r="B1398" s="113">
        <v>42696</v>
      </c>
      <c r="C1398">
        <v>226.1</v>
      </c>
      <c r="D1398">
        <f t="shared" si="45"/>
        <v>2.3791660439396205</v>
      </c>
      <c r="E1398">
        <v>8.4745762711864667E-3</v>
      </c>
      <c r="G1398">
        <v>1396</v>
      </c>
      <c r="H1398">
        <f t="shared" ca="1" si="46"/>
        <v>-8.3805457498380264E-3</v>
      </c>
    </row>
    <row r="1399" spans="2:8" x14ac:dyDescent="0.3">
      <c r="B1399" s="113">
        <v>39503</v>
      </c>
      <c r="C1399">
        <v>66.91</v>
      </c>
      <c r="D1399">
        <f t="shared" si="45"/>
        <v>2.4994769874476983</v>
      </c>
      <c r="E1399">
        <v>8.440090429540352E-3</v>
      </c>
      <c r="G1399">
        <v>1397</v>
      </c>
      <c r="H1399">
        <f t="shared" ca="1" si="46"/>
        <v>-1.7254215481774183E-2</v>
      </c>
    </row>
    <row r="1400" spans="2:8" x14ac:dyDescent="0.3">
      <c r="B1400" s="113">
        <v>37921</v>
      </c>
      <c r="C1400">
        <v>19.12</v>
      </c>
      <c r="D1400">
        <f t="shared" si="45"/>
        <v>-0.91358582662930488</v>
      </c>
      <c r="E1400">
        <v>8.4388185654008518E-3</v>
      </c>
      <c r="G1400">
        <v>1398</v>
      </c>
      <c r="H1400">
        <f t="shared" ca="1" si="46"/>
        <v>-4.7787013665765163E-3</v>
      </c>
    </row>
    <row r="1401" spans="2:8" x14ac:dyDescent="0.3">
      <c r="B1401" s="113">
        <v>41795</v>
      </c>
      <c r="C1401">
        <v>221.26</v>
      </c>
      <c r="D1401">
        <f t="shared" si="45"/>
        <v>-0.17823584029712167</v>
      </c>
      <c r="E1401">
        <v>8.4317032040471911E-3</v>
      </c>
      <c r="G1401">
        <v>1399</v>
      </c>
      <c r="H1401">
        <f t="shared" ca="1" si="46"/>
        <v>-2.3616531404686116E-3</v>
      </c>
    </row>
    <row r="1402" spans="2:8" x14ac:dyDescent="0.3">
      <c r="B1402" s="113">
        <v>43033</v>
      </c>
      <c r="C1402">
        <v>269.25</v>
      </c>
      <c r="D1402">
        <f t="shared" si="45"/>
        <v>9.7100238663484486</v>
      </c>
      <c r="E1402">
        <v>8.4269662921348312E-3</v>
      </c>
      <c r="G1402">
        <v>1400</v>
      </c>
      <c r="H1402">
        <f t="shared" ca="1" si="46"/>
        <v>1.5884483858915554E-3</v>
      </c>
    </row>
    <row r="1403" spans="2:8" x14ac:dyDescent="0.3">
      <c r="B1403" s="113">
        <v>38259</v>
      </c>
      <c r="C1403">
        <v>25.14</v>
      </c>
      <c r="D1403">
        <f t="shared" si="45"/>
        <v>0.49731983323406803</v>
      </c>
      <c r="E1403">
        <v>8.4235860409145949E-3</v>
      </c>
      <c r="G1403">
        <v>1401</v>
      </c>
      <c r="H1403">
        <f t="shared" ca="1" si="46"/>
        <v>-8.4733335639556873E-3</v>
      </c>
    </row>
    <row r="1404" spans="2:8" x14ac:dyDescent="0.3">
      <c r="B1404" s="113">
        <v>37804</v>
      </c>
      <c r="C1404">
        <v>16.79</v>
      </c>
      <c r="D1404">
        <f t="shared" si="45"/>
        <v>-0.30012505210504375</v>
      </c>
      <c r="E1404">
        <v>8.4084084084084434E-3</v>
      </c>
      <c r="G1404">
        <v>1402</v>
      </c>
      <c r="H1404">
        <f t="shared" ca="1" si="46"/>
        <v>-9.1436772490846654E-3</v>
      </c>
    </row>
    <row r="1405" spans="2:8" x14ac:dyDescent="0.3">
      <c r="B1405" s="113">
        <v>37995</v>
      </c>
      <c r="C1405">
        <v>23.99</v>
      </c>
      <c r="D1405">
        <f t="shared" si="45"/>
        <v>-0.89815325833156434</v>
      </c>
      <c r="E1405">
        <v>8.4068936527952626E-3</v>
      </c>
      <c r="G1405">
        <v>1403</v>
      </c>
      <c r="H1405">
        <f t="shared" ca="1" si="46"/>
        <v>1.5822551206106629E-2</v>
      </c>
    </row>
    <row r="1406" spans="2:8" x14ac:dyDescent="0.3">
      <c r="B1406" s="113">
        <v>41879</v>
      </c>
      <c r="C1406">
        <v>235.55</v>
      </c>
      <c r="D1406">
        <f t="shared" si="45"/>
        <v>0.23260073260073269</v>
      </c>
      <c r="E1406">
        <v>8.3907701528319195E-3</v>
      </c>
      <c r="G1406">
        <v>1404</v>
      </c>
      <c r="H1406">
        <f t="shared" ca="1" si="46"/>
        <v>3.4313694469934805E-2</v>
      </c>
    </row>
    <row r="1407" spans="2:8" x14ac:dyDescent="0.3">
      <c r="B1407" s="113">
        <v>41211</v>
      </c>
      <c r="C1407">
        <v>191.1</v>
      </c>
      <c r="D1407">
        <f t="shared" si="45"/>
        <v>-9.1816367265469032E-2</v>
      </c>
      <c r="E1407">
        <v>8.3900585721070307E-3</v>
      </c>
      <c r="G1407">
        <v>1405</v>
      </c>
      <c r="H1407">
        <f t="shared" ca="1" si="46"/>
        <v>3.8590915968992564E-3</v>
      </c>
    </row>
    <row r="1408" spans="2:8" x14ac:dyDescent="0.3">
      <c r="B1408" s="113">
        <v>42347</v>
      </c>
      <c r="C1408">
        <v>210.42</v>
      </c>
      <c r="D1408">
        <f t="shared" si="45"/>
        <v>1.9152119700748125</v>
      </c>
      <c r="E1408">
        <v>8.3864475008386449E-3</v>
      </c>
      <c r="G1408">
        <v>1406</v>
      </c>
      <c r="H1408">
        <f t="shared" ca="1" si="46"/>
        <v>2.0902681816505498E-2</v>
      </c>
    </row>
    <row r="1409" spans="2:8" x14ac:dyDescent="0.3">
      <c r="B1409" s="113">
        <v>39598</v>
      </c>
      <c r="C1409">
        <v>72.180000000000007</v>
      </c>
      <c r="D1409">
        <f t="shared" si="45"/>
        <v>-0.74896532535735394</v>
      </c>
      <c r="E1409">
        <v>8.3822296730931625E-3</v>
      </c>
      <c r="G1409">
        <v>1407</v>
      </c>
      <c r="H1409">
        <f t="shared" ca="1" si="46"/>
        <v>3.1623786449258992E-2</v>
      </c>
    </row>
    <row r="1410" spans="2:8" x14ac:dyDescent="0.3">
      <c r="B1410" s="113">
        <v>44748</v>
      </c>
      <c r="C1410">
        <v>287.52999999999997</v>
      </c>
      <c r="D1410">
        <f t="shared" si="45"/>
        <v>8.5838368580060276E-2</v>
      </c>
      <c r="E1410">
        <v>8.3818475135020911E-3</v>
      </c>
      <c r="G1410">
        <v>1408</v>
      </c>
      <c r="H1410">
        <f t="shared" ca="1" si="46"/>
        <v>-6.2087929889043034E-3</v>
      </c>
    </row>
    <row r="1411" spans="2:8" x14ac:dyDescent="0.3">
      <c r="B1411" s="113">
        <v>43277</v>
      </c>
      <c r="C1411">
        <v>264.8</v>
      </c>
      <c r="D1411">
        <f t="shared" ref="D1411:D1474" si="47">(C1411-C1412)/C1412</f>
        <v>3.5805224009686905</v>
      </c>
      <c r="E1411">
        <v>8.3777608530083338E-3</v>
      </c>
      <c r="G1411">
        <v>1409</v>
      </c>
      <c r="H1411">
        <f t="shared" ca="1" si="46"/>
        <v>-8.6264881570494601E-3</v>
      </c>
    </row>
    <row r="1412" spans="2:8" x14ac:dyDescent="0.3">
      <c r="B1412" s="113">
        <v>39819</v>
      </c>
      <c r="C1412">
        <v>57.81</v>
      </c>
      <c r="D1412">
        <f t="shared" si="47"/>
        <v>0.99758120248790605</v>
      </c>
      <c r="E1412">
        <v>8.3725798011512996E-3</v>
      </c>
      <c r="G1412">
        <v>1410</v>
      </c>
      <c r="H1412">
        <f t="shared" ref="H1412:H1475" ca="1" si="48">_xlfn.NORM.INV(RAND(),$L$4,$L$6)</f>
        <v>1.0583866838783798E-2</v>
      </c>
    </row>
    <row r="1413" spans="2:8" x14ac:dyDescent="0.3">
      <c r="B1413" s="113">
        <v>38348</v>
      </c>
      <c r="C1413">
        <v>28.94</v>
      </c>
      <c r="D1413">
        <f t="shared" si="47"/>
        <v>-0.8910596649727085</v>
      </c>
      <c r="E1413">
        <v>8.3623693379791635E-3</v>
      </c>
      <c r="G1413">
        <v>1411</v>
      </c>
      <c r="H1413">
        <f t="shared" ca="1" si="48"/>
        <v>-1.9533616283403738E-2</v>
      </c>
    </row>
    <row r="1414" spans="2:8" x14ac:dyDescent="0.3">
      <c r="B1414" s="113">
        <v>42789</v>
      </c>
      <c r="C1414">
        <v>265.64999999999998</v>
      </c>
      <c r="D1414">
        <f t="shared" si="47"/>
        <v>1.0161657559198543</v>
      </c>
      <c r="E1414">
        <v>8.3507306889352394E-3</v>
      </c>
      <c r="G1414">
        <v>1412</v>
      </c>
      <c r="H1414">
        <f t="shared" ca="1" si="48"/>
        <v>2.451822340669902E-2</v>
      </c>
    </row>
    <row r="1415" spans="2:8" x14ac:dyDescent="0.3">
      <c r="B1415" s="113">
        <v>40766</v>
      </c>
      <c r="C1415">
        <v>131.76</v>
      </c>
      <c r="D1415">
        <f t="shared" si="47"/>
        <v>6.7688679245283003</v>
      </c>
      <c r="E1415">
        <v>8.3416239381648698E-3</v>
      </c>
      <c r="G1415">
        <v>1413</v>
      </c>
      <c r="H1415">
        <f t="shared" ca="1" si="48"/>
        <v>-2.3992773424329872E-2</v>
      </c>
    </row>
    <row r="1416" spans="2:8" x14ac:dyDescent="0.3">
      <c r="B1416" s="113">
        <v>37802</v>
      </c>
      <c r="C1416">
        <v>16.96</v>
      </c>
      <c r="D1416">
        <f t="shared" si="47"/>
        <v>-0.70904100188711616</v>
      </c>
      <c r="E1416">
        <v>8.3234244946492602E-3</v>
      </c>
      <c r="G1416">
        <v>1414</v>
      </c>
      <c r="H1416">
        <f t="shared" ca="1" si="48"/>
        <v>3.357641483066276E-2</v>
      </c>
    </row>
    <row r="1417" spans="2:8" x14ac:dyDescent="0.3">
      <c r="B1417" s="113">
        <v>39133</v>
      </c>
      <c r="C1417">
        <v>58.29</v>
      </c>
      <c r="D1417">
        <f t="shared" si="47"/>
        <v>1.3967927631578947</v>
      </c>
      <c r="E1417">
        <v>8.3030617540217413E-3</v>
      </c>
      <c r="G1417">
        <v>1415</v>
      </c>
      <c r="H1417">
        <f t="shared" ca="1" si="48"/>
        <v>2.1112668511983509E-2</v>
      </c>
    </row>
    <row r="1418" spans="2:8" x14ac:dyDescent="0.3">
      <c r="B1418" s="113">
        <v>38044</v>
      </c>
      <c r="C1418">
        <v>24.32</v>
      </c>
      <c r="D1418">
        <f t="shared" si="47"/>
        <v>-0.88576796618130582</v>
      </c>
      <c r="E1418">
        <v>8.2918739635157255E-3</v>
      </c>
      <c r="G1418">
        <v>1416</v>
      </c>
      <c r="H1418">
        <f t="shared" ca="1" si="48"/>
        <v>6.3125124120918608E-3</v>
      </c>
    </row>
    <row r="1419" spans="2:8" x14ac:dyDescent="0.3">
      <c r="B1419" s="113">
        <v>44344</v>
      </c>
      <c r="C1419">
        <v>212.9</v>
      </c>
      <c r="D1419">
        <f t="shared" si="47"/>
        <v>-0.12566735112936342</v>
      </c>
      <c r="E1419">
        <v>8.2879469571394745E-3</v>
      </c>
      <c r="G1419">
        <v>1417</v>
      </c>
      <c r="H1419">
        <f t="shared" ca="1" si="48"/>
        <v>3.1393408837995906E-2</v>
      </c>
    </row>
    <row r="1420" spans="2:8" x14ac:dyDescent="0.3">
      <c r="B1420" s="113">
        <v>44461</v>
      </c>
      <c r="C1420">
        <v>243.5</v>
      </c>
      <c r="D1420">
        <f t="shared" si="47"/>
        <v>15.632513661202186</v>
      </c>
      <c r="E1420">
        <v>8.2815734989648039E-3</v>
      </c>
      <c r="G1420">
        <v>1418</v>
      </c>
      <c r="H1420">
        <f t="shared" ca="1" si="48"/>
        <v>-5.9077789397166958E-3</v>
      </c>
    </row>
    <row r="1421" spans="2:8" x14ac:dyDescent="0.3">
      <c r="B1421" s="113">
        <v>37510</v>
      </c>
      <c r="C1421">
        <v>14.64</v>
      </c>
      <c r="D1421">
        <f t="shared" si="47"/>
        <v>-0.92946278005299932</v>
      </c>
      <c r="E1421">
        <v>8.264462809917425E-3</v>
      </c>
      <c r="G1421">
        <v>1419</v>
      </c>
      <c r="H1421">
        <f t="shared" ca="1" si="48"/>
        <v>-1.122757956125346E-2</v>
      </c>
    </row>
    <row r="1422" spans="2:8" x14ac:dyDescent="0.3">
      <c r="B1422" s="113">
        <v>44015</v>
      </c>
      <c r="C1422">
        <v>207.55</v>
      </c>
      <c r="D1422">
        <f t="shared" si="47"/>
        <v>0.11790369492620928</v>
      </c>
      <c r="E1422">
        <v>8.2584406120962701E-3</v>
      </c>
      <c r="G1422">
        <v>1420</v>
      </c>
      <c r="H1422">
        <f t="shared" ca="1" si="48"/>
        <v>-5.188734326037485E-4</v>
      </c>
    </row>
    <row r="1423" spans="2:8" x14ac:dyDescent="0.3">
      <c r="B1423" s="113">
        <v>41191</v>
      </c>
      <c r="C1423">
        <v>185.66</v>
      </c>
      <c r="D1423">
        <f t="shared" si="47"/>
        <v>-0.13658559270799425</v>
      </c>
      <c r="E1423">
        <v>8.2545888997502467E-3</v>
      </c>
      <c r="G1423">
        <v>1421</v>
      </c>
      <c r="H1423">
        <f t="shared" ca="1" si="48"/>
        <v>-3.1367865314396698E-2</v>
      </c>
    </row>
    <row r="1424" spans="2:8" x14ac:dyDescent="0.3">
      <c r="B1424" s="113">
        <v>41453</v>
      </c>
      <c r="C1424">
        <v>215.03</v>
      </c>
      <c r="D1424">
        <f t="shared" si="47"/>
        <v>0.83253792398159188</v>
      </c>
      <c r="E1424">
        <v>8.2524499460776991E-3</v>
      </c>
      <c r="G1424">
        <v>1422</v>
      </c>
      <c r="H1424">
        <f t="shared" ca="1" si="48"/>
        <v>1.8611425745161513E-3</v>
      </c>
    </row>
    <row r="1425" spans="2:8" x14ac:dyDescent="0.3">
      <c r="B1425" s="113">
        <v>40486</v>
      </c>
      <c r="C1425">
        <v>117.34</v>
      </c>
      <c r="D1425">
        <f t="shared" si="47"/>
        <v>-0.55367059718524148</v>
      </c>
      <c r="E1425">
        <v>8.2488400068741023E-3</v>
      </c>
      <c r="G1425">
        <v>1423</v>
      </c>
      <c r="H1425">
        <f t="shared" ca="1" si="48"/>
        <v>-1.5959570454991603E-2</v>
      </c>
    </row>
    <row r="1426" spans="2:8" x14ac:dyDescent="0.3">
      <c r="B1426" s="113">
        <v>43774</v>
      </c>
      <c r="C1426">
        <v>262.89999999999998</v>
      </c>
      <c r="D1426">
        <f t="shared" si="47"/>
        <v>1.3061403508771927</v>
      </c>
      <c r="E1426">
        <v>8.245445829338359E-3</v>
      </c>
      <c r="G1426">
        <v>1424</v>
      </c>
      <c r="H1426">
        <f t="shared" ca="1" si="48"/>
        <v>1.8687712393765966E-2</v>
      </c>
    </row>
    <row r="1427" spans="2:8" x14ac:dyDescent="0.3">
      <c r="B1427" s="113">
        <v>40560</v>
      </c>
      <c r="C1427">
        <v>114</v>
      </c>
      <c r="D1427">
        <f t="shared" si="47"/>
        <v>0.97813638729828201</v>
      </c>
      <c r="E1427">
        <v>8.2249933669408942E-3</v>
      </c>
      <c r="G1427">
        <v>1425</v>
      </c>
      <c r="H1427">
        <f t="shared" ca="1" si="48"/>
        <v>-5.0874828685103565E-3</v>
      </c>
    </row>
    <row r="1428" spans="2:8" x14ac:dyDescent="0.3">
      <c r="B1428" s="113">
        <v>38777</v>
      </c>
      <c r="C1428">
        <v>57.63</v>
      </c>
      <c r="D1428">
        <f t="shared" si="47"/>
        <v>-0.77671445176288267</v>
      </c>
      <c r="E1428">
        <v>8.222533240028097E-3</v>
      </c>
      <c r="G1428">
        <v>1426</v>
      </c>
      <c r="H1428">
        <f t="shared" ca="1" si="48"/>
        <v>3.2865350974064844E-2</v>
      </c>
    </row>
    <row r="1429" spans="2:8" x14ac:dyDescent="0.3">
      <c r="B1429" s="113">
        <v>43185</v>
      </c>
      <c r="C1429">
        <v>258.10000000000002</v>
      </c>
      <c r="D1429">
        <f t="shared" si="47"/>
        <v>1.4402004349059283</v>
      </c>
      <c r="E1429">
        <v>8.2031250000000888E-3</v>
      </c>
      <c r="G1429">
        <v>1427</v>
      </c>
      <c r="H1429">
        <f t="shared" ca="1" si="48"/>
        <v>-1.4731484775317204E-2</v>
      </c>
    </row>
    <row r="1430" spans="2:8" x14ac:dyDescent="0.3">
      <c r="B1430" s="113">
        <v>40407</v>
      </c>
      <c r="C1430">
        <v>105.77</v>
      </c>
      <c r="D1430">
        <f t="shared" si="47"/>
        <v>-0.57438332461470365</v>
      </c>
      <c r="E1430">
        <v>8.1975026212944384E-3</v>
      </c>
      <c r="G1430">
        <v>1428</v>
      </c>
      <c r="H1430">
        <f t="shared" ca="1" si="48"/>
        <v>3.7766532904630182E-2</v>
      </c>
    </row>
    <row r="1431" spans="2:8" x14ac:dyDescent="0.3">
      <c r="B1431" s="113">
        <v>41991</v>
      </c>
      <c r="C1431">
        <v>248.51</v>
      </c>
      <c r="D1431">
        <f t="shared" si="47"/>
        <v>3.6738762460033847</v>
      </c>
      <c r="E1431">
        <v>8.1950586230677986E-3</v>
      </c>
      <c r="G1431">
        <v>1429</v>
      </c>
      <c r="H1431">
        <f t="shared" ca="1" si="48"/>
        <v>2.5335169288347639E-2</v>
      </c>
    </row>
    <row r="1432" spans="2:8" x14ac:dyDescent="0.3">
      <c r="B1432" s="113">
        <v>39192</v>
      </c>
      <c r="C1432">
        <v>53.17</v>
      </c>
      <c r="D1432">
        <f t="shared" si="47"/>
        <v>1.0457868410927282</v>
      </c>
      <c r="E1432">
        <v>8.1532043989381818E-3</v>
      </c>
      <c r="G1432">
        <v>1430</v>
      </c>
      <c r="H1432">
        <f t="shared" ca="1" si="48"/>
        <v>-1.1019837506305351E-2</v>
      </c>
    </row>
    <row r="1433" spans="2:8" x14ac:dyDescent="0.3">
      <c r="B1433" s="113">
        <v>38054</v>
      </c>
      <c r="C1433">
        <v>25.99</v>
      </c>
      <c r="D1433">
        <f t="shared" si="47"/>
        <v>-0.90667863554757622</v>
      </c>
      <c r="E1433">
        <v>8.1458494957330208E-3</v>
      </c>
      <c r="G1433">
        <v>1431</v>
      </c>
      <c r="H1433">
        <f t="shared" ca="1" si="48"/>
        <v>3.708108747245354E-2</v>
      </c>
    </row>
    <row r="1434" spans="2:8" x14ac:dyDescent="0.3">
      <c r="B1434" s="113">
        <v>43641</v>
      </c>
      <c r="C1434">
        <v>278.5</v>
      </c>
      <c r="D1434">
        <f t="shared" si="47"/>
        <v>4.1063439677301066</v>
      </c>
      <c r="E1434">
        <v>8.1447963800904983E-3</v>
      </c>
      <c r="G1434">
        <v>1432</v>
      </c>
      <c r="H1434">
        <f t="shared" ca="1" si="48"/>
        <v>1.5125317213133836E-2</v>
      </c>
    </row>
    <row r="1435" spans="2:8" x14ac:dyDescent="0.3">
      <c r="B1435" s="113">
        <v>38887</v>
      </c>
      <c r="C1435">
        <v>54.54</v>
      </c>
      <c r="D1435">
        <f t="shared" si="47"/>
        <v>-0.77453493178999588</v>
      </c>
      <c r="E1435">
        <v>8.1330868761552259E-3</v>
      </c>
      <c r="G1435">
        <v>1433</v>
      </c>
      <c r="H1435">
        <f t="shared" ca="1" si="48"/>
        <v>-1.3526207887268363E-2</v>
      </c>
    </row>
    <row r="1436" spans="2:8" x14ac:dyDescent="0.3">
      <c r="B1436" s="113">
        <v>43850</v>
      </c>
      <c r="C1436">
        <v>241.9</v>
      </c>
      <c r="D1436">
        <f t="shared" si="47"/>
        <v>0.36274012731677097</v>
      </c>
      <c r="E1436">
        <v>8.1266930610544574E-3</v>
      </c>
      <c r="G1436">
        <v>1434</v>
      </c>
      <c r="H1436">
        <f t="shared" ca="1" si="48"/>
        <v>6.3790296203778312E-3</v>
      </c>
    </row>
    <row r="1437" spans="2:8" x14ac:dyDescent="0.3">
      <c r="B1437" s="113">
        <v>41131</v>
      </c>
      <c r="C1437">
        <v>177.51</v>
      </c>
      <c r="D1437">
        <f t="shared" si="47"/>
        <v>-0.21445324600610705</v>
      </c>
      <c r="E1437">
        <v>8.121308496137996E-3</v>
      </c>
      <c r="G1437">
        <v>1435</v>
      </c>
      <c r="H1437">
        <f t="shared" ca="1" si="48"/>
        <v>-1.3797467454115983E-2</v>
      </c>
    </row>
    <row r="1438" spans="2:8" x14ac:dyDescent="0.3">
      <c r="B1438" s="113">
        <v>41779</v>
      </c>
      <c r="C1438">
        <v>225.97</v>
      </c>
      <c r="D1438">
        <f t="shared" si="47"/>
        <v>2.6376368319381842</v>
      </c>
      <c r="E1438">
        <v>8.1195627927726655E-3</v>
      </c>
      <c r="G1438">
        <v>1436</v>
      </c>
      <c r="H1438">
        <f t="shared" ca="1" si="48"/>
        <v>7.289573252026769E-3</v>
      </c>
    </row>
    <row r="1439" spans="2:8" x14ac:dyDescent="0.3">
      <c r="B1439" s="113">
        <v>39358</v>
      </c>
      <c r="C1439">
        <v>62.12</v>
      </c>
      <c r="D1439">
        <f t="shared" si="47"/>
        <v>-0.74377165484243524</v>
      </c>
      <c r="E1439">
        <v>8.1142486205777343E-3</v>
      </c>
      <c r="G1439">
        <v>1437</v>
      </c>
      <c r="H1439">
        <f t="shared" ca="1" si="48"/>
        <v>-5.6776294412785649E-3</v>
      </c>
    </row>
    <row r="1440" spans="2:8" x14ac:dyDescent="0.3">
      <c r="B1440" s="113">
        <v>41920</v>
      </c>
      <c r="C1440">
        <v>242.44</v>
      </c>
      <c r="D1440">
        <f t="shared" si="47"/>
        <v>-0.10988728567757097</v>
      </c>
      <c r="E1440">
        <v>8.1084452575990208E-3</v>
      </c>
      <c r="G1440">
        <v>1438</v>
      </c>
      <c r="H1440">
        <f t="shared" ca="1" si="48"/>
        <v>-8.5461066118376634E-3</v>
      </c>
    </row>
    <row r="1441" spans="2:8" x14ac:dyDescent="0.3">
      <c r="B1441" s="113">
        <v>44741</v>
      </c>
      <c r="C1441">
        <v>272.37</v>
      </c>
      <c r="D1441">
        <f t="shared" si="47"/>
        <v>18.866520787746172</v>
      </c>
      <c r="E1441">
        <v>8.1057073062402764E-3</v>
      </c>
      <c r="G1441">
        <v>1439</v>
      </c>
      <c r="H1441">
        <f t="shared" ca="1" si="48"/>
        <v>1.4950318330409341E-2</v>
      </c>
    </row>
    <row r="1442" spans="2:8" x14ac:dyDescent="0.3">
      <c r="B1442" s="113">
        <v>37702</v>
      </c>
      <c r="C1442">
        <v>13.71</v>
      </c>
      <c r="D1442">
        <f t="shared" si="47"/>
        <v>-0.89909472289688663</v>
      </c>
      <c r="E1442">
        <v>8.0882352941177363E-3</v>
      </c>
      <c r="G1442">
        <v>1440</v>
      </c>
      <c r="H1442">
        <f t="shared" ca="1" si="48"/>
        <v>-7.0015044428865482E-3</v>
      </c>
    </row>
    <row r="1443" spans="2:8" x14ac:dyDescent="0.3">
      <c r="B1443" s="113">
        <v>40920</v>
      </c>
      <c r="C1443">
        <v>135.87</v>
      </c>
      <c r="D1443">
        <f t="shared" si="47"/>
        <v>-3.8856304985337327E-3</v>
      </c>
      <c r="E1443">
        <v>8.0872533016768319E-3</v>
      </c>
      <c r="G1443">
        <v>1441</v>
      </c>
      <c r="H1443">
        <f t="shared" ca="1" si="48"/>
        <v>1.029824048029313E-2</v>
      </c>
    </row>
    <row r="1444" spans="2:8" x14ac:dyDescent="0.3">
      <c r="B1444" s="113">
        <v>40744</v>
      </c>
      <c r="C1444">
        <v>136.4</v>
      </c>
      <c r="D1444">
        <f t="shared" si="47"/>
        <v>0.81551976573938523</v>
      </c>
      <c r="E1444">
        <v>8.0555760845466215E-3</v>
      </c>
      <c r="G1444">
        <v>1442</v>
      </c>
      <c r="H1444">
        <f t="shared" ca="1" si="48"/>
        <v>5.4818691963487683E-3</v>
      </c>
    </row>
    <row r="1445" spans="2:8" x14ac:dyDescent="0.3">
      <c r="B1445" s="113">
        <v>39575</v>
      </c>
      <c r="C1445">
        <v>75.13</v>
      </c>
      <c r="D1445">
        <f t="shared" si="47"/>
        <v>3.9920265780730895</v>
      </c>
      <c r="E1445">
        <v>8.0504494834294157E-3</v>
      </c>
      <c r="G1445">
        <v>1443</v>
      </c>
      <c r="H1445">
        <f t="shared" ca="1" si="48"/>
        <v>-5.8887407513147621E-3</v>
      </c>
    </row>
    <row r="1446" spans="2:8" x14ac:dyDescent="0.3">
      <c r="B1446" s="113">
        <v>37496</v>
      </c>
      <c r="C1446">
        <v>15.05</v>
      </c>
      <c r="D1446">
        <f t="shared" si="47"/>
        <v>-0.88685911892948432</v>
      </c>
      <c r="E1446">
        <v>8.0375083724046215E-3</v>
      </c>
      <c r="G1446">
        <v>1444</v>
      </c>
      <c r="H1446">
        <f t="shared" ca="1" si="48"/>
        <v>9.0668211779630029E-3</v>
      </c>
    </row>
    <row r="1447" spans="2:8" x14ac:dyDescent="0.3">
      <c r="B1447" s="113">
        <v>40942</v>
      </c>
      <c r="C1447">
        <v>133.02000000000001</v>
      </c>
      <c r="D1447">
        <f t="shared" si="47"/>
        <v>7.8209549071618047</v>
      </c>
      <c r="E1447">
        <v>8.0327371930888312E-3</v>
      </c>
      <c r="G1447">
        <v>1445</v>
      </c>
      <c r="H1447">
        <f t="shared" ca="1" si="48"/>
        <v>-3.6437751046706657E-2</v>
      </c>
    </row>
    <row r="1448" spans="2:8" x14ac:dyDescent="0.3">
      <c r="B1448" s="113">
        <v>37631</v>
      </c>
      <c r="C1448">
        <v>15.08</v>
      </c>
      <c r="D1448">
        <f t="shared" si="47"/>
        <v>-0.92004241781548246</v>
      </c>
      <c r="E1448">
        <v>8.0213903743314979E-3</v>
      </c>
      <c r="G1448">
        <v>1446</v>
      </c>
      <c r="H1448">
        <f t="shared" ca="1" si="48"/>
        <v>-5.0509557877669916E-3</v>
      </c>
    </row>
    <row r="1449" spans="2:8" x14ac:dyDescent="0.3">
      <c r="B1449" s="113">
        <v>44149</v>
      </c>
      <c r="C1449">
        <v>188.6</v>
      </c>
      <c r="D1449">
        <f t="shared" si="47"/>
        <v>1.1108002238388361</v>
      </c>
      <c r="E1449">
        <v>8.0171031533939081E-3</v>
      </c>
      <c r="G1449">
        <v>1447</v>
      </c>
      <c r="H1449">
        <f t="shared" ca="1" si="48"/>
        <v>-1.4042529545464982E-2</v>
      </c>
    </row>
    <row r="1450" spans="2:8" x14ac:dyDescent="0.3">
      <c r="B1450" s="113">
        <v>40295</v>
      </c>
      <c r="C1450">
        <v>89.35</v>
      </c>
      <c r="D1450">
        <f t="shared" si="47"/>
        <v>-0.57254939482370959</v>
      </c>
      <c r="E1450">
        <v>8.009927797833865E-3</v>
      </c>
      <c r="G1450">
        <v>1448</v>
      </c>
      <c r="H1450">
        <f t="shared" ca="1" si="48"/>
        <v>-2.3563006906390637E-2</v>
      </c>
    </row>
    <row r="1451" spans="2:8" x14ac:dyDescent="0.3">
      <c r="B1451" s="113">
        <v>41625</v>
      </c>
      <c r="C1451">
        <v>209.03</v>
      </c>
      <c r="D1451">
        <f t="shared" si="47"/>
        <v>5.4353054353054129E-3</v>
      </c>
      <c r="E1451">
        <v>8.0050151902396512E-3</v>
      </c>
      <c r="G1451">
        <v>1449</v>
      </c>
      <c r="H1451">
        <f t="shared" ca="1" si="48"/>
        <v>-6.5786079130430164E-3</v>
      </c>
    </row>
    <row r="1452" spans="2:8" x14ac:dyDescent="0.3">
      <c r="B1452" s="113">
        <v>44393</v>
      </c>
      <c r="C1452">
        <v>207.9</v>
      </c>
      <c r="D1452">
        <f t="shared" si="47"/>
        <v>13.989185291997117</v>
      </c>
      <c r="E1452">
        <v>8.0000000000000279E-3</v>
      </c>
      <c r="G1452">
        <v>1450</v>
      </c>
      <c r="H1452">
        <f t="shared" ca="1" si="48"/>
        <v>-1.1616545283844853E-2</v>
      </c>
    </row>
    <row r="1453" spans="2:8" x14ac:dyDescent="0.3">
      <c r="B1453" s="113">
        <v>37565</v>
      </c>
      <c r="C1453">
        <v>13.87</v>
      </c>
      <c r="D1453">
        <f t="shared" si="47"/>
        <v>-0.94764061910154773</v>
      </c>
      <c r="E1453">
        <v>7.9941860465115866E-3</v>
      </c>
      <c r="G1453">
        <v>1451</v>
      </c>
      <c r="H1453">
        <f t="shared" ca="1" si="48"/>
        <v>-7.4835154191886018E-3</v>
      </c>
    </row>
    <row r="1454" spans="2:8" x14ac:dyDescent="0.3">
      <c r="B1454" s="113">
        <v>42621</v>
      </c>
      <c r="C1454">
        <v>264.89999999999998</v>
      </c>
      <c r="D1454">
        <f t="shared" si="47"/>
        <v>3.1914556962025311</v>
      </c>
      <c r="E1454">
        <v>7.9908675799085453E-3</v>
      </c>
      <c r="G1454">
        <v>1452</v>
      </c>
      <c r="H1454">
        <f t="shared" ca="1" si="48"/>
        <v>-4.3865275380665187E-3</v>
      </c>
    </row>
    <row r="1455" spans="2:8" x14ac:dyDescent="0.3">
      <c r="B1455" s="113">
        <v>39657</v>
      </c>
      <c r="C1455">
        <v>63.2</v>
      </c>
      <c r="D1455">
        <f t="shared" si="47"/>
        <v>-0.67746874202602714</v>
      </c>
      <c r="E1455">
        <v>7.9744816586921844E-3</v>
      </c>
      <c r="G1455">
        <v>1453</v>
      </c>
      <c r="H1455">
        <f t="shared" ca="1" si="48"/>
        <v>-1.7741137476477684E-2</v>
      </c>
    </row>
    <row r="1456" spans="2:8" x14ac:dyDescent="0.3">
      <c r="B1456" s="113">
        <v>44167</v>
      </c>
      <c r="C1456">
        <v>195.95</v>
      </c>
      <c r="D1456">
        <f t="shared" si="47"/>
        <v>7.1442227763923523</v>
      </c>
      <c r="E1456">
        <v>7.973251028806496E-3</v>
      </c>
      <c r="G1456">
        <v>1454</v>
      </c>
      <c r="H1456">
        <f t="shared" ca="1" si="48"/>
        <v>2.2955453005558308E-2</v>
      </c>
    </row>
    <row r="1457" spans="2:8" x14ac:dyDescent="0.3">
      <c r="B1457" s="113">
        <v>38286</v>
      </c>
      <c r="C1457">
        <v>24.06</v>
      </c>
      <c r="D1457">
        <f t="shared" si="47"/>
        <v>-0.73254779902178746</v>
      </c>
      <c r="E1457">
        <v>7.9597821533304441E-3</v>
      </c>
      <c r="G1457">
        <v>1455</v>
      </c>
      <c r="H1457">
        <f t="shared" ca="1" si="48"/>
        <v>-1.9127356386817736E-2</v>
      </c>
    </row>
    <row r="1458" spans="2:8" x14ac:dyDescent="0.3">
      <c r="B1458" s="113">
        <v>40280</v>
      </c>
      <c r="C1458">
        <v>89.96</v>
      </c>
      <c r="D1458">
        <f t="shared" si="47"/>
        <v>-0.70796948547313754</v>
      </c>
      <c r="E1458">
        <v>7.9551820728290621E-3</v>
      </c>
      <c r="G1458">
        <v>1456</v>
      </c>
      <c r="H1458">
        <f t="shared" ca="1" si="48"/>
        <v>-1.3406744011491792E-2</v>
      </c>
    </row>
    <row r="1459" spans="2:8" x14ac:dyDescent="0.3">
      <c r="B1459" s="113">
        <v>44775</v>
      </c>
      <c r="C1459">
        <v>308.05</v>
      </c>
      <c r="D1459">
        <f t="shared" si="47"/>
        <v>4.06161682550115</v>
      </c>
      <c r="E1459">
        <v>7.9510503239317021E-3</v>
      </c>
      <c r="G1459">
        <v>1457</v>
      </c>
      <c r="H1459">
        <f t="shared" ca="1" si="48"/>
        <v>-3.5668652582889929E-3</v>
      </c>
    </row>
    <row r="1460" spans="2:8" x14ac:dyDescent="0.3">
      <c r="B1460" s="113">
        <v>39955</v>
      </c>
      <c r="C1460">
        <v>60.86</v>
      </c>
      <c r="D1460">
        <f t="shared" si="47"/>
        <v>-0.75424994952554014</v>
      </c>
      <c r="E1460">
        <v>7.9496522027160798E-3</v>
      </c>
      <c r="G1460">
        <v>1458</v>
      </c>
      <c r="H1460">
        <f t="shared" ca="1" si="48"/>
        <v>-3.1704220770687754E-3</v>
      </c>
    </row>
    <row r="1461" spans="2:8" x14ac:dyDescent="0.3">
      <c r="B1461" s="113">
        <v>43791</v>
      </c>
      <c r="C1461">
        <v>247.65</v>
      </c>
      <c r="D1461">
        <f t="shared" si="47"/>
        <v>-7.1776611694152948E-2</v>
      </c>
      <c r="E1461">
        <v>7.9365079365080055E-3</v>
      </c>
      <c r="G1461">
        <v>1459</v>
      </c>
      <c r="H1461">
        <f t="shared" ca="1" si="48"/>
        <v>7.1542190036603288E-3</v>
      </c>
    </row>
    <row r="1462" spans="2:8" x14ac:dyDescent="0.3">
      <c r="B1462" s="113">
        <v>44699</v>
      </c>
      <c r="C1462">
        <v>266.8</v>
      </c>
      <c r="D1462">
        <f t="shared" si="47"/>
        <v>0.12902543269434222</v>
      </c>
      <c r="E1462">
        <v>7.9335096335474992E-3</v>
      </c>
      <c r="G1462">
        <v>1460</v>
      </c>
      <c r="H1462">
        <f t="shared" ca="1" si="48"/>
        <v>-3.0774294708344471E-2</v>
      </c>
    </row>
    <row r="1463" spans="2:8" x14ac:dyDescent="0.3">
      <c r="B1463" s="113">
        <v>41844</v>
      </c>
      <c r="C1463">
        <v>236.31</v>
      </c>
      <c r="D1463">
        <f t="shared" si="47"/>
        <v>0.16927263730826328</v>
      </c>
      <c r="E1463">
        <v>7.9334612923864945E-3</v>
      </c>
      <c r="G1463">
        <v>1461</v>
      </c>
      <c r="H1463">
        <f t="shared" ca="1" si="48"/>
        <v>-1.2174742489508079E-2</v>
      </c>
    </row>
    <row r="1464" spans="2:8" x14ac:dyDescent="0.3">
      <c r="B1464" s="113">
        <v>41311</v>
      </c>
      <c r="C1464">
        <v>202.1</v>
      </c>
      <c r="D1464">
        <f t="shared" si="47"/>
        <v>-0.27847197429489479</v>
      </c>
      <c r="E1464">
        <v>7.9297790633883775E-3</v>
      </c>
      <c r="G1464">
        <v>1462</v>
      </c>
      <c r="H1464">
        <f t="shared" ca="1" si="48"/>
        <v>9.1960256643814874E-3</v>
      </c>
    </row>
    <row r="1465" spans="2:8" x14ac:dyDescent="0.3">
      <c r="B1465" s="113">
        <v>43511</v>
      </c>
      <c r="C1465">
        <v>280.10000000000002</v>
      </c>
      <c r="D1465">
        <f t="shared" si="47"/>
        <v>0.22732451143633348</v>
      </c>
      <c r="E1465">
        <v>7.916516732637803E-3</v>
      </c>
      <c r="G1465">
        <v>1463</v>
      </c>
      <c r="H1465">
        <f t="shared" ca="1" si="48"/>
        <v>2.8930007884895364E-3</v>
      </c>
    </row>
    <row r="1466" spans="2:8" x14ac:dyDescent="0.3">
      <c r="B1466" s="113">
        <v>42067</v>
      </c>
      <c r="C1466">
        <v>228.22</v>
      </c>
      <c r="D1466">
        <f t="shared" si="47"/>
        <v>-0.1873954068007834</v>
      </c>
      <c r="E1466">
        <v>7.9053129002340326E-3</v>
      </c>
      <c r="G1466">
        <v>1464</v>
      </c>
      <c r="H1466">
        <f t="shared" ca="1" si="48"/>
        <v>1.8347230216635858E-2</v>
      </c>
    </row>
    <row r="1467" spans="2:8" x14ac:dyDescent="0.3">
      <c r="B1467" s="113">
        <v>43497</v>
      </c>
      <c r="C1467">
        <v>280.85000000000002</v>
      </c>
      <c r="D1467">
        <f t="shared" si="47"/>
        <v>18.946732954545457</v>
      </c>
      <c r="E1467">
        <v>7.8952090436032497E-3</v>
      </c>
      <c r="G1467">
        <v>1465</v>
      </c>
      <c r="H1467">
        <f t="shared" ca="1" si="48"/>
        <v>-1.2683603156099678E-2</v>
      </c>
    </row>
    <row r="1468" spans="2:8" x14ac:dyDescent="0.3">
      <c r="B1468" s="113">
        <v>37715</v>
      </c>
      <c r="C1468">
        <v>14.08</v>
      </c>
      <c r="D1468">
        <f t="shared" si="47"/>
        <v>-0.50053210358283085</v>
      </c>
      <c r="E1468">
        <v>7.8740157480314543E-3</v>
      </c>
      <c r="G1468">
        <v>1466</v>
      </c>
      <c r="H1468">
        <f t="shared" ca="1" si="48"/>
        <v>-1.0983072362732852E-2</v>
      </c>
    </row>
    <row r="1469" spans="2:8" x14ac:dyDescent="0.3">
      <c r="B1469" s="113">
        <v>38328</v>
      </c>
      <c r="C1469">
        <v>28.19</v>
      </c>
      <c r="D1469">
        <f t="shared" si="47"/>
        <v>-0.40677609427609429</v>
      </c>
      <c r="E1469">
        <v>7.8655702538434902E-3</v>
      </c>
      <c r="G1469">
        <v>1467</v>
      </c>
      <c r="H1469">
        <f t="shared" ca="1" si="48"/>
        <v>-1.0996709381986599E-2</v>
      </c>
    </row>
    <row r="1470" spans="2:8" x14ac:dyDescent="0.3">
      <c r="B1470" s="113">
        <v>39169</v>
      </c>
      <c r="C1470">
        <v>47.52</v>
      </c>
      <c r="D1470">
        <f t="shared" si="47"/>
        <v>-0.78535615881476117</v>
      </c>
      <c r="E1470">
        <v>7.8472958642630871E-3</v>
      </c>
      <c r="G1470">
        <v>1468</v>
      </c>
      <c r="H1470">
        <f t="shared" ca="1" si="48"/>
        <v>-1.593587373671047E-2</v>
      </c>
    </row>
    <row r="1471" spans="2:8" x14ac:dyDescent="0.3">
      <c r="B1471" s="113">
        <v>41533</v>
      </c>
      <c r="C1471">
        <v>221.39</v>
      </c>
      <c r="D1471">
        <f t="shared" si="47"/>
        <v>2.3722772277227717</v>
      </c>
      <c r="E1471">
        <v>7.8299267082441795E-3</v>
      </c>
      <c r="G1471">
        <v>1469</v>
      </c>
      <c r="H1471">
        <f t="shared" ca="1" si="48"/>
        <v>2.0983140610900047E-2</v>
      </c>
    </row>
    <row r="1472" spans="2:8" x14ac:dyDescent="0.3">
      <c r="B1472" s="113">
        <v>39440</v>
      </c>
      <c r="C1472">
        <v>65.650000000000006</v>
      </c>
      <c r="D1472">
        <f t="shared" si="47"/>
        <v>3.240956072351421</v>
      </c>
      <c r="E1472">
        <v>7.8292907583666742E-3</v>
      </c>
      <c r="G1472">
        <v>1470</v>
      </c>
      <c r="H1472">
        <f t="shared" ca="1" si="48"/>
        <v>-7.8239698663586082E-3</v>
      </c>
    </row>
    <row r="1473" spans="2:8" x14ac:dyDescent="0.3">
      <c r="B1473" s="113">
        <v>37448</v>
      </c>
      <c r="C1473">
        <v>15.48</v>
      </c>
      <c r="D1473">
        <f t="shared" si="47"/>
        <v>-0.94002324680356453</v>
      </c>
      <c r="E1473">
        <v>7.8125000000000659E-3</v>
      </c>
      <c r="G1473">
        <v>1471</v>
      </c>
      <c r="H1473">
        <f t="shared" ca="1" si="48"/>
        <v>1.3215930480252552E-2</v>
      </c>
    </row>
    <row r="1474" spans="2:8" x14ac:dyDescent="0.3">
      <c r="B1474" s="113">
        <v>42766</v>
      </c>
      <c r="C1474">
        <v>258.10000000000002</v>
      </c>
      <c r="D1474">
        <f t="shared" si="47"/>
        <v>-0.11137889481838516</v>
      </c>
      <c r="E1474">
        <v>7.809449433814915E-3</v>
      </c>
      <c r="G1474">
        <v>1472</v>
      </c>
      <c r="H1474">
        <f t="shared" ca="1" si="48"/>
        <v>2.2584939050550291E-2</v>
      </c>
    </row>
    <row r="1475" spans="2:8" x14ac:dyDescent="0.3">
      <c r="B1475" s="113">
        <v>43609</v>
      </c>
      <c r="C1475">
        <v>290.45</v>
      </c>
      <c r="D1475">
        <f t="shared" ref="D1475:D1538" si="49">(C1475-C1476)/C1476</f>
        <v>4.4033069734004317E-2</v>
      </c>
      <c r="E1475">
        <v>7.8070784177654406E-3</v>
      </c>
      <c r="G1475">
        <v>1473</v>
      </c>
      <c r="H1475">
        <f t="shared" ca="1" si="48"/>
        <v>-5.2743102621371678E-3</v>
      </c>
    </row>
    <row r="1476" spans="2:8" x14ac:dyDescent="0.3">
      <c r="B1476" s="113">
        <v>43525</v>
      </c>
      <c r="C1476">
        <v>278.2</v>
      </c>
      <c r="D1476">
        <f t="shared" si="49"/>
        <v>0.2693343067025597</v>
      </c>
      <c r="E1476">
        <v>7.7884441224415043E-3</v>
      </c>
      <c r="G1476">
        <v>1474</v>
      </c>
      <c r="H1476">
        <f t="shared" ref="H1476:H1539" ca="1" si="50">_xlfn.NORM.INV(RAND(),$L$4,$L$6)</f>
        <v>-1.4598443681697396E-3</v>
      </c>
    </row>
    <row r="1477" spans="2:8" x14ac:dyDescent="0.3">
      <c r="B1477" s="113">
        <v>41581</v>
      </c>
      <c r="C1477">
        <v>219.17</v>
      </c>
      <c r="D1477">
        <f t="shared" si="49"/>
        <v>-3.5173446029230539E-2</v>
      </c>
      <c r="E1477">
        <v>7.7708295015633524E-3</v>
      </c>
      <c r="G1477">
        <v>1475</v>
      </c>
      <c r="H1477">
        <f t="shared" ca="1" si="50"/>
        <v>-1.125172300170091E-2</v>
      </c>
    </row>
    <row r="1478" spans="2:8" x14ac:dyDescent="0.3">
      <c r="B1478" s="113">
        <v>41423</v>
      </c>
      <c r="C1478">
        <v>227.16</v>
      </c>
      <c r="D1478">
        <f t="shared" si="49"/>
        <v>6.5998661759785877</v>
      </c>
      <c r="E1478">
        <v>7.7636307173594788E-3</v>
      </c>
      <c r="G1478">
        <v>1476</v>
      </c>
      <c r="H1478">
        <f t="shared" ca="1" si="50"/>
        <v>-6.3080462734796524E-3</v>
      </c>
    </row>
    <row r="1479" spans="2:8" x14ac:dyDescent="0.3">
      <c r="B1479" s="113">
        <v>38443</v>
      </c>
      <c r="C1479">
        <v>29.89</v>
      </c>
      <c r="D1479">
        <f t="shared" si="49"/>
        <v>0.91479820627802699</v>
      </c>
      <c r="E1479">
        <v>7.7545515846257733E-3</v>
      </c>
      <c r="G1479">
        <v>1477</v>
      </c>
      <c r="H1479">
        <f t="shared" ca="1" si="50"/>
        <v>-8.4775555421101583E-3</v>
      </c>
    </row>
    <row r="1480" spans="2:8" x14ac:dyDescent="0.3">
      <c r="B1480" s="113">
        <v>37762</v>
      </c>
      <c r="C1480">
        <v>15.61</v>
      </c>
      <c r="D1480">
        <f t="shared" si="49"/>
        <v>-0.9226078334159642</v>
      </c>
      <c r="E1480">
        <v>7.7469335054873604E-3</v>
      </c>
      <c r="G1480">
        <v>1478</v>
      </c>
      <c r="H1480">
        <f t="shared" ca="1" si="50"/>
        <v>-9.1599215066776839E-3</v>
      </c>
    </row>
    <row r="1481" spans="2:8" x14ac:dyDescent="0.3">
      <c r="B1481" s="113">
        <v>41351</v>
      </c>
      <c r="C1481">
        <v>201.7</v>
      </c>
      <c r="D1481">
        <f t="shared" si="49"/>
        <v>-4.9392025638608811E-2</v>
      </c>
      <c r="E1481">
        <v>7.744191856107834E-3</v>
      </c>
      <c r="G1481">
        <v>1479</v>
      </c>
      <c r="H1481">
        <f t="shared" ca="1" si="50"/>
        <v>3.7343666536685596E-2</v>
      </c>
    </row>
    <row r="1482" spans="2:8" x14ac:dyDescent="0.3">
      <c r="B1482" s="113">
        <v>41694</v>
      </c>
      <c r="C1482">
        <v>212.18</v>
      </c>
      <c r="D1482">
        <f t="shared" si="49"/>
        <v>-1.8866179598631204E-2</v>
      </c>
      <c r="E1482">
        <v>7.7416290667299712E-3</v>
      </c>
      <c r="G1482">
        <v>1480</v>
      </c>
      <c r="H1482">
        <f t="shared" ca="1" si="50"/>
        <v>1.2421600861355971E-2</v>
      </c>
    </row>
    <row r="1483" spans="2:8" x14ac:dyDescent="0.3">
      <c r="B1483" s="113">
        <v>42366</v>
      </c>
      <c r="C1483">
        <v>216.26</v>
      </c>
      <c r="D1483">
        <f t="shared" si="49"/>
        <v>-0.26354503660820705</v>
      </c>
      <c r="E1483">
        <v>7.7353215284249608E-3</v>
      </c>
      <c r="G1483">
        <v>1481</v>
      </c>
      <c r="H1483">
        <f t="shared" ca="1" si="50"/>
        <v>1.1556119187646719E-2</v>
      </c>
    </row>
    <row r="1484" spans="2:8" x14ac:dyDescent="0.3">
      <c r="B1484" s="113">
        <v>42942</v>
      </c>
      <c r="C1484">
        <v>293.64999999999998</v>
      </c>
      <c r="D1484">
        <f t="shared" si="49"/>
        <v>7.516842413591085E-2</v>
      </c>
      <c r="E1484">
        <v>7.7213452299245032E-3</v>
      </c>
      <c r="G1484">
        <v>1482</v>
      </c>
      <c r="H1484">
        <f t="shared" ca="1" si="50"/>
        <v>2.1821208440360125E-2</v>
      </c>
    </row>
    <row r="1485" spans="2:8" x14ac:dyDescent="0.3">
      <c r="B1485" s="113">
        <v>44718</v>
      </c>
      <c r="C1485">
        <v>273.12</v>
      </c>
      <c r="D1485">
        <f t="shared" si="49"/>
        <v>4.0974244120940657</v>
      </c>
      <c r="E1485">
        <v>7.7113234697267167E-3</v>
      </c>
      <c r="G1485">
        <v>1483</v>
      </c>
      <c r="H1485">
        <f t="shared" ca="1" si="50"/>
        <v>1.4345540528184245E-2</v>
      </c>
    </row>
    <row r="1486" spans="2:8" x14ac:dyDescent="0.3">
      <c r="B1486" s="113">
        <v>39318</v>
      </c>
      <c r="C1486">
        <v>53.58</v>
      </c>
      <c r="D1486">
        <f t="shared" si="49"/>
        <v>0.28120516499282633</v>
      </c>
      <c r="E1486">
        <v>7.7111152905773288E-3</v>
      </c>
      <c r="G1486">
        <v>1484</v>
      </c>
      <c r="H1486">
        <f t="shared" ca="1" si="50"/>
        <v>2.4109365416340538E-3</v>
      </c>
    </row>
    <row r="1487" spans="2:8" x14ac:dyDescent="0.3">
      <c r="B1487" s="113">
        <v>38663</v>
      </c>
      <c r="C1487">
        <v>41.82</v>
      </c>
      <c r="D1487">
        <f t="shared" si="49"/>
        <v>-0.78955314009661837</v>
      </c>
      <c r="E1487">
        <v>7.7108433734939825E-3</v>
      </c>
      <c r="G1487">
        <v>1485</v>
      </c>
      <c r="H1487">
        <f t="shared" ca="1" si="50"/>
        <v>-2.6857535346828589E-2</v>
      </c>
    </row>
    <row r="1488" spans="2:8" x14ac:dyDescent="0.3">
      <c r="B1488" s="113">
        <v>41299</v>
      </c>
      <c r="C1488">
        <v>198.72</v>
      </c>
      <c r="D1488">
        <f t="shared" si="49"/>
        <v>6.5963302752293576</v>
      </c>
      <c r="E1488">
        <v>7.7079107505071513E-3</v>
      </c>
      <c r="G1488">
        <v>1486</v>
      </c>
      <c r="H1488">
        <f t="shared" ca="1" si="50"/>
        <v>1.2730234544470853E-3</v>
      </c>
    </row>
    <row r="1489" spans="2:8" x14ac:dyDescent="0.3">
      <c r="B1489" s="113">
        <v>38250</v>
      </c>
      <c r="C1489">
        <v>26.16</v>
      </c>
      <c r="D1489">
        <f t="shared" si="49"/>
        <v>0.11035653650254676</v>
      </c>
      <c r="E1489">
        <v>7.7041602465331002E-3</v>
      </c>
      <c r="G1489">
        <v>1487</v>
      </c>
      <c r="H1489">
        <f t="shared" ca="1" si="50"/>
        <v>2.69182808090895E-2</v>
      </c>
    </row>
    <row r="1490" spans="2:8" x14ac:dyDescent="0.3">
      <c r="B1490" s="113">
        <v>38106</v>
      </c>
      <c r="C1490">
        <v>23.56</v>
      </c>
      <c r="D1490">
        <f t="shared" si="49"/>
        <v>-0.9250159134309357</v>
      </c>
      <c r="E1490">
        <v>7.6988879384088851E-3</v>
      </c>
      <c r="G1490">
        <v>1488</v>
      </c>
      <c r="H1490">
        <f t="shared" ca="1" si="50"/>
        <v>1.564163550079465E-2</v>
      </c>
    </row>
    <row r="1491" spans="2:8" x14ac:dyDescent="0.3">
      <c r="B1491" s="113">
        <v>42887</v>
      </c>
      <c r="C1491">
        <v>314.2</v>
      </c>
      <c r="D1491">
        <f t="shared" si="49"/>
        <v>0.53500415262103662</v>
      </c>
      <c r="E1491">
        <v>7.6972418216804915E-3</v>
      </c>
      <c r="G1491">
        <v>1489</v>
      </c>
      <c r="H1491">
        <f t="shared" ca="1" si="50"/>
        <v>7.6514944968200721E-3</v>
      </c>
    </row>
    <row r="1492" spans="2:8" x14ac:dyDescent="0.3">
      <c r="B1492" s="113">
        <v>42391</v>
      </c>
      <c r="C1492">
        <v>204.69</v>
      </c>
      <c r="D1492">
        <f t="shared" si="49"/>
        <v>0.11159986966438587</v>
      </c>
      <c r="E1492">
        <v>7.6798109584994946E-3</v>
      </c>
      <c r="G1492">
        <v>1490</v>
      </c>
      <c r="H1492">
        <f t="shared" ca="1" si="50"/>
        <v>7.8706574415464536E-3</v>
      </c>
    </row>
    <row r="1493" spans="2:8" x14ac:dyDescent="0.3">
      <c r="B1493" s="113">
        <v>41190</v>
      </c>
      <c r="C1493">
        <v>184.14</v>
      </c>
      <c r="D1493">
        <f t="shared" si="49"/>
        <v>2.110998479472884</v>
      </c>
      <c r="E1493">
        <v>7.6611579292983319E-3</v>
      </c>
      <c r="G1493">
        <v>1491</v>
      </c>
      <c r="H1493">
        <f t="shared" ca="1" si="50"/>
        <v>1.9171507931561797E-2</v>
      </c>
    </row>
    <row r="1494" spans="2:8" x14ac:dyDescent="0.3">
      <c r="B1494" s="113">
        <v>38797</v>
      </c>
      <c r="C1494">
        <v>59.19</v>
      </c>
      <c r="D1494">
        <f t="shared" si="49"/>
        <v>-0.62224775033505653</v>
      </c>
      <c r="E1494">
        <v>7.6608784473952288E-3</v>
      </c>
      <c r="G1494">
        <v>1492</v>
      </c>
      <c r="H1494">
        <f t="shared" ca="1" si="50"/>
        <v>3.7690409832973136E-2</v>
      </c>
    </row>
    <row r="1495" spans="2:8" x14ac:dyDescent="0.3">
      <c r="B1495" s="113">
        <v>41067</v>
      </c>
      <c r="C1495">
        <v>156.69</v>
      </c>
      <c r="D1495">
        <f t="shared" si="49"/>
        <v>-0.25218345821600729</v>
      </c>
      <c r="E1495">
        <v>7.6527331189710467E-3</v>
      </c>
      <c r="G1495">
        <v>1493</v>
      </c>
      <c r="H1495">
        <f t="shared" ca="1" si="50"/>
        <v>1.3798981882041742E-2</v>
      </c>
    </row>
    <row r="1496" spans="2:8" x14ac:dyDescent="0.3">
      <c r="B1496" s="113">
        <v>42380</v>
      </c>
      <c r="C1496">
        <v>209.53</v>
      </c>
      <c r="D1496">
        <f t="shared" si="49"/>
        <v>-0.29344124093744733</v>
      </c>
      <c r="E1496">
        <v>7.6464364720592645E-3</v>
      </c>
      <c r="G1496">
        <v>1494</v>
      </c>
      <c r="H1496">
        <f t="shared" ca="1" si="50"/>
        <v>-1.8890360568062963E-2</v>
      </c>
    </row>
    <row r="1497" spans="2:8" x14ac:dyDescent="0.3">
      <c r="B1497" s="113">
        <v>43480</v>
      </c>
      <c r="C1497">
        <v>296.55</v>
      </c>
      <c r="D1497">
        <f t="shared" si="49"/>
        <v>6.9805194805194884E-2</v>
      </c>
      <c r="E1497">
        <v>7.6452599388379203E-3</v>
      </c>
      <c r="G1497">
        <v>1495</v>
      </c>
      <c r="H1497">
        <f t="shared" ca="1" si="50"/>
        <v>-4.541619978399079E-3</v>
      </c>
    </row>
    <row r="1498" spans="2:8" x14ac:dyDescent="0.3">
      <c r="B1498" s="113">
        <v>43635</v>
      </c>
      <c r="C1498">
        <v>277.2</v>
      </c>
      <c r="D1498">
        <f t="shared" si="49"/>
        <v>0.219050969699635</v>
      </c>
      <c r="E1498">
        <v>7.6335877862594177E-3</v>
      </c>
      <c r="G1498">
        <v>1496</v>
      </c>
      <c r="H1498">
        <f t="shared" ca="1" si="50"/>
        <v>5.0304764987194927E-3</v>
      </c>
    </row>
    <row r="1499" spans="2:8" x14ac:dyDescent="0.3">
      <c r="B1499" s="113">
        <v>41548</v>
      </c>
      <c r="C1499">
        <v>227.39</v>
      </c>
      <c r="D1499">
        <f t="shared" si="49"/>
        <v>1.7177365242674904E-2</v>
      </c>
      <c r="E1499">
        <v>7.6217485709221379E-3</v>
      </c>
      <c r="G1499">
        <v>1497</v>
      </c>
      <c r="H1499">
        <f t="shared" ca="1" si="50"/>
        <v>1.4861105734875837E-2</v>
      </c>
    </row>
    <row r="1500" spans="2:8" x14ac:dyDescent="0.3">
      <c r="B1500" s="113">
        <v>42310</v>
      </c>
      <c r="C1500">
        <v>223.55</v>
      </c>
      <c r="D1500">
        <f t="shared" si="49"/>
        <v>-0.28188242852553808</v>
      </c>
      <c r="E1500">
        <v>7.6174163887135927E-3</v>
      </c>
      <c r="G1500">
        <v>1498</v>
      </c>
      <c r="H1500">
        <f t="shared" ca="1" si="50"/>
        <v>-2.6246913106271533E-2</v>
      </c>
    </row>
    <row r="1501" spans="2:8" x14ac:dyDescent="0.3">
      <c r="B1501" s="113">
        <v>42908</v>
      </c>
      <c r="C1501">
        <v>311.3</v>
      </c>
      <c r="D1501">
        <f t="shared" si="49"/>
        <v>0.23654419066534266</v>
      </c>
      <c r="E1501">
        <v>7.6064088040136684E-3</v>
      </c>
      <c r="G1501">
        <v>1499</v>
      </c>
      <c r="H1501">
        <f t="shared" ca="1" si="50"/>
        <v>1.0540553036793548E-2</v>
      </c>
    </row>
    <row r="1502" spans="2:8" x14ac:dyDescent="0.3">
      <c r="B1502" s="113">
        <v>42576</v>
      </c>
      <c r="C1502">
        <v>251.75</v>
      </c>
      <c r="D1502">
        <f t="shared" si="49"/>
        <v>-0.17404855643044623</v>
      </c>
      <c r="E1502">
        <v>7.6045627376426081E-3</v>
      </c>
      <c r="G1502">
        <v>1500</v>
      </c>
      <c r="H1502">
        <f t="shared" ca="1" si="50"/>
        <v>1.6962439994361228E-2</v>
      </c>
    </row>
    <row r="1503" spans="2:8" x14ac:dyDescent="0.3">
      <c r="B1503" s="113">
        <v>43322</v>
      </c>
      <c r="C1503">
        <v>304.8</v>
      </c>
      <c r="D1503">
        <f t="shared" si="49"/>
        <v>9.4526748971193406</v>
      </c>
      <c r="E1503">
        <v>7.6033057851240043E-3</v>
      </c>
      <c r="G1503">
        <v>1501</v>
      </c>
      <c r="H1503">
        <f t="shared" ca="1" si="50"/>
        <v>2.0581475571274682E-2</v>
      </c>
    </row>
    <row r="1504" spans="2:8" x14ac:dyDescent="0.3">
      <c r="B1504" s="113">
        <v>38349</v>
      </c>
      <c r="C1504">
        <v>29.16</v>
      </c>
      <c r="D1504">
        <f t="shared" si="49"/>
        <v>-0.21612903225806457</v>
      </c>
      <c r="E1504">
        <v>7.6019350380096351E-3</v>
      </c>
      <c r="G1504">
        <v>1502</v>
      </c>
      <c r="H1504">
        <f t="shared" ca="1" si="50"/>
        <v>-2.5962458300066014E-2</v>
      </c>
    </row>
    <row r="1505" spans="2:8" x14ac:dyDescent="0.3">
      <c r="B1505" s="113">
        <v>38537</v>
      </c>
      <c r="C1505">
        <v>37.200000000000003</v>
      </c>
      <c r="D1505">
        <f t="shared" si="49"/>
        <v>-0.80479613790208326</v>
      </c>
      <c r="E1505">
        <v>7.5839653304442343E-3</v>
      </c>
      <c r="G1505">
        <v>1503</v>
      </c>
      <c r="H1505">
        <f t="shared" ca="1" si="50"/>
        <v>1.2335499919474413E-2</v>
      </c>
    </row>
    <row r="1506" spans="2:8" x14ac:dyDescent="0.3">
      <c r="B1506" s="113">
        <v>41292</v>
      </c>
      <c r="C1506">
        <v>190.57</v>
      </c>
      <c r="D1506">
        <f t="shared" si="49"/>
        <v>0.64114708921805019</v>
      </c>
      <c r="E1506">
        <v>7.5605371682352061E-3</v>
      </c>
      <c r="G1506">
        <v>1504</v>
      </c>
      <c r="H1506">
        <f t="shared" ca="1" si="50"/>
        <v>1.5843349041904251E-2</v>
      </c>
    </row>
    <row r="1507" spans="2:8" x14ac:dyDescent="0.3">
      <c r="B1507" s="113">
        <v>40497</v>
      </c>
      <c r="C1507">
        <v>116.12</v>
      </c>
      <c r="D1507">
        <f t="shared" si="49"/>
        <v>-0.10318195860364525</v>
      </c>
      <c r="E1507">
        <v>7.5488069414317094E-3</v>
      </c>
      <c r="G1507">
        <v>1505</v>
      </c>
      <c r="H1507">
        <f t="shared" ca="1" si="50"/>
        <v>-1.5107162301403604E-3</v>
      </c>
    </row>
    <row r="1508" spans="2:8" x14ac:dyDescent="0.3">
      <c r="B1508" s="113">
        <v>40696</v>
      </c>
      <c r="C1508">
        <v>129.47999999999999</v>
      </c>
      <c r="D1508">
        <f t="shared" si="49"/>
        <v>-0.40207804202262765</v>
      </c>
      <c r="E1508">
        <v>7.5480507353513264E-3</v>
      </c>
      <c r="G1508">
        <v>1506</v>
      </c>
      <c r="H1508">
        <f t="shared" ca="1" si="50"/>
        <v>-4.8762563677683321E-3</v>
      </c>
    </row>
    <row r="1509" spans="2:8" x14ac:dyDescent="0.3">
      <c r="B1509" s="113">
        <v>41667</v>
      </c>
      <c r="C1509">
        <v>216.55</v>
      </c>
      <c r="D1509">
        <f t="shared" si="49"/>
        <v>-0.22922228154475879</v>
      </c>
      <c r="E1509">
        <v>7.537337737868164E-3</v>
      </c>
      <c r="G1509">
        <v>1507</v>
      </c>
      <c r="H1509">
        <f t="shared" ca="1" si="50"/>
        <v>-6.9262816660785008E-3</v>
      </c>
    </row>
    <row r="1510" spans="2:8" x14ac:dyDescent="0.3">
      <c r="B1510" s="113">
        <v>43469</v>
      </c>
      <c r="C1510">
        <v>280.95</v>
      </c>
      <c r="D1510">
        <f t="shared" si="49"/>
        <v>10.638359569179784</v>
      </c>
      <c r="E1510">
        <v>7.5309306078535617E-3</v>
      </c>
      <c r="G1510">
        <v>1508</v>
      </c>
      <c r="H1510">
        <f t="shared" ca="1" si="50"/>
        <v>1.2920603577655827E-2</v>
      </c>
    </row>
    <row r="1511" spans="2:8" x14ac:dyDescent="0.3">
      <c r="B1511" s="113">
        <v>38084</v>
      </c>
      <c r="C1511">
        <v>24.14</v>
      </c>
      <c r="D1511">
        <f t="shared" si="49"/>
        <v>-0.7837692583303475</v>
      </c>
      <c r="E1511">
        <v>7.5125208681135107E-3</v>
      </c>
      <c r="G1511">
        <v>1509</v>
      </c>
      <c r="H1511">
        <f t="shared" ca="1" si="50"/>
        <v>6.353394827648606E-3</v>
      </c>
    </row>
    <row r="1512" spans="2:8" x14ac:dyDescent="0.3">
      <c r="B1512" s="113">
        <v>40526</v>
      </c>
      <c r="C1512">
        <v>111.64</v>
      </c>
      <c r="D1512">
        <f t="shared" si="49"/>
        <v>-0.59631169770385106</v>
      </c>
      <c r="E1512">
        <v>7.4902987095027372E-3</v>
      </c>
      <c r="G1512">
        <v>1510</v>
      </c>
      <c r="H1512">
        <f t="shared" ca="1" si="50"/>
        <v>4.342317736458487E-2</v>
      </c>
    </row>
    <row r="1513" spans="2:8" x14ac:dyDescent="0.3">
      <c r="B1513" s="113">
        <v>43420</v>
      </c>
      <c r="C1513">
        <v>276.55</v>
      </c>
      <c r="D1513">
        <f t="shared" si="49"/>
        <v>12.663537549407115</v>
      </c>
      <c r="E1513">
        <v>7.4681238615665257E-3</v>
      </c>
      <c r="G1513">
        <v>1511</v>
      </c>
      <c r="H1513">
        <f t="shared" ca="1" si="50"/>
        <v>-1.1513024848831573E-2</v>
      </c>
    </row>
    <row r="1514" spans="2:8" x14ac:dyDescent="0.3">
      <c r="B1514" s="113">
        <v>38173</v>
      </c>
      <c r="C1514">
        <v>20.239999999999998</v>
      </c>
      <c r="D1514">
        <f t="shared" si="49"/>
        <v>-0.85016286644951145</v>
      </c>
      <c r="E1514">
        <v>7.4664011946241208E-3</v>
      </c>
      <c r="G1514">
        <v>1512</v>
      </c>
      <c r="H1514">
        <f t="shared" ca="1" si="50"/>
        <v>-3.1567419342009551E-3</v>
      </c>
    </row>
    <row r="1515" spans="2:8" x14ac:dyDescent="0.3">
      <c r="B1515" s="113">
        <v>40899</v>
      </c>
      <c r="C1515">
        <v>135.08000000000001</v>
      </c>
      <c r="D1515">
        <f t="shared" si="49"/>
        <v>-0.2433764633394947</v>
      </c>
      <c r="E1515">
        <v>7.4582338902147967E-3</v>
      </c>
      <c r="G1515">
        <v>1513</v>
      </c>
      <c r="H1515">
        <f t="shared" ca="1" si="50"/>
        <v>1.4631003219534811E-2</v>
      </c>
    </row>
    <row r="1516" spans="2:8" x14ac:dyDescent="0.3">
      <c r="B1516" s="113">
        <v>41164</v>
      </c>
      <c r="C1516">
        <v>178.53</v>
      </c>
      <c r="D1516">
        <f t="shared" si="49"/>
        <v>1.5355773327652325</v>
      </c>
      <c r="E1516">
        <v>7.4487895716945605E-3</v>
      </c>
      <c r="G1516">
        <v>1514</v>
      </c>
      <c r="H1516">
        <f t="shared" ca="1" si="50"/>
        <v>-1.2212597865869951E-2</v>
      </c>
    </row>
    <row r="1517" spans="2:8" x14ac:dyDescent="0.3">
      <c r="B1517" s="113">
        <v>40008</v>
      </c>
      <c r="C1517">
        <v>70.41</v>
      </c>
      <c r="D1517">
        <f t="shared" si="49"/>
        <v>-0.65855196159255136</v>
      </c>
      <c r="E1517">
        <v>7.4402632708541428E-3</v>
      </c>
      <c r="G1517">
        <v>1515</v>
      </c>
      <c r="H1517">
        <f t="shared" ca="1" si="50"/>
        <v>1.438544577903483E-2</v>
      </c>
    </row>
    <row r="1518" spans="2:8" x14ac:dyDescent="0.3">
      <c r="B1518" s="113">
        <v>41614</v>
      </c>
      <c r="C1518">
        <v>206.21</v>
      </c>
      <c r="D1518">
        <f t="shared" si="49"/>
        <v>3.222153972153972</v>
      </c>
      <c r="E1518">
        <v>7.4258635009038561E-3</v>
      </c>
      <c r="G1518">
        <v>1516</v>
      </c>
      <c r="H1518">
        <f t="shared" ca="1" si="50"/>
        <v>-1.216898148289988E-2</v>
      </c>
    </row>
    <row r="1519" spans="2:8" x14ac:dyDescent="0.3">
      <c r="B1519" s="113">
        <v>38882</v>
      </c>
      <c r="C1519">
        <v>48.84</v>
      </c>
      <c r="D1519">
        <f t="shared" si="49"/>
        <v>-0.77786874061945699</v>
      </c>
      <c r="E1519">
        <v>7.4257425742575607E-3</v>
      </c>
      <c r="G1519">
        <v>1517</v>
      </c>
      <c r="H1519">
        <f t="shared" ca="1" si="50"/>
        <v>4.8779578339996892E-3</v>
      </c>
    </row>
    <row r="1520" spans="2:8" x14ac:dyDescent="0.3">
      <c r="B1520" s="113">
        <v>41702</v>
      </c>
      <c r="C1520">
        <v>219.87</v>
      </c>
      <c r="D1520">
        <f t="shared" si="49"/>
        <v>2.8472440944881892</v>
      </c>
      <c r="E1520">
        <v>7.4226804123711547E-3</v>
      </c>
      <c r="G1520">
        <v>1518</v>
      </c>
      <c r="H1520">
        <f t="shared" ca="1" si="50"/>
        <v>-1.1289299620976729E-2</v>
      </c>
    </row>
    <row r="1521" spans="2:8" x14ac:dyDescent="0.3">
      <c r="B1521" s="113">
        <v>39794</v>
      </c>
      <c r="C1521">
        <v>57.15</v>
      </c>
      <c r="D1521">
        <f t="shared" si="49"/>
        <v>0.99755330304089473</v>
      </c>
      <c r="E1521">
        <v>7.4034902168165296E-3</v>
      </c>
      <c r="G1521">
        <v>1519</v>
      </c>
      <c r="H1521">
        <f t="shared" ca="1" si="50"/>
        <v>-2.6305819237340492E-2</v>
      </c>
    </row>
    <row r="1522" spans="2:8" x14ac:dyDescent="0.3">
      <c r="B1522" s="113">
        <v>38407</v>
      </c>
      <c r="C1522">
        <v>28.61</v>
      </c>
      <c r="D1522">
        <f t="shared" si="49"/>
        <v>-0.88001677500524211</v>
      </c>
      <c r="E1522">
        <v>7.3943661971831286E-3</v>
      </c>
      <c r="G1522">
        <v>1520</v>
      </c>
      <c r="H1522">
        <f t="shared" ca="1" si="50"/>
        <v>9.7265848630852757E-4</v>
      </c>
    </row>
    <row r="1523" spans="2:8" x14ac:dyDescent="0.3">
      <c r="B1523" s="113">
        <v>44496</v>
      </c>
      <c r="C1523">
        <v>238.45</v>
      </c>
      <c r="D1523">
        <f t="shared" si="49"/>
        <v>2.8042437779195915</v>
      </c>
      <c r="E1523">
        <v>7.3933248838191808E-3</v>
      </c>
      <c r="G1523">
        <v>1521</v>
      </c>
      <c r="H1523">
        <f t="shared" ca="1" si="50"/>
        <v>-1.1163540574759477E-2</v>
      </c>
    </row>
    <row r="1524" spans="2:8" x14ac:dyDescent="0.3">
      <c r="B1524" s="113">
        <v>38966</v>
      </c>
      <c r="C1524">
        <v>62.68</v>
      </c>
      <c r="D1524">
        <f t="shared" si="49"/>
        <v>-0.71811476884331715</v>
      </c>
      <c r="E1524">
        <v>7.393121182899403E-3</v>
      </c>
      <c r="G1524">
        <v>1522</v>
      </c>
      <c r="H1524">
        <f t="shared" ca="1" si="50"/>
        <v>4.0388193848384726E-3</v>
      </c>
    </row>
    <row r="1525" spans="2:8" x14ac:dyDescent="0.3">
      <c r="B1525" s="113">
        <v>41491</v>
      </c>
      <c r="C1525">
        <v>222.36</v>
      </c>
      <c r="D1525">
        <f t="shared" si="49"/>
        <v>0.75141776937618165</v>
      </c>
      <c r="E1525">
        <v>7.384587505096833E-3</v>
      </c>
      <c r="G1525">
        <v>1523</v>
      </c>
      <c r="H1525">
        <f t="shared" ca="1" si="50"/>
        <v>1.8086938629740958E-2</v>
      </c>
    </row>
    <row r="1526" spans="2:8" x14ac:dyDescent="0.3">
      <c r="B1526" s="113">
        <v>40648</v>
      </c>
      <c r="C1526">
        <v>126.96</v>
      </c>
      <c r="D1526">
        <f t="shared" si="49"/>
        <v>-7.8702974972460669E-4</v>
      </c>
      <c r="E1526">
        <v>7.3791954296595465E-3</v>
      </c>
      <c r="G1526">
        <v>1524</v>
      </c>
      <c r="H1526">
        <f t="shared" ca="1" si="50"/>
        <v>1.1815104261549374E-2</v>
      </c>
    </row>
    <row r="1527" spans="2:8" x14ac:dyDescent="0.3">
      <c r="B1527" s="113">
        <v>40659</v>
      </c>
      <c r="C1527">
        <v>127.06</v>
      </c>
      <c r="D1527">
        <f t="shared" si="49"/>
        <v>-3.1554878048780384E-2</v>
      </c>
      <c r="E1527">
        <v>7.373344961547664E-3</v>
      </c>
      <c r="G1527">
        <v>1525</v>
      </c>
      <c r="H1527">
        <f t="shared" ca="1" si="50"/>
        <v>-9.4912938203555609E-3</v>
      </c>
    </row>
    <row r="1528" spans="2:8" x14ac:dyDescent="0.3">
      <c r="B1528" s="113">
        <v>40876</v>
      </c>
      <c r="C1528">
        <v>131.19999999999999</v>
      </c>
      <c r="D1528">
        <f t="shared" si="49"/>
        <v>5.8511749347258482</v>
      </c>
      <c r="E1528">
        <v>7.3710073710072134E-3</v>
      </c>
      <c r="G1528">
        <v>1526</v>
      </c>
      <c r="H1528">
        <f t="shared" ca="1" si="50"/>
        <v>-3.6668112580028979E-2</v>
      </c>
    </row>
    <row r="1529" spans="2:8" x14ac:dyDescent="0.3">
      <c r="B1529" s="113">
        <v>37925</v>
      </c>
      <c r="C1529">
        <v>19.149999999999999</v>
      </c>
      <c r="D1529">
        <f t="shared" si="49"/>
        <v>-5.219206680585367E-4</v>
      </c>
      <c r="E1529">
        <v>7.3645449763280911E-3</v>
      </c>
      <c r="G1529">
        <v>1527</v>
      </c>
      <c r="H1529">
        <f t="shared" ca="1" si="50"/>
        <v>-4.9487742328331231E-2</v>
      </c>
    </row>
    <row r="1530" spans="2:8" x14ac:dyDescent="0.3">
      <c r="B1530" s="113">
        <v>38163</v>
      </c>
      <c r="C1530">
        <v>19.16</v>
      </c>
      <c r="D1530">
        <f t="shared" si="49"/>
        <v>-0.91775059025541961</v>
      </c>
      <c r="E1530">
        <v>7.3606729758149613E-3</v>
      </c>
      <c r="G1530">
        <v>1528</v>
      </c>
      <c r="H1530">
        <f t="shared" ca="1" si="50"/>
        <v>2.2250261957632893E-2</v>
      </c>
    </row>
    <row r="1531" spans="2:8" x14ac:dyDescent="0.3">
      <c r="B1531" s="113">
        <v>44476</v>
      </c>
      <c r="C1531">
        <v>232.95</v>
      </c>
      <c r="D1531">
        <f t="shared" si="49"/>
        <v>2.8631840796019898</v>
      </c>
      <c r="E1531">
        <v>7.3513513513513021E-3</v>
      </c>
      <c r="G1531">
        <v>1529</v>
      </c>
      <c r="H1531">
        <f t="shared" ca="1" si="50"/>
        <v>2.7055178008184029E-2</v>
      </c>
    </row>
    <row r="1532" spans="2:8" x14ac:dyDescent="0.3">
      <c r="B1532" s="113">
        <v>39869</v>
      </c>
      <c r="C1532">
        <v>60.3</v>
      </c>
      <c r="D1532">
        <f t="shared" si="49"/>
        <v>-0.74859287054409007</v>
      </c>
      <c r="E1532">
        <v>7.3504844637487096E-3</v>
      </c>
      <c r="G1532">
        <v>1530</v>
      </c>
      <c r="H1532">
        <f t="shared" ca="1" si="50"/>
        <v>3.3296675376171515E-2</v>
      </c>
    </row>
    <row r="1533" spans="2:8" x14ac:dyDescent="0.3">
      <c r="B1533" s="113">
        <v>43832</v>
      </c>
      <c r="C1533">
        <v>239.85</v>
      </c>
      <c r="D1533">
        <f t="shared" si="49"/>
        <v>-0.14780600461893764</v>
      </c>
      <c r="E1533">
        <v>7.3498530029399416E-3</v>
      </c>
      <c r="G1533">
        <v>1531</v>
      </c>
      <c r="H1533">
        <f t="shared" ca="1" si="50"/>
        <v>2.0841802343044398E-2</v>
      </c>
    </row>
    <row r="1534" spans="2:8" x14ac:dyDescent="0.3">
      <c r="B1534" s="113">
        <v>43220</v>
      </c>
      <c r="C1534">
        <v>281.45</v>
      </c>
      <c r="D1534">
        <f t="shared" si="49"/>
        <v>17.614417989417991</v>
      </c>
      <c r="E1534">
        <v>7.3371510379384806E-3</v>
      </c>
      <c r="G1534">
        <v>1532</v>
      </c>
      <c r="H1534">
        <f t="shared" ca="1" si="50"/>
        <v>1.4279671127703021E-2</v>
      </c>
    </row>
    <row r="1535" spans="2:8" x14ac:dyDescent="0.3">
      <c r="B1535" s="113">
        <v>37491</v>
      </c>
      <c r="C1535">
        <v>15.12</v>
      </c>
      <c r="D1535">
        <f t="shared" si="49"/>
        <v>-0.8889867841409691</v>
      </c>
      <c r="E1535">
        <v>7.3284477015322742E-3</v>
      </c>
      <c r="G1535">
        <v>1533</v>
      </c>
      <c r="H1535">
        <f t="shared" ca="1" si="50"/>
        <v>-2.3632024351714073E-2</v>
      </c>
    </row>
    <row r="1536" spans="2:8" x14ac:dyDescent="0.3">
      <c r="B1536" s="113">
        <v>40956</v>
      </c>
      <c r="C1536">
        <v>136.19999999999999</v>
      </c>
      <c r="D1536">
        <f t="shared" si="49"/>
        <v>-0.18971979296805291</v>
      </c>
      <c r="E1536">
        <v>7.3219436432215117E-3</v>
      </c>
      <c r="G1536">
        <v>1534</v>
      </c>
      <c r="H1536">
        <f t="shared" ca="1" si="50"/>
        <v>-4.4981255566812909E-3</v>
      </c>
    </row>
    <row r="1537" spans="2:8" x14ac:dyDescent="0.3">
      <c r="B1537" s="113">
        <v>41103</v>
      </c>
      <c r="C1537">
        <v>168.09</v>
      </c>
      <c r="D1537">
        <f t="shared" si="49"/>
        <v>-0.37524623675896673</v>
      </c>
      <c r="E1537">
        <v>7.3110804818121823E-3</v>
      </c>
      <c r="G1537">
        <v>1535</v>
      </c>
      <c r="H1537">
        <f t="shared" ca="1" si="50"/>
        <v>-2.3393041006439158E-2</v>
      </c>
    </row>
    <row r="1538" spans="2:8" x14ac:dyDescent="0.3">
      <c r="B1538" s="113">
        <v>43154</v>
      </c>
      <c r="C1538">
        <v>269.05</v>
      </c>
      <c r="D1538">
        <f t="shared" si="49"/>
        <v>-2.6063348416289552E-2</v>
      </c>
      <c r="E1538">
        <v>7.3006364657431239E-3</v>
      </c>
      <c r="G1538">
        <v>1536</v>
      </c>
      <c r="H1538">
        <f t="shared" ca="1" si="50"/>
        <v>-5.7819558751988232E-3</v>
      </c>
    </row>
    <row r="1539" spans="2:8" x14ac:dyDescent="0.3">
      <c r="B1539" s="113">
        <v>43640</v>
      </c>
      <c r="C1539">
        <v>276.25</v>
      </c>
      <c r="D1539">
        <f t="shared" ref="D1539:D1602" si="51">(C1539-C1540)/C1540</f>
        <v>5.0779764168885598E-2</v>
      </c>
      <c r="E1539">
        <v>7.2926162260711028E-3</v>
      </c>
      <c r="G1539">
        <v>1537</v>
      </c>
      <c r="H1539">
        <f t="shared" ca="1" si="50"/>
        <v>5.2216203941918239E-3</v>
      </c>
    </row>
    <row r="1540" spans="2:8" x14ac:dyDescent="0.3">
      <c r="B1540" s="113">
        <v>42615</v>
      </c>
      <c r="C1540">
        <v>262.89999999999998</v>
      </c>
      <c r="D1540">
        <f t="shared" si="51"/>
        <v>-5.2100234360915973E-2</v>
      </c>
      <c r="E1540">
        <v>7.2796934865899509E-3</v>
      </c>
      <c r="G1540">
        <v>1538</v>
      </c>
      <c r="H1540">
        <f t="shared" ref="H1540:H1603" ca="1" si="52">_xlfn.NORM.INV(RAND(),$L$4,$L$6)</f>
        <v>2.2235184910781167E-2</v>
      </c>
    </row>
    <row r="1541" spans="2:8" x14ac:dyDescent="0.3">
      <c r="B1541" s="113">
        <v>43209</v>
      </c>
      <c r="C1541">
        <v>277.35000000000002</v>
      </c>
      <c r="D1541">
        <f t="shared" si="51"/>
        <v>0.20231489509276926</v>
      </c>
      <c r="E1541">
        <v>7.2634828400217899E-3</v>
      </c>
      <c r="G1541">
        <v>1539</v>
      </c>
      <c r="H1541">
        <f t="shared" ca="1" si="52"/>
        <v>-5.0970760830389367E-5</v>
      </c>
    </row>
    <row r="1542" spans="2:8" x14ac:dyDescent="0.3">
      <c r="B1542" s="113">
        <v>41738</v>
      </c>
      <c r="C1542">
        <v>230.68</v>
      </c>
      <c r="D1542">
        <f t="shared" si="51"/>
        <v>2.6838070903864581</v>
      </c>
      <c r="E1542">
        <v>7.2482752598026223E-3</v>
      </c>
      <c r="G1542">
        <v>1540</v>
      </c>
      <c r="H1542">
        <f t="shared" ca="1" si="52"/>
        <v>3.2089591038304863E-3</v>
      </c>
    </row>
    <row r="1543" spans="2:8" x14ac:dyDescent="0.3">
      <c r="B1543" s="113">
        <v>39932</v>
      </c>
      <c r="C1543">
        <v>62.62</v>
      </c>
      <c r="D1543">
        <f t="shared" si="51"/>
        <v>-0.22480812082198567</v>
      </c>
      <c r="E1543">
        <v>7.2382177899307657E-3</v>
      </c>
      <c r="G1543">
        <v>1541</v>
      </c>
      <c r="H1543">
        <f t="shared" ca="1" si="52"/>
        <v>4.6498578936734689E-3</v>
      </c>
    </row>
    <row r="1544" spans="2:8" x14ac:dyDescent="0.3">
      <c r="B1544" s="113">
        <v>40240</v>
      </c>
      <c r="C1544">
        <v>80.78</v>
      </c>
      <c r="D1544">
        <f t="shared" si="51"/>
        <v>3.1383196721311477</v>
      </c>
      <c r="E1544">
        <v>7.2319201995012256E-3</v>
      </c>
      <c r="G1544">
        <v>1542</v>
      </c>
      <c r="H1544">
        <f t="shared" ca="1" si="52"/>
        <v>3.6107785181892386E-2</v>
      </c>
    </row>
    <row r="1545" spans="2:8" x14ac:dyDescent="0.3">
      <c r="B1545" s="113">
        <v>37909</v>
      </c>
      <c r="C1545">
        <v>19.52</v>
      </c>
      <c r="D1545">
        <f t="shared" si="51"/>
        <v>-0.67444963308872574</v>
      </c>
      <c r="E1545">
        <v>7.2239422084623616E-3</v>
      </c>
      <c r="G1545">
        <v>1543</v>
      </c>
      <c r="H1545">
        <f t="shared" ca="1" si="52"/>
        <v>1.4443348335151885E-3</v>
      </c>
    </row>
    <row r="1546" spans="2:8" x14ac:dyDescent="0.3">
      <c r="B1546" s="113">
        <v>39048</v>
      </c>
      <c r="C1546">
        <v>59.96</v>
      </c>
      <c r="D1546">
        <f t="shared" si="51"/>
        <v>-0.69962929566175736</v>
      </c>
      <c r="E1546">
        <v>7.2232487821266541E-3</v>
      </c>
      <c r="G1546">
        <v>1544</v>
      </c>
      <c r="H1546">
        <f t="shared" ca="1" si="52"/>
        <v>-1.7741022486288311E-3</v>
      </c>
    </row>
    <row r="1547" spans="2:8" x14ac:dyDescent="0.3">
      <c r="B1547" s="113">
        <v>42172</v>
      </c>
      <c r="C1547">
        <v>199.62</v>
      </c>
      <c r="D1547">
        <f t="shared" si="51"/>
        <v>-0.26704608041123556</v>
      </c>
      <c r="E1547">
        <v>7.2152984509814156E-3</v>
      </c>
      <c r="G1547">
        <v>1545</v>
      </c>
      <c r="H1547">
        <f t="shared" ca="1" si="52"/>
        <v>8.0886404754880199E-4</v>
      </c>
    </row>
    <row r="1548" spans="2:8" x14ac:dyDescent="0.3">
      <c r="B1548" s="113">
        <v>42986</v>
      </c>
      <c r="C1548">
        <v>272.35000000000002</v>
      </c>
      <c r="D1548">
        <f t="shared" si="51"/>
        <v>1.107319715258434</v>
      </c>
      <c r="E1548">
        <v>7.2115384615386302E-3</v>
      </c>
      <c r="G1548">
        <v>1546</v>
      </c>
      <c r="H1548">
        <f t="shared" ca="1" si="52"/>
        <v>2.3138531506709029E-2</v>
      </c>
    </row>
    <row r="1549" spans="2:8" x14ac:dyDescent="0.3">
      <c r="B1549" s="113">
        <v>40702</v>
      </c>
      <c r="C1549">
        <v>129.24</v>
      </c>
      <c r="D1549">
        <f t="shared" si="51"/>
        <v>5.5604060913705586</v>
      </c>
      <c r="E1549">
        <v>7.1695760598504982E-3</v>
      </c>
      <c r="G1549">
        <v>1547</v>
      </c>
      <c r="H1549">
        <f t="shared" ca="1" si="52"/>
        <v>-1.9810834776626873E-2</v>
      </c>
    </row>
    <row r="1550" spans="2:8" x14ac:dyDescent="0.3">
      <c r="B1550" s="113">
        <v>38155</v>
      </c>
      <c r="C1550">
        <v>19.7</v>
      </c>
      <c r="D1550">
        <f t="shared" si="51"/>
        <v>-0.90709738269276119</v>
      </c>
      <c r="E1550">
        <v>7.1574642126789661E-3</v>
      </c>
      <c r="G1550">
        <v>1548</v>
      </c>
      <c r="H1550">
        <f t="shared" ca="1" si="52"/>
        <v>8.2879760115924536E-4</v>
      </c>
    </row>
    <row r="1551" spans="2:8" x14ac:dyDescent="0.3">
      <c r="B1551" s="113">
        <v>41389</v>
      </c>
      <c r="C1551">
        <v>212.05</v>
      </c>
      <c r="D1551">
        <f t="shared" si="51"/>
        <v>-0.16875735005880041</v>
      </c>
      <c r="E1551">
        <v>7.1241985276656369E-3</v>
      </c>
      <c r="G1551">
        <v>1549</v>
      </c>
      <c r="H1551">
        <f t="shared" ca="1" si="52"/>
        <v>-4.5263973153746619E-3</v>
      </c>
    </row>
    <row r="1552" spans="2:8" x14ac:dyDescent="0.3">
      <c r="B1552" s="113">
        <v>43055</v>
      </c>
      <c r="C1552">
        <v>255.1</v>
      </c>
      <c r="D1552">
        <f t="shared" si="51"/>
        <v>0.64899806076276678</v>
      </c>
      <c r="E1552">
        <v>7.1061981839715075E-3</v>
      </c>
      <c r="G1552">
        <v>1550</v>
      </c>
      <c r="H1552">
        <f t="shared" ca="1" si="52"/>
        <v>-2.2383946874998756E-2</v>
      </c>
    </row>
    <row r="1553" spans="2:8" x14ac:dyDescent="0.3">
      <c r="B1553" s="113">
        <v>41053</v>
      </c>
      <c r="C1553">
        <v>154.69999999999999</v>
      </c>
      <c r="D1553">
        <f t="shared" si="51"/>
        <v>-0.29697795955464679</v>
      </c>
      <c r="E1553">
        <v>7.0958921945184225E-3</v>
      </c>
      <c r="G1553">
        <v>1551</v>
      </c>
      <c r="H1553">
        <f t="shared" ca="1" si="52"/>
        <v>-9.3892434564473784E-3</v>
      </c>
    </row>
    <row r="1554" spans="2:8" x14ac:dyDescent="0.3">
      <c r="B1554" s="113">
        <v>44287</v>
      </c>
      <c r="C1554">
        <v>220.05</v>
      </c>
      <c r="D1554">
        <f t="shared" si="51"/>
        <v>0.13650449333746517</v>
      </c>
      <c r="E1554">
        <v>7.0938215102975353E-3</v>
      </c>
      <c r="G1554">
        <v>1552</v>
      </c>
      <c r="H1554">
        <f t="shared" ca="1" si="52"/>
        <v>-1.7022983523369492E-2</v>
      </c>
    </row>
    <row r="1555" spans="2:8" x14ac:dyDescent="0.3">
      <c r="B1555" s="113">
        <v>41207</v>
      </c>
      <c r="C1555">
        <v>193.62</v>
      </c>
      <c r="D1555">
        <f t="shared" si="51"/>
        <v>-0.19576323987538938</v>
      </c>
      <c r="E1555">
        <v>7.073754291064255E-3</v>
      </c>
      <c r="G1555">
        <v>1553</v>
      </c>
      <c r="H1555">
        <f t="shared" ca="1" si="52"/>
        <v>1.3431013783065236E-2</v>
      </c>
    </row>
    <row r="1556" spans="2:8" x14ac:dyDescent="0.3">
      <c r="B1556" s="113">
        <v>41971</v>
      </c>
      <c r="C1556">
        <v>240.75</v>
      </c>
      <c r="D1556">
        <f t="shared" si="51"/>
        <v>15.871058163980377</v>
      </c>
      <c r="E1556">
        <v>7.0693549736467734E-3</v>
      </c>
      <c r="G1556">
        <v>1554</v>
      </c>
      <c r="H1556">
        <f t="shared" ca="1" si="52"/>
        <v>1.4644389077479074E-2</v>
      </c>
    </row>
    <row r="1557" spans="2:8" x14ac:dyDescent="0.3">
      <c r="B1557" s="113">
        <v>37551</v>
      </c>
      <c r="C1557">
        <v>14.27</v>
      </c>
      <c r="D1557">
        <f t="shared" si="51"/>
        <v>-0.8795475647843336</v>
      </c>
      <c r="E1557">
        <v>7.057163020465748E-3</v>
      </c>
      <c r="G1557">
        <v>1555</v>
      </c>
      <c r="H1557">
        <f t="shared" ca="1" si="52"/>
        <v>5.5010144434752117E-3</v>
      </c>
    </row>
    <row r="1558" spans="2:8" x14ac:dyDescent="0.3">
      <c r="B1558" s="113">
        <v>40630</v>
      </c>
      <c r="C1558">
        <v>118.47</v>
      </c>
      <c r="D1558">
        <f t="shared" si="51"/>
        <v>-0.44678963343450856</v>
      </c>
      <c r="E1558">
        <v>7.0554233253995093E-3</v>
      </c>
      <c r="G1558">
        <v>1556</v>
      </c>
      <c r="H1558">
        <f t="shared" ca="1" si="52"/>
        <v>-8.5380052605791169E-3</v>
      </c>
    </row>
    <row r="1559" spans="2:8" x14ac:dyDescent="0.3">
      <c r="B1559" s="113">
        <v>44452</v>
      </c>
      <c r="C1559">
        <v>214.15</v>
      </c>
      <c r="D1559">
        <f t="shared" si="51"/>
        <v>-0.11963001027749227</v>
      </c>
      <c r="E1559">
        <v>7.0538443451681164E-3</v>
      </c>
      <c r="G1559">
        <v>1557</v>
      </c>
      <c r="H1559">
        <f t="shared" ca="1" si="52"/>
        <v>-4.7796670246691056E-2</v>
      </c>
    </row>
    <row r="1560" spans="2:8" x14ac:dyDescent="0.3">
      <c r="B1560" s="113">
        <v>43712</v>
      </c>
      <c r="C1560">
        <v>243.25</v>
      </c>
      <c r="D1560">
        <f t="shared" si="51"/>
        <v>0.1637085585801081</v>
      </c>
      <c r="E1560">
        <v>7.0378803560339001E-3</v>
      </c>
      <c r="G1560">
        <v>1558</v>
      </c>
      <c r="H1560">
        <f t="shared" ca="1" si="52"/>
        <v>1.0353037482763236E-2</v>
      </c>
    </row>
    <row r="1561" spans="2:8" x14ac:dyDescent="0.3">
      <c r="B1561" s="113">
        <v>41382</v>
      </c>
      <c r="C1561">
        <v>209.03</v>
      </c>
      <c r="D1561">
        <f t="shared" si="51"/>
        <v>-8.1832557322322738E-2</v>
      </c>
      <c r="E1561">
        <v>7.0337717396541308E-3</v>
      </c>
      <c r="G1561">
        <v>1559</v>
      </c>
      <c r="H1561">
        <f t="shared" ca="1" si="52"/>
        <v>-6.4948706338091976E-3</v>
      </c>
    </row>
    <row r="1562" spans="2:8" x14ac:dyDescent="0.3">
      <c r="B1562" s="113">
        <v>41711</v>
      </c>
      <c r="C1562">
        <v>227.66</v>
      </c>
      <c r="D1562">
        <f t="shared" si="51"/>
        <v>2.0476572958500667</v>
      </c>
      <c r="E1562">
        <v>7.0332197991772611E-3</v>
      </c>
      <c r="G1562">
        <v>1560</v>
      </c>
      <c r="H1562">
        <f t="shared" ca="1" si="52"/>
        <v>-1.2004049053657219E-2</v>
      </c>
    </row>
    <row r="1563" spans="2:8" x14ac:dyDescent="0.3">
      <c r="B1563" s="113">
        <v>39581</v>
      </c>
      <c r="C1563">
        <v>74.7</v>
      </c>
      <c r="D1563">
        <f t="shared" si="51"/>
        <v>-0.68098735907072083</v>
      </c>
      <c r="E1563">
        <v>7.0099757346993256E-3</v>
      </c>
      <c r="G1563">
        <v>1561</v>
      </c>
      <c r="H1563">
        <f t="shared" ca="1" si="52"/>
        <v>-1.6519616808042037E-2</v>
      </c>
    </row>
    <row r="1564" spans="2:8" x14ac:dyDescent="0.3">
      <c r="B1564" s="113">
        <v>41752</v>
      </c>
      <c r="C1564">
        <v>234.16</v>
      </c>
      <c r="D1564">
        <f t="shared" si="51"/>
        <v>-0.13331852838848179</v>
      </c>
      <c r="E1564">
        <v>7.0098481916311675E-3</v>
      </c>
      <c r="G1564">
        <v>1562</v>
      </c>
      <c r="H1564">
        <f t="shared" ca="1" si="52"/>
        <v>-2.7333084155045078E-3</v>
      </c>
    </row>
    <row r="1565" spans="2:8" x14ac:dyDescent="0.3">
      <c r="B1565" s="113">
        <v>44740</v>
      </c>
      <c r="C1565">
        <v>270.18</v>
      </c>
      <c r="D1565">
        <f t="shared" si="51"/>
        <v>0.29582733812949641</v>
      </c>
      <c r="E1565">
        <v>7.0070816250465727E-3</v>
      </c>
      <c r="G1565">
        <v>1563</v>
      </c>
      <c r="H1565">
        <f t="shared" ca="1" si="52"/>
        <v>2.549704265702157E-2</v>
      </c>
    </row>
    <row r="1566" spans="2:8" x14ac:dyDescent="0.3">
      <c r="B1566" s="113">
        <v>44250</v>
      </c>
      <c r="C1566">
        <v>208.5</v>
      </c>
      <c r="D1566">
        <f t="shared" si="51"/>
        <v>0.81052448766932972</v>
      </c>
      <c r="E1566">
        <v>7.0031393383240209E-3</v>
      </c>
      <c r="G1566">
        <v>1564</v>
      </c>
      <c r="H1566">
        <f t="shared" ca="1" si="52"/>
        <v>-2.8687145674871316E-2</v>
      </c>
    </row>
    <row r="1567" spans="2:8" x14ac:dyDescent="0.3">
      <c r="B1567" s="113">
        <v>40506</v>
      </c>
      <c r="C1567">
        <v>115.16</v>
      </c>
      <c r="D1567">
        <f t="shared" si="51"/>
        <v>2.4686746987951804</v>
      </c>
      <c r="E1567">
        <v>6.9954529555788488E-3</v>
      </c>
      <c r="G1567">
        <v>1565</v>
      </c>
      <c r="H1567">
        <f t="shared" ca="1" si="52"/>
        <v>1.7033059643759094E-2</v>
      </c>
    </row>
    <row r="1568" spans="2:8" x14ac:dyDescent="0.3">
      <c r="B1568" s="113">
        <v>38496</v>
      </c>
      <c r="C1568">
        <v>33.200000000000003</v>
      </c>
      <c r="D1568">
        <f t="shared" si="51"/>
        <v>-0.28154079203635574</v>
      </c>
      <c r="E1568">
        <v>6.9760388231727023E-3</v>
      </c>
      <c r="G1568">
        <v>1566</v>
      </c>
      <c r="H1568">
        <f t="shared" ca="1" si="52"/>
        <v>-2.5152975179934107E-2</v>
      </c>
    </row>
    <row r="1569" spans="2:8" x14ac:dyDescent="0.3">
      <c r="B1569" s="113">
        <v>38715</v>
      </c>
      <c r="C1569">
        <v>46.21</v>
      </c>
      <c r="D1569">
        <f t="shared" si="51"/>
        <v>-0.81760410499309255</v>
      </c>
      <c r="E1569">
        <v>6.9731967748964977E-3</v>
      </c>
      <c r="G1569">
        <v>1567</v>
      </c>
      <c r="H1569">
        <f t="shared" ca="1" si="52"/>
        <v>-1.0085128500647406E-2</v>
      </c>
    </row>
    <row r="1570" spans="2:8" x14ac:dyDescent="0.3">
      <c r="B1570" s="113">
        <v>43076</v>
      </c>
      <c r="C1570">
        <v>253.35</v>
      </c>
      <c r="D1570">
        <f t="shared" si="51"/>
        <v>-5.4664179104477635E-2</v>
      </c>
      <c r="E1570">
        <v>6.9554848966613672E-3</v>
      </c>
      <c r="G1570">
        <v>1568</v>
      </c>
      <c r="H1570">
        <f t="shared" ca="1" si="52"/>
        <v>-6.3268666633203487E-3</v>
      </c>
    </row>
    <row r="1571" spans="2:8" x14ac:dyDescent="0.3">
      <c r="B1571" s="113">
        <v>43017</v>
      </c>
      <c r="C1571">
        <v>268</v>
      </c>
      <c r="D1571">
        <f t="shared" si="51"/>
        <v>1.7907945433718628</v>
      </c>
      <c r="E1571">
        <v>6.9509674995304263E-3</v>
      </c>
      <c r="G1571">
        <v>1569</v>
      </c>
      <c r="H1571">
        <f t="shared" ca="1" si="52"/>
        <v>2.0641316224869056E-3</v>
      </c>
    </row>
    <row r="1572" spans="2:8" x14ac:dyDescent="0.3">
      <c r="B1572" s="113">
        <v>40337</v>
      </c>
      <c r="C1572">
        <v>96.03</v>
      </c>
      <c r="D1572">
        <f t="shared" si="51"/>
        <v>0.60908176943699732</v>
      </c>
      <c r="E1572">
        <v>6.9204152249134586E-3</v>
      </c>
      <c r="G1572">
        <v>1570</v>
      </c>
      <c r="H1572">
        <f t="shared" ca="1" si="52"/>
        <v>3.2228322522872034E-2</v>
      </c>
    </row>
    <row r="1573" spans="2:8" x14ac:dyDescent="0.3">
      <c r="B1573" s="113">
        <v>38953</v>
      </c>
      <c r="C1573">
        <v>59.68</v>
      </c>
      <c r="D1573">
        <f t="shared" si="51"/>
        <v>1.1552907186710002</v>
      </c>
      <c r="E1573">
        <v>6.9174962038130007E-3</v>
      </c>
      <c r="G1573">
        <v>1571</v>
      </c>
      <c r="H1573">
        <f t="shared" ca="1" si="52"/>
        <v>4.7403595424350069E-2</v>
      </c>
    </row>
    <row r="1574" spans="2:8" x14ac:dyDescent="0.3">
      <c r="B1574" s="113">
        <v>38366</v>
      </c>
      <c r="C1574">
        <v>27.69</v>
      </c>
      <c r="D1574">
        <f t="shared" si="51"/>
        <v>-0.60493651020117001</v>
      </c>
      <c r="E1574">
        <v>6.9090909090909558E-3</v>
      </c>
      <c r="G1574">
        <v>1572</v>
      </c>
      <c r="H1574">
        <f t="shared" ca="1" si="52"/>
        <v>1.0620757751189218E-2</v>
      </c>
    </row>
    <row r="1575" spans="2:8" x14ac:dyDescent="0.3">
      <c r="B1575" s="113">
        <v>39555</v>
      </c>
      <c r="C1575">
        <v>70.09</v>
      </c>
      <c r="D1575">
        <f t="shared" si="51"/>
        <v>6.3904068002428788E-2</v>
      </c>
      <c r="E1575">
        <v>6.8955609826174971E-3</v>
      </c>
      <c r="G1575">
        <v>1573</v>
      </c>
      <c r="H1575">
        <f t="shared" ca="1" si="52"/>
        <v>6.918439321352019E-3</v>
      </c>
    </row>
    <row r="1576" spans="2:8" x14ac:dyDescent="0.3">
      <c r="B1576" s="113">
        <v>39988</v>
      </c>
      <c r="C1576">
        <v>65.88</v>
      </c>
      <c r="D1576">
        <f t="shared" si="51"/>
        <v>-0.69181830939795108</v>
      </c>
      <c r="E1576">
        <v>6.8775790921593851E-3</v>
      </c>
      <c r="G1576">
        <v>1574</v>
      </c>
      <c r="H1576">
        <f t="shared" ca="1" si="52"/>
        <v>1.8690757736214408E-2</v>
      </c>
    </row>
    <row r="1577" spans="2:8" x14ac:dyDescent="0.3">
      <c r="B1577" s="113">
        <v>41635</v>
      </c>
      <c r="C1577">
        <v>213.77</v>
      </c>
      <c r="D1577">
        <f t="shared" si="51"/>
        <v>7.5748094665062178</v>
      </c>
      <c r="E1577">
        <v>6.8767368470632941E-3</v>
      </c>
      <c r="G1577">
        <v>1575</v>
      </c>
      <c r="H1577">
        <f t="shared" ca="1" si="52"/>
        <v>-1.5078703510159689E-2</v>
      </c>
    </row>
    <row r="1578" spans="2:8" x14ac:dyDescent="0.3">
      <c r="B1578" s="113">
        <v>38296</v>
      </c>
      <c r="C1578">
        <v>24.93</v>
      </c>
      <c r="D1578">
        <f t="shared" si="51"/>
        <v>-0.57594829052559959</v>
      </c>
      <c r="E1578">
        <v>6.8659127625201192E-3</v>
      </c>
      <c r="G1578">
        <v>1576</v>
      </c>
      <c r="H1578">
        <f t="shared" ca="1" si="52"/>
        <v>5.6816252331626464E-3</v>
      </c>
    </row>
    <row r="1579" spans="2:8" x14ac:dyDescent="0.3">
      <c r="B1579" s="113">
        <v>39377</v>
      </c>
      <c r="C1579">
        <v>58.79</v>
      </c>
      <c r="D1579">
        <f t="shared" si="51"/>
        <v>-0.7260484622553588</v>
      </c>
      <c r="E1579">
        <v>6.8504880972769062E-3</v>
      </c>
      <c r="G1579">
        <v>1577</v>
      </c>
      <c r="H1579">
        <f t="shared" ca="1" si="52"/>
        <v>-5.6645692276773192E-3</v>
      </c>
    </row>
    <row r="1580" spans="2:8" x14ac:dyDescent="0.3">
      <c r="B1580" s="113">
        <v>42362</v>
      </c>
      <c r="C1580">
        <v>214.6</v>
      </c>
      <c r="D1580">
        <f t="shared" si="51"/>
        <v>0.64029656806542823</v>
      </c>
      <c r="E1580">
        <v>6.8499577742329367E-3</v>
      </c>
      <c r="G1580">
        <v>1578</v>
      </c>
      <c r="H1580">
        <f t="shared" ca="1" si="52"/>
        <v>1.170593789961342E-2</v>
      </c>
    </row>
    <row r="1581" spans="2:8" x14ac:dyDescent="0.3">
      <c r="B1581" s="113">
        <v>40890</v>
      </c>
      <c r="C1581">
        <v>130.83000000000001</v>
      </c>
      <c r="D1581">
        <f t="shared" si="51"/>
        <v>-0.46396525586921777</v>
      </c>
      <c r="E1581">
        <v>6.8493150684932648E-3</v>
      </c>
      <c r="G1581">
        <v>1579</v>
      </c>
      <c r="H1581">
        <f t="shared" ca="1" si="52"/>
        <v>2.5839586256063939E-2</v>
      </c>
    </row>
    <row r="1582" spans="2:8" x14ac:dyDescent="0.3">
      <c r="B1582" s="113">
        <v>41774</v>
      </c>
      <c r="C1582">
        <v>244.07</v>
      </c>
      <c r="D1582">
        <f t="shared" si="51"/>
        <v>-0.19155349453461407</v>
      </c>
      <c r="E1582">
        <v>6.8479023142609492E-3</v>
      </c>
      <c r="G1582">
        <v>1580</v>
      </c>
      <c r="H1582">
        <f t="shared" ca="1" si="52"/>
        <v>-2.9389394498255902E-3</v>
      </c>
    </row>
    <row r="1583" spans="2:8" x14ac:dyDescent="0.3">
      <c r="B1583" s="113">
        <v>42901</v>
      </c>
      <c r="C1583">
        <v>301.89999999999998</v>
      </c>
      <c r="D1583">
        <f t="shared" si="51"/>
        <v>0.11389883038777998</v>
      </c>
      <c r="E1583">
        <v>6.8367517091877748E-3</v>
      </c>
      <c r="G1583">
        <v>1581</v>
      </c>
      <c r="H1583">
        <f t="shared" ca="1" si="52"/>
        <v>-4.8328265011193007E-3</v>
      </c>
    </row>
    <row r="1584" spans="2:8" x14ac:dyDescent="0.3">
      <c r="B1584" s="113">
        <v>44706</v>
      </c>
      <c r="C1584">
        <v>271.02999999999997</v>
      </c>
      <c r="D1584">
        <f t="shared" si="51"/>
        <v>2.9137906137184113</v>
      </c>
      <c r="E1584">
        <v>6.8353207771461606E-3</v>
      </c>
      <c r="G1584">
        <v>1582</v>
      </c>
      <c r="H1584">
        <f t="shared" ca="1" si="52"/>
        <v>3.0325760050765042E-2</v>
      </c>
    </row>
    <row r="1585" spans="2:8" x14ac:dyDescent="0.3">
      <c r="B1585" s="113">
        <v>38840</v>
      </c>
      <c r="C1585">
        <v>69.25</v>
      </c>
      <c r="D1585">
        <f t="shared" si="51"/>
        <v>-0.70631891433418148</v>
      </c>
      <c r="E1585">
        <v>6.8333817970340051E-3</v>
      </c>
      <c r="G1585">
        <v>1583</v>
      </c>
      <c r="H1585">
        <f t="shared" ca="1" si="52"/>
        <v>4.0450152526763879E-2</v>
      </c>
    </row>
    <row r="1586" spans="2:8" x14ac:dyDescent="0.3">
      <c r="B1586" s="113">
        <v>43839</v>
      </c>
      <c r="C1586">
        <v>235.8</v>
      </c>
      <c r="D1586">
        <f t="shared" si="51"/>
        <v>13.537607891491987</v>
      </c>
      <c r="E1586">
        <v>6.8317677198976206E-3</v>
      </c>
      <c r="G1586">
        <v>1584</v>
      </c>
      <c r="H1586">
        <f t="shared" ca="1" si="52"/>
        <v>2.2443706752174237E-2</v>
      </c>
    </row>
    <row r="1587" spans="2:8" x14ac:dyDescent="0.3">
      <c r="B1587" s="113">
        <v>37791</v>
      </c>
      <c r="C1587">
        <v>16.22</v>
      </c>
      <c r="D1587">
        <f t="shared" si="51"/>
        <v>-0.71810914146680571</v>
      </c>
      <c r="E1587">
        <v>6.8280571073866814E-3</v>
      </c>
      <c r="G1587">
        <v>1585</v>
      </c>
      <c r="H1587">
        <f t="shared" ca="1" si="52"/>
        <v>2.0669620170863011E-2</v>
      </c>
    </row>
    <row r="1588" spans="2:8" x14ac:dyDescent="0.3">
      <c r="B1588" s="113">
        <v>39780</v>
      </c>
      <c r="C1588">
        <v>57.54</v>
      </c>
      <c r="D1588">
        <f t="shared" si="51"/>
        <v>-4.9082796232027749E-2</v>
      </c>
      <c r="E1588">
        <v>6.8241469816273069E-3</v>
      </c>
      <c r="G1588">
        <v>1586</v>
      </c>
      <c r="H1588">
        <f t="shared" ca="1" si="52"/>
        <v>-7.1472326064489205E-3</v>
      </c>
    </row>
    <row r="1589" spans="2:8" x14ac:dyDescent="0.3">
      <c r="B1589" s="113">
        <v>39850</v>
      </c>
      <c r="C1589">
        <v>60.51</v>
      </c>
      <c r="D1589">
        <f t="shared" si="51"/>
        <v>-0.50664492458214438</v>
      </c>
      <c r="E1589">
        <v>6.8219633943427055E-3</v>
      </c>
      <c r="G1589">
        <v>1587</v>
      </c>
      <c r="H1589">
        <f t="shared" ca="1" si="52"/>
        <v>8.33538613486943E-3</v>
      </c>
    </row>
    <row r="1590" spans="2:8" x14ac:dyDescent="0.3">
      <c r="B1590" s="113">
        <v>40644</v>
      </c>
      <c r="C1590">
        <v>122.65</v>
      </c>
      <c r="D1590">
        <f t="shared" si="51"/>
        <v>5.3813735691987521</v>
      </c>
      <c r="E1590">
        <v>6.813331144311382E-3</v>
      </c>
      <c r="G1590">
        <v>1588</v>
      </c>
      <c r="H1590">
        <f t="shared" ca="1" si="52"/>
        <v>2.5045567024125064E-2</v>
      </c>
    </row>
    <row r="1591" spans="2:8" x14ac:dyDescent="0.3">
      <c r="B1591" s="113">
        <v>37944</v>
      </c>
      <c r="C1591">
        <v>19.22</v>
      </c>
      <c r="D1591">
        <f t="shared" si="51"/>
        <v>-0.91039627039627036</v>
      </c>
      <c r="E1591">
        <v>6.809848088004139E-3</v>
      </c>
      <c r="G1591">
        <v>1589</v>
      </c>
      <c r="H1591">
        <f t="shared" ca="1" si="52"/>
        <v>-1.0572230396966547E-2</v>
      </c>
    </row>
    <row r="1592" spans="2:8" x14ac:dyDescent="0.3">
      <c r="B1592" s="113">
        <v>44183</v>
      </c>
      <c r="C1592">
        <v>214.5</v>
      </c>
      <c r="D1592">
        <f t="shared" si="51"/>
        <v>1.4489096928873157</v>
      </c>
      <c r="E1592">
        <v>6.8059141046702114E-3</v>
      </c>
      <c r="G1592">
        <v>1590</v>
      </c>
      <c r="H1592">
        <f t="shared" ca="1" si="52"/>
        <v>2.6211399624271646E-3</v>
      </c>
    </row>
    <row r="1593" spans="2:8" x14ac:dyDescent="0.3">
      <c r="B1593" s="113">
        <v>40290</v>
      </c>
      <c r="C1593">
        <v>87.59</v>
      </c>
      <c r="D1593">
        <f t="shared" si="51"/>
        <v>3.5196078431372553</v>
      </c>
      <c r="E1593">
        <v>6.7816091954023385E-3</v>
      </c>
      <c r="G1593">
        <v>1591</v>
      </c>
      <c r="H1593">
        <f t="shared" ca="1" si="52"/>
        <v>-1.4931649839834539E-2</v>
      </c>
    </row>
    <row r="1594" spans="2:8" x14ac:dyDescent="0.3">
      <c r="B1594" s="113">
        <v>38167</v>
      </c>
      <c r="C1594">
        <v>19.38</v>
      </c>
      <c r="D1594">
        <f t="shared" si="51"/>
        <v>-0.90456022850389051</v>
      </c>
      <c r="E1594">
        <v>6.7532467532467012E-3</v>
      </c>
      <c r="G1594">
        <v>1592</v>
      </c>
      <c r="H1594">
        <f t="shared" ca="1" si="52"/>
        <v>-3.8828846087409267E-3</v>
      </c>
    </row>
    <row r="1595" spans="2:8" x14ac:dyDescent="0.3">
      <c r="B1595" s="113">
        <v>41352</v>
      </c>
      <c r="C1595">
        <v>203.06</v>
      </c>
      <c r="D1595">
        <f t="shared" si="51"/>
        <v>0.45991803867999137</v>
      </c>
      <c r="E1595">
        <v>6.7426871591473167E-3</v>
      </c>
      <c r="G1595">
        <v>1593</v>
      </c>
      <c r="H1595">
        <f t="shared" ca="1" si="52"/>
        <v>-2.7069909111721385E-2</v>
      </c>
    </row>
    <row r="1596" spans="2:8" x14ac:dyDescent="0.3">
      <c r="B1596" s="113">
        <v>40926</v>
      </c>
      <c r="C1596">
        <v>139.09</v>
      </c>
      <c r="D1596">
        <f t="shared" si="51"/>
        <v>6.1255122950819674</v>
      </c>
      <c r="E1596">
        <v>6.7313259988419716E-3</v>
      </c>
      <c r="G1596">
        <v>1594</v>
      </c>
      <c r="H1596">
        <f t="shared" ca="1" si="52"/>
        <v>1.1956007931216896E-2</v>
      </c>
    </row>
    <row r="1597" spans="2:8" x14ac:dyDescent="0.3">
      <c r="B1597" s="113">
        <v>38153</v>
      </c>
      <c r="C1597">
        <v>19.52</v>
      </c>
      <c r="D1597">
        <f t="shared" si="51"/>
        <v>-0.90372379778051781</v>
      </c>
      <c r="E1597">
        <v>6.7044868488911292E-3</v>
      </c>
      <c r="G1597">
        <v>1595</v>
      </c>
      <c r="H1597">
        <f t="shared" ca="1" si="52"/>
        <v>2.7717166288227795E-3</v>
      </c>
    </row>
    <row r="1598" spans="2:8" x14ac:dyDescent="0.3">
      <c r="B1598" s="113">
        <v>44322</v>
      </c>
      <c r="C1598">
        <v>202.75</v>
      </c>
      <c r="D1598">
        <f t="shared" si="51"/>
        <v>1.4540062938755749</v>
      </c>
      <c r="E1598">
        <v>6.7030784508440629E-3</v>
      </c>
      <c r="G1598">
        <v>1596</v>
      </c>
      <c r="H1598">
        <f t="shared" ca="1" si="52"/>
        <v>-9.3851656111573842E-3</v>
      </c>
    </row>
    <row r="1599" spans="2:8" x14ac:dyDescent="0.3">
      <c r="B1599" s="113">
        <v>40232</v>
      </c>
      <c r="C1599">
        <v>82.62</v>
      </c>
      <c r="D1599">
        <f t="shared" si="51"/>
        <v>0.52773668639053273</v>
      </c>
      <c r="E1599">
        <v>6.7015961983673865E-3</v>
      </c>
      <c r="G1599">
        <v>1597</v>
      </c>
      <c r="H1599">
        <f t="shared" ca="1" si="52"/>
        <v>9.2313973665664184E-3</v>
      </c>
    </row>
    <row r="1600" spans="2:8" x14ac:dyDescent="0.3">
      <c r="B1600" s="113">
        <v>39092</v>
      </c>
      <c r="C1600">
        <v>54.08</v>
      </c>
      <c r="D1600">
        <f t="shared" si="51"/>
        <v>-0.72344668882638719</v>
      </c>
      <c r="E1600">
        <v>6.7014147431124242E-3</v>
      </c>
      <c r="G1600">
        <v>1598</v>
      </c>
      <c r="H1600">
        <f t="shared" ca="1" si="52"/>
        <v>-5.5606887358233513E-3</v>
      </c>
    </row>
    <row r="1601" spans="2:8" x14ac:dyDescent="0.3">
      <c r="B1601" s="113">
        <v>44071</v>
      </c>
      <c r="C1601">
        <v>195.55</v>
      </c>
      <c r="D1601">
        <f t="shared" si="51"/>
        <v>4.1801324503311266</v>
      </c>
      <c r="E1601">
        <v>6.6924066924067506E-3</v>
      </c>
      <c r="G1601">
        <v>1599</v>
      </c>
      <c r="H1601">
        <f t="shared" ca="1" si="52"/>
        <v>9.5401634266776697E-3</v>
      </c>
    </row>
    <row r="1602" spans="2:8" x14ac:dyDescent="0.3">
      <c r="B1602" s="113">
        <v>38589</v>
      </c>
      <c r="C1602">
        <v>37.75</v>
      </c>
      <c r="D1602">
        <f t="shared" si="51"/>
        <v>-0.82885251847486063</v>
      </c>
      <c r="E1602">
        <v>6.6666666666666671E-3</v>
      </c>
      <c r="G1602">
        <v>1600</v>
      </c>
      <c r="H1602">
        <f t="shared" ca="1" si="52"/>
        <v>-3.4983476729805152E-3</v>
      </c>
    </row>
    <row r="1603" spans="2:8" x14ac:dyDescent="0.3">
      <c r="B1603" s="113">
        <v>42508</v>
      </c>
      <c r="C1603">
        <v>220.57</v>
      </c>
      <c r="D1603">
        <f t="shared" ref="D1603:D1666" si="53">(C1603-C1604)/C1604</f>
        <v>2.7053455019556725E-2</v>
      </c>
      <c r="E1603">
        <v>6.663319793710828E-3</v>
      </c>
      <c r="G1603">
        <v>1601</v>
      </c>
      <c r="H1603">
        <f t="shared" ca="1" si="52"/>
        <v>-8.658030788935912E-3</v>
      </c>
    </row>
    <row r="1604" spans="2:8" x14ac:dyDescent="0.3">
      <c r="B1604" s="113">
        <v>42405</v>
      </c>
      <c r="C1604">
        <v>214.76</v>
      </c>
      <c r="D1604">
        <f t="shared" si="53"/>
        <v>9.1814946619217103E-2</v>
      </c>
      <c r="E1604">
        <v>6.6560419986874822E-3</v>
      </c>
      <c r="G1604">
        <v>1602</v>
      </c>
      <c r="H1604">
        <f t="shared" ref="H1604:H1667" ca="1" si="54">_xlfn.NORM.INV(RAND(),$L$4,$L$6)</f>
        <v>-2.0417715582852616E-2</v>
      </c>
    </row>
    <row r="1605" spans="2:8" x14ac:dyDescent="0.3">
      <c r="B1605" s="113">
        <v>44041</v>
      </c>
      <c r="C1605">
        <v>196.7</v>
      </c>
      <c r="D1605">
        <f t="shared" si="53"/>
        <v>2.2453390529615569</v>
      </c>
      <c r="E1605">
        <v>6.6530194472875278E-3</v>
      </c>
      <c r="G1605">
        <v>1603</v>
      </c>
      <c r="H1605">
        <f t="shared" ca="1" si="54"/>
        <v>1.1752700592539543E-2</v>
      </c>
    </row>
    <row r="1606" spans="2:8" x14ac:dyDescent="0.3">
      <c r="B1606" s="113">
        <v>38973</v>
      </c>
      <c r="C1606">
        <v>60.61</v>
      </c>
      <c r="D1606">
        <f t="shared" si="53"/>
        <v>-0.55610077632928079</v>
      </c>
      <c r="E1606">
        <v>6.6434147151635701E-3</v>
      </c>
      <c r="G1606">
        <v>1604</v>
      </c>
      <c r="H1606">
        <f t="shared" ca="1" si="54"/>
        <v>2.0918248328343884E-2</v>
      </c>
    </row>
    <row r="1607" spans="2:8" x14ac:dyDescent="0.3">
      <c r="B1607" s="113">
        <v>40932</v>
      </c>
      <c r="C1607">
        <v>136.54</v>
      </c>
      <c r="D1607">
        <f t="shared" si="53"/>
        <v>1.1424760709242117</v>
      </c>
      <c r="E1607">
        <v>6.6352108522560139E-3</v>
      </c>
      <c r="G1607">
        <v>1605</v>
      </c>
      <c r="H1607">
        <f t="shared" ca="1" si="54"/>
        <v>-5.1439091852465415E-3</v>
      </c>
    </row>
    <row r="1608" spans="2:8" x14ac:dyDescent="0.3">
      <c r="B1608" s="113">
        <v>39518</v>
      </c>
      <c r="C1608">
        <v>63.73</v>
      </c>
      <c r="D1608">
        <f t="shared" si="53"/>
        <v>-0.70030566658829063</v>
      </c>
      <c r="E1608">
        <v>6.6340230611276986E-3</v>
      </c>
      <c r="G1608">
        <v>1606</v>
      </c>
      <c r="H1608">
        <f t="shared" ca="1" si="54"/>
        <v>-7.6662715377861009E-3</v>
      </c>
    </row>
    <row r="1609" spans="2:8" x14ac:dyDescent="0.3">
      <c r="B1609" s="113">
        <v>44448</v>
      </c>
      <c r="C1609">
        <v>212.65</v>
      </c>
      <c r="D1609">
        <f t="shared" si="53"/>
        <v>-0.27470241140557317</v>
      </c>
      <c r="E1609">
        <v>6.6272189349112698E-3</v>
      </c>
      <c r="G1609">
        <v>1607</v>
      </c>
      <c r="H1609">
        <f t="shared" ca="1" si="54"/>
        <v>3.4151963097293209E-2</v>
      </c>
    </row>
    <row r="1610" spans="2:8" x14ac:dyDescent="0.3">
      <c r="B1610" s="113">
        <v>44753</v>
      </c>
      <c r="C1610">
        <v>293.19</v>
      </c>
      <c r="D1610">
        <f t="shared" si="53"/>
        <v>0.26883628337733156</v>
      </c>
      <c r="E1610">
        <v>6.6263819268008199E-3</v>
      </c>
      <c r="G1610">
        <v>1608</v>
      </c>
      <c r="H1610">
        <f t="shared" ca="1" si="54"/>
        <v>3.3474887058276198E-2</v>
      </c>
    </row>
    <row r="1611" spans="2:8" x14ac:dyDescent="0.3">
      <c r="B1611" s="113">
        <v>41859</v>
      </c>
      <c r="C1611">
        <v>231.07</v>
      </c>
      <c r="D1611">
        <f t="shared" si="53"/>
        <v>0.8968149729108521</v>
      </c>
      <c r="E1611">
        <v>6.6216510564146448E-3</v>
      </c>
      <c r="G1611">
        <v>1609</v>
      </c>
      <c r="H1611">
        <f t="shared" ca="1" si="54"/>
        <v>1.7448906647835175E-2</v>
      </c>
    </row>
    <row r="1612" spans="2:8" x14ac:dyDescent="0.3">
      <c r="B1612" s="113">
        <v>40641</v>
      </c>
      <c r="C1612">
        <v>121.82</v>
      </c>
      <c r="D1612">
        <f t="shared" si="53"/>
        <v>-0.56778428241972689</v>
      </c>
      <c r="E1612">
        <v>6.6104776070070826E-3</v>
      </c>
      <c r="G1612">
        <v>1610</v>
      </c>
      <c r="H1612">
        <f t="shared" ca="1" si="54"/>
        <v>-5.0703170211681076E-3</v>
      </c>
    </row>
    <row r="1613" spans="2:8" x14ac:dyDescent="0.3">
      <c r="B1613" s="113">
        <v>42965</v>
      </c>
      <c r="C1613">
        <v>281.85000000000002</v>
      </c>
      <c r="D1613">
        <f t="shared" si="53"/>
        <v>1.0528040786598689</v>
      </c>
      <c r="E1613">
        <v>6.6071428571429381E-3</v>
      </c>
      <c r="G1613">
        <v>1611</v>
      </c>
      <c r="H1613">
        <f t="shared" ca="1" si="54"/>
        <v>3.5542814131576159E-2</v>
      </c>
    </row>
    <row r="1614" spans="2:8" x14ac:dyDescent="0.3">
      <c r="B1614" s="113">
        <v>40745</v>
      </c>
      <c r="C1614">
        <v>137.30000000000001</v>
      </c>
      <c r="D1614">
        <f t="shared" si="53"/>
        <v>1.5615671641791047</v>
      </c>
      <c r="E1614">
        <v>6.5982404692082521E-3</v>
      </c>
      <c r="G1614">
        <v>1612</v>
      </c>
      <c r="H1614">
        <f t="shared" ca="1" si="54"/>
        <v>1.4693023957734875E-2</v>
      </c>
    </row>
    <row r="1615" spans="2:8" x14ac:dyDescent="0.3">
      <c r="B1615" s="113">
        <v>39737</v>
      </c>
      <c r="C1615">
        <v>53.6</v>
      </c>
      <c r="D1615">
        <f t="shared" si="53"/>
        <v>-0.78167006109979631</v>
      </c>
      <c r="E1615">
        <v>6.5727699530516697E-3</v>
      </c>
      <c r="G1615">
        <v>1613</v>
      </c>
      <c r="H1615">
        <f t="shared" ca="1" si="54"/>
        <v>-1.1453858856510913E-2</v>
      </c>
    </row>
    <row r="1616" spans="2:8" x14ac:dyDescent="0.3">
      <c r="B1616" s="113">
        <v>43717</v>
      </c>
      <c r="C1616">
        <v>245.5</v>
      </c>
      <c r="D1616">
        <f t="shared" si="53"/>
        <v>9.6600086843247936</v>
      </c>
      <c r="E1616">
        <v>6.5600656006559828E-3</v>
      </c>
      <c r="G1616">
        <v>1614</v>
      </c>
      <c r="H1616">
        <f t="shared" ca="1" si="54"/>
        <v>-4.59009719506098E-3</v>
      </c>
    </row>
    <row r="1617" spans="2:8" x14ac:dyDescent="0.3">
      <c r="B1617" s="113">
        <v>38237</v>
      </c>
      <c r="C1617">
        <v>23.03</v>
      </c>
      <c r="D1617">
        <f t="shared" si="53"/>
        <v>-0.92113013698630142</v>
      </c>
      <c r="E1617">
        <v>6.5559440559441497E-3</v>
      </c>
      <c r="G1617">
        <v>1615</v>
      </c>
      <c r="H1617">
        <f t="shared" ca="1" si="54"/>
        <v>-4.2266905554592255E-3</v>
      </c>
    </row>
    <row r="1618" spans="2:8" x14ac:dyDescent="0.3">
      <c r="B1618" s="113">
        <v>43532</v>
      </c>
      <c r="C1618">
        <v>292</v>
      </c>
      <c r="D1618">
        <f t="shared" si="53"/>
        <v>0.22201297342540285</v>
      </c>
      <c r="E1618">
        <v>6.5494657014821683E-3</v>
      </c>
      <c r="G1618">
        <v>1616</v>
      </c>
      <c r="H1618">
        <f t="shared" ca="1" si="54"/>
        <v>2.2355194909943806E-3</v>
      </c>
    </row>
    <row r="1619" spans="2:8" x14ac:dyDescent="0.3">
      <c r="B1619" s="113">
        <v>42650</v>
      </c>
      <c r="C1619">
        <v>238.95</v>
      </c>
      <c r="D1619">
        <f t="shared" si="53"/>
        <v>3.4266394961096704</v>
      </c>
      <c r="E1619">
        <v>6.5290648694186302E-3</v>
      </c>
      <c r="G1619">
        <v>1617</v>
      </c>
      <c r="H1619">
        <f t="shared" ca="1" si="54"/>
        <v>-7.2570520000231724E-3</v>
      </c>
    </row>
    <row r="1620" spans="2:8" x14ac:dyDescent="0.3">
      <c r="B1620" s="113">
        <v>38768</v>
      </c>
      <c r="C1620">
        <v>53.98</v>
      </c>
      <c r="D1620">
        <f t="shared" si="53"/>
        <v>2.8862491000719936</v>
      </c>
      <c r="E1620">
        <v>6.526198023494207E-3</v>
      </c>
      <c r="G1620">
        <v>1618</v>
      </c>
      <c r="H1620">
        <f t="shared" ca="1" si="54"/>
        <v>-2.2759343151244241E-2</v>
      </c>
    </row>
    <row r="1621" spans="2:8" x14ac:dyDescent="0.3">
      <c r="B1621" s="113">
        <v>37581</v>
      </c>
      <c r="C1621">
        <v>13.89</v>
      </c>
      <c r="D1621">
        <f t="shared" si="53"/>
        <v>-0.93388547765243457</v>
      </c>
      <c r="E1621">
        <v>6.5217391304347718E-3</v>
      </c>
      <c r="G1621">
        <v>1619</v>
      </c>
      <c r="H1621">
        <f t="shared" ca="1" si="54"/>
        <v>2.4647884666775012E-3</v>
      </c>
    </row>
    <row r="1622" spans="2:8" x14ac:dyDescent="0.3">
      <c r="B1622" s="113">
        <v>42235</v>
      </c>
      <c r="C1622">
        <v>210.09</v>
      </c>
      <c r="D1622">
        <f t="shared" si="53"/>
        <v>2.4840796019900502</v>
      </c>
      <c r="E1622">
        <v>6.5155943084368026E-3</v>
      </c>
      <c r="G1622">
        <v>1620</v>
      </c>
      <c r="H1622">
        <f t="shared" ca="1" si="54"/>
        <v>1.4086039007401532E-2</v>
      </c>
    </row>
    <row r="1623" spans="2:8" x14ac:dyDescent="0.3">
      <c r="B1623" s="113">
        <v>38951</v>
      </c>
      <c r="C1623">
        <v>60.3</v>
      </c>
      <c r="D1623">
        <f t="shared" si="53"/>
        <v>3.3256814921090387</v>
      </c>
      <c r="E1623">
        <v>6.5097646469704654E-3</v>
      </c>
      <c r="G1623">
        <v>1621</v>
      </c>
      <c r="H1623">
        <f t="shared" ca="1" si="54"/>
        <v>-2.455103657496583E-2</v>
      </c>
    </row>
    <row r="1624" spans="2:8" x14ac:dyDescent="0.3">
      <c r="B1624" s="113">
        <v>37708</v>
      </c>
      <c r="C1624">
        <v>13.94</v>
      </c>
      <c r="D1624">
        <f t="shared" si="53"/>
        <v>-0.75049221406837308</v>
      </c>
      <c r="E1624">
        <v>6.4981949458483654E-3</v>
      </c>
      <c r="G1624">
        <v>1622</v>
      </c>
      <c r="H1624">
        <f t="shared" ca="1" si="54"/>
        <v>1.070571257273885E-2</v>
      </c>
    </row>
    <row r="1625" spans="2:8" x14ac:dyDescent="0.3">
      <c r="B1625" s="113">
        <v>39323</v>
      </c>
      <c r="C1625">
        <v>55.87</v>
      </c>
      <c r="D1625">
        <f t="shared" si="53"/>
        <v>-0.80007156915369471</v>
      </c>
      <c r="E1625">
        <v>6.4853179607277864E-3</v>
      </c>
      <c r="G1625">
        <v>1623</v>
      </c>
      <c r="H1625">
        <f t="shared" ca="1" si="54"/>
        <v>1.5161895683059507E-3</v>
      </c>
    </row>
    <row r="1626" spans="2:8" x14ac:dyDescent="0.3">
      <c r="B1626" s="113">
        <v>43651</v>
      </c>
      <c r="C1626">
        <v>279.45</v>
      </c>
      <c r="D1626">
        <f t="shared" si="53"/>
        <v>0.12364294330518698</v>
      </c>
      <c r="E1626">
        <v>6.4829821717990689E-3</v>
      </c>
      <c r="G1626">
        <v>1624</v>
      </c>
      <c r="H1626">
        <f t="shared" ca="1" si="54"/>
        <v>-8.652301145599197E-3</v>
      </c>
    </row>
    <row r="1627" spans="2:8" x14ac:dyDescent="0.3">
      <c r="B1627" s="113">
        <v>42565</v>
      </c>
      <c r="C1627">
        <v>248.7</v>
      </c>
      <c r="D1627">
        <f t="shared" si="53"/>
        <v>1.1911894273127752</v>
      </c>
      <c r="E1627">
        <v>6.4751112909752911E-3</v>
      </c>
      <c r="G1627">
        <v>1625</v>
      </c>
      <c r="H1627">
        <f t="shared" ca="1" si="54"/>
        <v>-2.5658973422098136E-2</v>
      </c>
    </row>
    <row r="1628" spans="2:8" x14ac:dyDescent="0.3">
      <c r="B1628" s="113">
        <v>40618</v>
      </c>
      <c r="C1628">
        <v>113.5</v>
      </c>
      <c r="D1628">
        <f t="shared" si="53"/>
        <v>-0.44763480630718316</v>
      </c>
      <c r="E1628">
        <v>6.4733528420679613E-3</v>
      </c>
      <c r="G1628">
        <v>1626</v>
      </c>
      <c r="H1628">
        <f t="shared" ca="1" si="54"/>
        <v>-1.3411573165977296E-2</v>
      </c>
    </row>
    <row r="1629" spans="2:8" x14ac:dyDescent="0.3">
      <c r="B1629" s="113">
        <v>42184</v>
      </c>
      <c r="C1629">
        <v>205.48</v>
      </c>
      <c r="D1629">
        <f t="shared" si="53"/>
        <v>-9.9257974366387322E-3</v>
      </c>
      <c r="E1629">
        <v>6.4655172413792773E-3</v>
      </c>
      <c r="G1629">
        <v>1627</v>
      </c>
      <c r="H1629">
        <f t="shared" ca="1" si="54"/>
        <v>1.4035624659371295E-2</v>
      </c>
    </row>
    <row r="1630" spans="2:8" x14ac:dyDescent="0.3">
      <c r="B1630" s="113">
        <v>41617</v>
      </c>
      <c r="C1630">
        <v>207.54</v>
      </c>
      <c r="D1630">
        <f t="shared" si="53"/>
        <v>-0.24365889212827985</v>
      </c>
      <c r="E1630">
        <v>6.4497357063187238E-3</v>
      </c>
      <c r="G1630">
        <v>1628</v>
      </c>
      <c r="H1630">
        <f t="shared" ca="1" si="54"/>
        <v>1.9883735897490491E-2</v>
      </c>
    </row>
    <row r="1631" spans="2:8" x14ac:dyDescent="0.3">
      <c r="B1631" s="113">
        <v>43290</v>
      </c>
      <c r="C1631">
        <v>274.39999999999998</v>
      </c>
      <c r="D1631">
        <f t="shared" si="53"/>
        <v>18.405940594059405</v>
      </c>
      <c r="E1631">
        <v>6.4184852374839542E-3</v>
      </c>
      <c r="G1631">
        <v>1629</v>
      </c>
      <c r="H1631">
        <f t="shared" ca="1" si="54"/>
        <v>3.3302534575459009E-2</v>
      </c>
    </row>
    <row r="1632" spans="2:8" x14ac:dyDescent="0.3">
      <c r="B1632" s="113">
        <v>37670</v>
      </c>
      <c r="C1632">
        <v>14.14</v>
      </c>
      <c r="D1632">
        <f t="shared" si="53"/>
        <v>-0.68984426409300281</v>
      </c>
      <c r="E1632">
        <v>6.4056939501779256E-3</v>
      </c>
      <c r="G1632">
        <v>1630</v>
      </c>
      <c r="H1632">
        <f t="shared" ca="1" si="54"/>
        <v>1.0013796958568178E-2</v>
      </c>
    </row>
    <row r="1633" spans="2:8" x14ac:dyDescent="0.3">
      <c r="B1633" s="113">
        <v>38618</v>
      </c>
      <c r="C1633">
        <v>45.59</v>
      </c>
      <c r="D1633">
        <f t="shared" si="53"/>
        <v>-0.45368484122228875</v>
      </c>
      <c r="E1633">
        <v>6.4017660044151494E-3</v>
      </c>
      <c r="G1633">
        <v>1631</v>
      </c>
      <c r="H1633">
        <f t="shared" ca="1" si="54"/>
        <v>-3.0042102381705297E-2</v>
      </c>
    </row>
    <row r="1634" spans="2:8" x14ac:dyDescent="0.3">
      <c r="B1634" s="113">
        <v>40226</v>
      </c>
      <c r="C1634">
        <v>83.45</v>
      </c>
      <c r="D1634">
        <f t="shared" si="53"/>
        <v>-0.72897044494965901</v>
      </c>
      <c r="E1634">
        <v>6.391702846116753E-3</v>
      </c>
      <c r="G1634">
        <v>1632</v>
      </c>
      <c r="H1634">
        <f t="shared" ca="1" si="54"/>
        <v>-9.2796834511361167E-3</v>
      </c>
    </row>
    <row r="1635" spans="2:8" x14ac:dyDescent="0.3">
      <c r="B1635" s="113">
        <v>43326</v>
      </c>
      <c r="C1635">
        <v>307.89999999999998</v>
      </c>
      <c r="D1635">
        <f t="shared" si="53"/>
        <v>0.96590473758140705</v>
      </c>
      <c r="E1635">
        <v>6.3735904559568185E-3</v>
      </c>
      <c r="G1635">
        <v>1633</v>
      </c>
      <c r="H1635">
        <f t="shared" ca="1" si="54"/>
        <v>9.0294270189459833E-3</v>
      </c>
    </row>
    <row r="1636" spans="2:8" x14ac:dyDescent="0.3">
      <c r="B1636" s="113">
        <v>41012</v>
      </c>
      <c r="C1636">
        <v>156.62</v>
      </c>
      <c r="D1636">
        <f t="shared" si="53"/>
        <v>1.5363562753036437</v>
      </c>
      <c r="E1636">
        <v>6.3612414058986646E-3</v>
      </c>
      <c r="G1636">
        <v>1634</v>
      </c>
      <c r="H1636">
        <f t="shared" ca="1" si="54"/>
        <v>-8.396218252691422E-3</v>
      </c>
    </row>
    <row r="1637" spans="2:8" x14ac:dyDescent="0.3">
      <c r="B1637" s="113">
        <v>39899</v>
      </c>
      <c r="C1637">
        <v>61.75</v>
      </c>
      <c r="D1637">
        <f t="shared" si="53"/>
        <v>-0.70009713453132594</v>
      </c>
      <c r="E1637">
        <v>6.3559322033898396E-3</v>
      </c>
      <c r="G1637">
        <v>1635</v>
      </c>
      <c r="H1637">
        <f t="shared" ca="1" si="54"/>
        <v>2.8353201528941328E-3</v>
      </c>
    </row>
    <row r="1638" spans="2:8" x14ac:dyDescent="0.3">
      <c r="B1638" s="113">
        <v>44435</v>
      </c>
      <c r="C1638">
        <v>205.9</v>
      </c>
      <c r="D1638">
        <f t="shared" si="53"/>
        <v>-4.4237107180986869E-2</v>
      </c>
      <c r="E1638">
        <v>6.3538611925709259E-3</v>
      </c>
      <c r="G1638">
        <v>1636</v>
      </c>
      <c r="H1638">
        <f t="shared" ca="1" si="54"/>
        <v>-1.5189942133056708E-2</v>
      </c>
    </row>
    <row r="1639" spans="2:8" x14ac:dyDescent="0.3">
      <c r="B1639" s="113">
        <v>42489</v>
      </c>
      <c r="C1639">
        <v>215.43</v>
      </c>
      <c r="D1639">
        <f t="shared" si="53"/>
        <v>-0.17680550248375998</v>
      </c>
      <c r="E1639">
        <v>6.3530620824964433E-3</v>
      </c>
      <c r="G1639">
        <v>1637</v>
      </c>
      <c r="H1639">
        <f t="shared" ca="1" si="54"/>
        <v>-3.23427738372917E-2</v>
      </c>
    </row>
    <row r="1640" spans="2:8" x14ac:dyDescent="0.3">
      <c r="B1640" s="113">
        <v>43049</v>
      </c>
      <c r="C1640">
        <v>261.7</v>
      </c>
      <c r="D1640">
        <f t="shared" si="53"/>
        <v>3.4590219798943602</v>
      </c>
      <c r="E1640">
        <v>6.344933666602489E-3</v>
      </c>
      <c r="G1640">
        <v>1638</v>
      </c>
      <c r="H1640">
        <f t="shared" ca="1" si="54"/>
        <v>3.3697419965347079E-3</v>
      </c>
    </row>
    <row r="1641" spans="2:8" x14ac:dyDescent="0.3">
      <c r="B1641" s="113">
        <v>38896</v>
      </c>
      <c r="C1641">
        <v>58.69</v>
      </c>
      <c r="D1641">
        <f t="shared" si="53"/>
        <v>-0.47320707297370074</v>
      </c>
      <c r="E1641">
        <v>6.3443072702331522E-3</v>
      </c>
      <c r="G1641">
        <v>1639</v>
      </c>
      <c r="H1641">
        <f t="shared" ca="1" si="54"/>
        <v>1.6781621958976293E-3</v>
      </c>
    </row>
    <row r="1642" spans="2:8" x14ac:dyDescent="0.3">
      <c r="B1642" s="113">
        <v>40528</v>
      </c>
      <c r="C1642">
        <v>111.41</v>
      </c>
      <c r="D1642">
        <f t="shared" si="53"/>
        <v>-0.41700680272108842</v>
      </c>
      <c r="E1642">
        <v>6.3228253996929175E-3</v>
      </c>
      <c r="G1642">
        <v>1640</v>
      </c>
      <c r="H1642">
        <f t="shared" ca="1" si="54"/>
        <v>2.6518057300962763E-2</v>
      </c>
    </row>
    <row r="1643" spans="2:8" x14ac:dyDescent="0.3">
      <c r="B1643" s="113">
        <v>41199</v>
      </c>
      <c r="C1643">
        <v>191.1</v>
      </c>
      <c r="D1643">
        <f t="shared" si="53"/>
        <v>-0.17877094972067037</v>
      </c>
      <c r="E1643">
        <v>6.3191153238546004E-3</v>
      </c>
      <c r="G1643">
        <v>1641</v>
      </c>
      <c r="H1643">
        <f t="shared" ca="1" si="54"/>
        <v>-2.4272855850850593E-3</v>
      </c>
    </row>
    <row r="1644" spans="2:8" x14ac:dyDescent="0.3">
      <c r="B1644" s="113">
        <v>42296</v>
      </c>
      <c r="C1644">
        <v>232.7</v>
      </c>
      <c r="D1644">
        <f t="shared" si="53"/>
        <v>-8.8344760039177322E-2</v>
      </c>
      <c r="E1644">
        <v>6.3137865421206514E-3</v>
      </c>
      <c r="G1644">
        <v>1642</v>
      </c>
      <c r="H1644">
        <f t="shared" ca="1" si="54"/>
        <v>2.0961818036613161E-2</v>
      </c>
    </row>
    <row r="1645" spans="2:8" x14ac:dyDescent="0.3">
      <c r="B1645" s="113">
        <v>42635</v>
      </c>
      <c r="C1645">
        <v>255.25</v>
      </c>
      <c r="D1645">
        <f t="shared" si="53"/>
        <v>3.4383585463397672</v>
      </c>
      <c r="E1645">
        <v>6.3079045929430094E-3</v>
      </c>
      <c r="G1645">
        <v>1643</v>
      </c>
      <c r="H1645">
        <f t="shared" ca="1" si="54"/>
        <v>-1.8083338800024048E-2</v>
      </c>
    </row>
    <row r="1646" spans="2:8" x14ac:dyDescent="0.3">
      <c r="B1646" s="113">
        <v>39797</v>
      </c>
      <c r="C1646">
        <v>57.51</v>
      </c>
      <c r="D1646">
        <f t="shared" si="53"/>
        <v>-0.75910023876345667</v>
      </c>
      <c r="E1646">
        <v>6.2992125984251872E-3</v>
      </c>
      <c r="G1646">
        <v>1644</v>
      </c>
      <c r="H1646">
        <f t="shared" ca="1" si="54"/>
        <v>6.0564738061607499E-3</v>
      </c>
    </row>
    <row r="1647" spans="2:8" x14ac:dyDescent="0.3">
      <c r="B1647" s="113">
        <v>42017</v>
      </c>
      <c r="C1647">
        <v>238.73</v>
      </c>
      <c r="D1647">
        <f t="shared" si="53"/>
        <v>2.6795698924731139E-2</v>
      </c>
      <c r="E1647">
        <v>6.2805597706962592E-3</v>
      </c>
      <c r="G1647">
        <v>1645</v>
      </c>
      <c r="H1647">
        <f t="shared" ca="1" si="54"/>
        <v>-5.4607000448900532E-3</v>
      </c>
    </row>
    <row r="1648" spans="2:8" x14ac:dyDescent="0.3">
      <c r="B1648" s="113">
        <v>42704</v>
      </c>
      <c r="C1648">
        <v>232.5</v>
      </c>
      <c r="D1648">
        <f t="shared" si="53"/>
        <v>3.8206510470661419</v>
      </c>
      <c r="E1648">
        <v>6.2756979008872045E-3</v>
      </c>
      <c r="G1648">
        <v>1646</v>
      </c>
      <c r="H1648">
        <f t="shared" ca="1" si="54"/>
        <v>-3.0340060732067495E-2</v>
      </c>
    </row>
    <row r="1649" spans="2:8" x14ac:dyDescent="0.3">
      <c r="B1649" s="113">
        <v>38730</v>
      </c>
      <c r="C1649">
        <v>48.23</v>
      </c>
      <c r="D1649">
        <f t="shared" si="53"/>
        <v>-0.82897163120567374</v>
      </c>
      <c r="E1649">
        <v>6.2591278948465924E-3</v>
      </c>
      <c r="G1649">
        <v>1647</v>
      </c>
      <c r="H1649">
        <f t="shared" ca="1" si="54"/>
        <v>2.3579809098981733E-2</v>
      </c>
    </row>
    <row r="1650" spans="2:8" x14ac:dyDescent="0.3">
      <c r="B1650" s="113">
        <v>42977</v>
      </c>
      <c r="C1650">
        <v>282</v>
      </c>
      <c r="D1650">
        <f t="shared" si="53"/>
        <v>2.1724603442456969</v>
      </c>
      <c r="E1650">
        <v>6.2444246208742194E-3</v>
      </c>
      <c r="G1650">
        <v>1648</v>
      </c>
      <c r="H1650">
        <f t="shared" ca="1" si="54"/>
        <v>5.6158220814667816E-3</v>
      </c>
    </row>
    <row r="1651" spans="2:8" x14ac:dyDescent="0.3">
      <c r="B1651" s="113">
        <v>40312</v>
      </c>
      <c r="C1651">
        <v>88.89</v>
      </c>
      <c r="D1651">
        <f t="shared" si="53"/>
        <v>-0.27755201560468146</v>
      </c>
      <c r="E1651">
        <v>6.2259452116821051E-3</v>
      </c>
      <c r="G1651">
        <v>1649</v>
      </c>
      <c r="H1651">
        <f t="shared" ca="1" si="54"/>
        <v>3.3189404789963066E-2</v>
      </c>
    </row>
    <row r="1652" spans="2:8" x14ac:dyDescent="0.3">
      <c r="B1652" s="113">
        <v>40673</v>
      </c>
      <c r="C1652">
        <v>123.04</v>
      </c>
      <c r="D1652">
        <f t="shared" si="53"/>
        <v>7.4158686730506158</v>
      </c>
      <c r="E1652">
        <v>6.2152437029768162E-3</v>
      </c>
      <c r="G1652">
        <v>1650</v>
      </c>
      <c r="H1652">
        <f t="shared" ca="1" si="54"/>
        <v>6.056912315297861E-3</v>
      </c>
    </row>
    <row r="1653" spans="2:8" x14ac:dyDescent="0.3">
      <c r="B1653" s="113">
        <v>37719</v>
      </c>
      <c r="C1653">
        <v>14.62</v>
      </c>
      <c r="D1653">
        <f t="shared" si="53"/>
        <v>-0.9338551327874044</v>
      </c>
      <c r="E1653">
        <v>6.1940812112869833E-3</v>
      </c>
      <c r="G1653">
        <v>1651</v>
      </c>
      <c r="H1653">
        <f t="shared" ca="1" si="54"/>
        <v>-9.830976694607375E-3</v>
      </c>
    </row>
    <row r="1654" spans="2:8" x14ac:dyDescent="0.3">
      <c r="B1654" s="113">
        <v>41824</v>
      </c>
      <c r="C1654">
        <v>221.03</v>
      </c>
      <c r="D1654">
        <f t="shared" si="53"/>
        <v>8.5342499386201795E-2</v>
      </c>
      <c r="E1654">
        <v>6.1911048390768594E-3</v>
      </c>
      <c r="G1654">
        <v>1652</v>
      </c>
      <c r="H1654">
        <f t="shared" ca="1" si="54"/>
        <v>-1.7043489092807312E-2</v>
      </c>
    </row>
    <row r="1655" spans="2:8" x14ac:dyDescent="0.3">
      <c r="B1655" s="113">
        <v>44382</v>
      </c>
      <c r="C1655">
        <v>203.65</v>
      </c>
      <c r="D1655">
        <f t="shared" si="53"/>
        <v>-4.90797546012242E-4</v>
      </c>
      <c r="E1655">
        <v>6.175889328063241E-3</v>
      </c>
      <c r="G1655">
        <v>1653</v>
      </c>
      <c r="H1655">
        <f t="shared" ca="1" si="54"/>
        <v>5.8169536706525506E-3</v>
      </c>
    </row>
    <row r="1656" spans="2:8" x14ac:dyDescent="0.3">
      <c r="B1656" s="113">
        <v>44384</v>
      </c>
      <c r="C1656">
        <v>203.75</v>
      </c>
      <c r="D1656">
        <f t="shared" si="53"/>
        <v>2.285230570783618</v>
      </c>
      <c r="E1656">
        <v>6.1728395061728392E-3</v>
      </c>
      <c r="G1656">
        <v>1654</v>
      </c>
      <c r="H1656">
        <f t="shared" ca="1" si="54"/>
        <v>-3.5550223157989609E-3</v>
      </c>
    </row>
    <row r="1657" spans="2:8" x14ac:dyDescent="0.3">
      <c r="B1657" s="113">
        <v>39414</v>
      </c>
      <c r="C1657">
        <v>62.02</v>
      </c>
      <c r="D1657">
        <f t="shared" si="53"/>
        <v>3.2161794697484702</v>
      </c>
      <c r="E1657">
        <v>6.164828033744363E-3</v>
      </c>
      <c r="G1657">
        <v>1655</v>
      </c>
      <c r="H1657">
        <f t="shared" ca="1" si="54"/>
        <v>1.737970998075139E-2</v>
      </c>
    </row>
    <row r="1658" spans="2:8" x14ac:dyDescent="0.3">
      <c r="B1658" s="113">
        <v>37617</v>
      </c>
      <c r="C1658">
        <v>14.71</v>
      </c>
      <c r="D1658">
        <f t="shared" si="53"/>
        <v>-0.93838227286055376</v>
      </c>
      <c r="E1658">
        <v>6.1559507523940927E-3</v>
      </c>
      <c r="G1658">
        <v>1656</v>
      </c>
      <c r="H1658">
        <f t="shared" ca="1" si="54"/>
        <v>2.7535174348601539E-2</v>
      </c>
    </row>
    <row r="1659" spans="2:8" x14ac:dyDescent="0.3">
      <c r="B1659" s="113">
        <v>42020</v>
      </c>
      <c r="C1659">
        <v>238.73</v>
      </c>
      <c r="D1659">
        <f t="shared" si="53"/>
        <v>13.592298288508559</v>
      </c>
      <c r="E1659">
        <v>6.1533274328822839E-3</v>
      </c>
      <c r="G1659">
        <v>1657</v>
      </c>
      <c r="H1659">
        <f t="shared" ca="1" si="54"/>
        <v>3.3143666060186441E-2</v>
      </c>
    </row>
    <row r="1660" spans="2:8" x14ac:dyDescent="0.3">
      <c r="B1660" s="113">
        <v>37830</v>
      </c>
      <c r="C1660">
        <v>16.36</v>
      </c>
      <c r="D1660">
        <f t="shared" si="53"/>
        <v>-0.75662005355548945</v>
      </c>
      <c r="E1660">
        <v>6.1500615006148743E-3</v>
      </c>
      <c r="G1660">
        <v>1658</v>
      </c>
      <c r="H1660">
        <f t="shared" ca="1" si="54"/>
        <v>2.8561362088458012E-2</v>
      </c>
    </row>
    <row r="1661" spans="2:8" x14ac:dyDescent="0.3">
      <c r="B1661" s="113">
        <v>38834</v>
      </c>
      <c r="C1661">
        <v>67.22</v>
      </c>
      <c r="D1661">
        <f t="shared" si="53"/>
        <v>-0.76639443961772369</v>
      </c>
      <c r="E1661">
        <v>6.1368058673850704E-3</v>
      </c>
      <c r="G1661">
        <v>1659</v>
      </c>
      <c r="H1661">
        <f t="shared" ca="1" si="54"/>
        <v>-4.645051813722146E-3</v>
      </c>
    </row>
    <row r="1662" spans="2:8" x14ac:dyDescent="0.3">
      <c r="B1662" s="113">
        <v>43397</v>
      </c>
      <c r="C1662">
        <v>287.75</v>
      </c>
      <c r="D1662">
        <f t="shared" si="53"/>
        <v>5.8566015524408703E-2</v>
      </c>
      <c r="E1662">
        <v>6.118881118881119E-3</v>
      </c>
      <c r="G1662">
        <v>1660</v>
      </c>
      <c r="H1662">
        <f t="shared" ca="1" si="54"/>
        <v>4.1575858894718053E-3</v>
      </c>
    </row>
    <row r="1663" spans="2:8" x14ac:dyDescent="0.3">
      <c r="B1663" s="113">
        <v>44714</v>
      </c>
      <c r="C1663">
        <v>271.83</v>
      </c>
      <c r="D1663">
        <f t="shared" si="53"/>
        <v>17.292732166890982</v>
      </c>
      <c r="E1663">
        <v>6.1070397512768418E-3</v>
      </c>
      <c r="G1663">
        <v>1661</v>
      </c>
      <c r="H1663">
        <f t="shared" ca="1" si="54"/>
        <v>-1.2232904686459094E-2</v>
      </c>
    </row>
    <row r="1664" spans="2:8" x14ac:dyDescent="0.3">
      <c r="B1664" s="113">
        <v>37756</v>
      </c>
      <c r="C1664">
        <v>14.86</v>
      </c>
      <c r="D1664">
        <f t="shared" si="53"/>
        <v>-0.3572664359861592</v>
      </c>
      <c r="E1664">
        <v>6.0934326337169845E-3</v>
      </c>
      <c r="G1664">
        <v>1662</v>
      </c>
      <c r="H1664">
        <f t="shared" ca="1" si="54"/>
        <v>-2.444798427936052E-2</v>
      </c>
    </row>
    <row r="1665" spans="2:8" x14ac:dyDescent="0.3">
      <c r="B1665" s="113">
        <v>38210</v>
      </c>
      <c r="C1665">
        <v>23.12</v>
      </c>
      <c r="D1665">
        <f t="shared" si="53"/>
        <v>-0.89475121773569444</v>
      </c>
      <c r="E1665">
        <v>6.0922541340296156E-3</v>
      </c>
      <c r="G1665">
        <v>1663</v>
      </c>
      <c r="H1665">
        <f t="shared" ca="1" si="54"/>
        <v>1.6308445449026557E-2</v>
      </c>
    </row>
    <row r="1666" spans="2:8" x14ac:dyDescent="0.3">
      <c r="B1666" s="113">
        <v>41823</v>
      </c>
      <c r="C1666">
        <v>219.67</v>
      </c>
      <c r="D1666">
        <f t="shared" si="53"/>
        <v>1.603959222380275</v>
      </c>
      <c r="E1666">
        <v>6.0914170559676836E-3</v>
      </c>
      <c r="G1666">
        <v>1664</v>
      </c>
      <c r="H1666">
        <f t="shared" ca="1" si="54"/>
        <v>-2.4400756691881992E-2</v>
      </c>
    </row>
    <row r="1667" spans="2:8" x14ac:dyDescent="0.3">
      <c r="B1667" s="113">
        <v>40130</v>
      </c>
      <c r="C1667">
        <v>84.36</v>
      </c>
      <c r="D1667">
        <f t="shared" ref="D1667:D1730" si="55">(C1667-C1668)/C1668</f>
        <v>1.4283246977547495</v>
      </c>
      <c r="E1667">
        <v>6.0822898032200975E-3</v>
      </c>
      <c r="G1667">
        <v>1665</v>
      </c>
      <c r="H1667">
        <f t="shared" ca="1" si="54"/>
        <v>-1.5066346033374317E-2</v>
      </c>
    </row>
    <row r="1668" spans="2:8" x14ac:dyDescent="0.3">
      <c r="B1668" s="113">
        <v>38516</v>
      </c>
      <c r="C1668">
        <v>34.74</v>
      </c>
      <c r="D1668">
        <f t="shared" si="55"/>
        <v>-0.69709652105676168</v>
      </c>
      <c r="E1668">
        <v>6.0816681146829091E-3</v>
      </c>
      <c r="G1668">
        <v>1666</v>
      </c>
      <c r="H1668">
        <f t="shared" ref="H1668:H1731" ca="1" si="56">_xlfn.NORM.INV(RAND(),$L$4,$L$6)</f>
        <v>-4.4832094071055324E-2</v>
      </c>
    </row>
    <row r="1669" spans="2:8" x14ac:dyDescent="0.3">
      <c r="B1669" s="113">
        <v>40626</v>
      </c>
      <c r="C1669">
        <v>114.69</v>
      </c>
      <c r="D1669">
        <f t="shared" si="55"/>
        <v>-0.4484731906708343</v>
      </c>
      <c r="E1669">
        <v>6.0526315789473486E-3</v>
      </c>
      <c r="G1669">
        <v>1667</v>
      </c>
      <c r="H1669">
        <f t="shared" ca="1" si="56"/>
        <v>7.1929849029675919E-4</v>
      </c>
    </row>
    <row r="1670" spans="2:8" x14ac:dyDescent="0.3">
      <c r="B1670" s="113">
        <v>44302</v>
      </c>
      <c r="C1670">
        <v>207.95</v>
      </c>
      <c r="D1670">
        <f t="shared" si="55"/>
        <v>8.6752025084922885E-2</v>
      </c>
      <c r="E1670">
        <v>6.0474117077890669E-3</v>
      </c>
      <c r="G1670">
        <v>1668</v>
      </c>
      <c r="H1670">
        <f t="shared" ca="1" si="56"/>
        <v>-2.4600072395375618E-2</v>
      </c>
    </row>
    <row r="1671" spans="2:8" x14ac:dyDescent="0.3">
      <c r="B1671" s="113">
        <v>44076</v>
      </c>
      <c r="C1671">
        <v>191.35</v>
      </c>
      <c r="D1671">
        <f t="shared" si="55"/>
        <v>0.57205060795267826</v>
      </c>
      <c r="E1671">
        <v>6.0462670872765811E-3</v>
      </c>
      <c r="G1671">
        <v>1669</v>
      </c>
      <c r="H1671">
        <f t="shared" ca="1" si="56"/>
        <v>1.2676023332229714E-2</v>
      </c>
    </row>
    <row r="1672" spans="2:8" x14ac:dyDescent="0.3">
      <c r="B1672" s="113">
        <v>40669</v>
      </c>
      <c r="C1672">
        <v>121.72</v>
      </c>
      <c r="D1672">
        <f t="shared" si="55"/>
        <v>-0.55762311466472825</v>
      </c>
      <c r="E1672">
        <v>6.0335564922721213E-3</v>
      </c>
      <c r="G1672">
        <v>1670</v>
      </c>
      <c r="H1672">
        <f t="shared" ca="1" si="56"/>
        <v>-2.0872994932669931E-3</v>
      </c>
    </row>
    <row r="1673" spans="2:8" x14ac:dyDescent="0.3">
      <c r="B1673" s="113">
        <v>43138</v>
      </c>
      <c r="C1673">
        <v>275.14999999999998</v>
      </c>
      <c r="D1673">
        <f t="shared" si="55"/>
        <v>3.0524344569288306E-2</v>
      </c>
      <c r="E1673">
        <v>6.0329067641681066E-3</v>
      </c>
      <c r="G1673">
        <v>1671</v>
      </c>
      <c r="H1673">
        <f t="shared" ca="1" si="56"/>
        <v>-3.1233471643968111E-3</v>
      </c>
    </row>
    <row r="1674" spans="2:8" x14ac:dyDescent="0.3">
      <c r="B1674" s="113">
        <v>43020</v>
      </c>
      <c r="C1674">
        <v>267</v>
      </c>
      <c r="D1674">
        <f t="shared" si="55"/>
        <v>-4.1029466616934827E-3</v>
      </c>
      <c r="E1674">
        <v>6.028636021100312E-3</v>
      </c>
      <c r="G1674">
        <v>1672</v>
      </c>
      <c r="H1674">
        <f t="shared" ca="1" si="56"/>
        <v>-1.9493506849165187E-2</v>
      </c>
    </row>
    <row r="1675" spans="2:8" x14ac:dyDescent="0.3">
      <c r="B1675" s="113">
        <v>43146</v>
      </c>
      <c r="C1675">
        <v>268.10000000000002</v>
      </c>
      <c r="D1675">
        <f t="shared" si="55"/>
        <v>0.11619967525708824</v>
      </c>
      <c r="E1675">
        <v>6.0037523452158448E-3</v>
      </c>
      <c r="G1675">
        <v>1673</v>
      </c>
      <c r="H1675">
        <f t="shared" ca="1" si="56"/>
        <v>2.8308960604002911E-2</v>
      </c>
    </row>
    <row r="1676" spans="2:8" x14ac:dyDescent="0.3">
      <c r="B1676" s="113">
        <v>42032</v>
      </c>
      <c r="C1676">
        <v>240.19</v>
      </c>
      <c r="D1676">
        <f t="shared" si="55"/>
        <v>-2.0951371621897096E-2</v>
      </c>
      <c r="E1676">
        <v>5.9892779360027097E-3</v>
      </c>
      <c r="G1676">
        <v>1674</v>
      </c>
      <c r="H1676">
        <f t="shared" ca="1" si="56"/>
        <v>-1.8616076289702368E-2</v>
      </c>
    </row>
    <row r="1677" spans="2:8" x14ac:dyDescent="0.3">
      <c r="B1677" s="113">
        <v>41963</v>
      </c>
      <c r="C1677">
        <v>245.33</v>
      </c>
      <c r="D1677">
        <f t="shared" si="55"/>
        <v>0.32682531097890755</v>
      </c>
      <c r="E1677">
        <v>5.986796243900471E-3</v>
      </c>
      <c r="G1677">
        <v>1675</v>
      </c>
      <c r="H1677">
        <f t="shared" ca="1" si="56"/>
        <v>-9.8316913868019863E-3</v>
      </c>
    </row>
    <row r="1678" spans="2:8" x14ac:dyDescent="0.3">
      <c r="B1678" s="113">
        <v>44084</v>
      </c>
      <c r="C1678">
        <v>184.9</v>
      </c>
      <c r="D1678">
        <f t="shared" si="55"/>
        <v>-0.21469526438734332</v>
      </c>
      <c r="E1678">
        <v>5.9847660500543754E-3</v>
      </c>
      <c r="G1678">
        <v>1676</v>
      </c>
      <c r="H1678">
        <f t="shared" ca="1" si="56"/>
        <v>-2.9594962542863093E-3</v>
      </c>
    </row>
    <row r="1679" spans="2:8" x14ac:dyDescent="0.3">
      <c r="B1679" s="113">
        <v>42732</v>
      </c>
      <c r="C1679">
        <v>235.45</v>
      </c>
      <c r="D1679">
        <f t="shared" si="55"/>
        <v>-0.19775801560530179</v>
      </c>
      <c r="E1679">
        <v>5.9816278572953525E-3</v>
      </c>
      <c r="G1679">
        <v>1677</v>
      </c>
      <c r="H1679">
        <f t="shared" ca="1" si="56"/>
        <v>-1.6518993365055475E-2</v>
      </c>
    </row>
    <row r="1680" spans="2:8" x14ac:dyDescent="0.3">
      <c r="B1680" s="113">
        <v>44760</v>
      </c>
      <c r="C1680">
        <v>293.49</v>
      </c>
      <c r="D1680">
        <f t="shared" si="55"/>
        <v>8.6597556460570102E-2</v>
      </c>
      <c r="E1680">
        <v>5.9640102827763809E-3</v>
      </c>
      <c r="G1680">
        <v>1678</v>
      </c>
      <c r="H1680">
        <f t="shared" ca="1" si="56"/>
        <v>5.6656091766584997E-3</v>
      </c>
    </row>
    <row r="1681" spans="2:8" x14ac:dyDescent="0.3">
      <c r="B1681" s="113">
        <v>43383</v>
      </c>
      <c r="C1681">
        <v>270.10000000000002</v>
      </c>
      <c r="D1681">
        <f t="shared" si="55"/>
        <v>3.101123595505618</v>
      </c>
      <c r="E1681">
        <v>5.9590316573557645E-3</v>
      </c>
      <c r="G1681">
        <v>1679</v>
      </c>
      <c r="H1681">
        <f t="shared" ca="1" si="56"/>
        <v>7.7044880641512631E-3</v>
      </c>
    </row>
    <row r="1682" spans="2:8" x14ac:dyDescent="0.3">
      <c r="B1682" s="113">
        <v>39980</v>
      </c>
      <c r="C1682">
        <v>65.86</v>
      </c>
      <c r="D1682">
        <f t="shared" si="55"/>
        <v>-0.75515818431911963</v>
      </c>
      <c r="E1682">
        <v>5.9569268367191171E-3</v>
      </c>
      <c r="G1682">
        <v>1680</v>
      </c>
      <c r="H1682">
        <f t="shared" ca="1" si="56"/>
        <v>1.8713318986329216E-2</v>
      </c>
    </row>
    <row r="1683" spans="2:8" x14ac:dyDescent="0.3">
      <c r="B1683" s="113">
        <v>44712</v>
      </c>
      <c r="C1683">
        <v>268.99</v>
      </c>
      <c r="D1683">
        <f t="shared" si="55"/>
        <v>9.5901574803149607</v>
      </c>
      <c r="E1683">
        <v>5.9461480927450712E-3</v>
      </c>
      <c r="G1683">
        <v>1681</v>
      </c>
      <c r="H1683">
        <f t="shared" ca="1" si="56"/>
        <v>1.1205597011466581E-2</v>
      </c>
    </row>
    <row r="1684" spans="2:8" x14ac:dyDescent="0.3">
      <c r="B1684" s="113">
        <v>38313</v>
      </c>
      <c r="C1684">
        <v>25.4</v>
      </c>
      <c r="D1684">
        <f t="shared" si="55"/>
        <v>-0.89439547646765338</v>
      </c>
      <c r="E1684">
        <v>5.9405940594058843E-3</v>
      </c>
      <c r="G1684">
        <v>1682</v>
      </c>
      <c r="H1684">
        <f t="shared" ca="1" si="56"/>
        <v>-1.6218397589164201E-3</v>
      </c>
    </row>
    <row r="1685" spans="2:8" x14ac:dyDescent="0.3">
      <c r="B1685" s="113">
        <v>41723</v>
      </c>
      <c r="C1685">
        <v>240.52</v>
      </c>
      <c r="D1685">
        <f t="shared" si="55"/>
        <v>0.12687406296851581</v>
      </c>
      <c r="E1685">
        <v>5.9389376829779E-3</v>
      </c>
      <c r="G1685">
        <v>1683</v>
      </c>
      <c r="H1685">
        <f t="shared" ca="1" si="56"/>
        <v>-6.0787625133778287E-3</v>
      </c>
    </row>
    <row r="1686" spans="2:8" x14ac:dyDescent="0.3">
      <c r="B1686" s="113">
        <v>41695</v>
      </c>
      <c r="C1686">
        <v>213.44</v>
      </c>
      <c r="D1686">
        <f t="shared" si="55"/>
        <v>5.9934469200524241</v>
      </c>
      <c r="E1686">
        <v>5.9383542275426096E-3</v>
      </c>
      <c r="G1686">
        <v>1684</v>
      </c>
      <c r="H1686">
        <f t="shared" ca="1" si="56"/>
        <v>8.2391100071463712E-3</v>
      </c>
    </row>
    <row r="1687" spans="2:8" x14ac:dyDescent="0.3">
      <c r="B1687" s="113">
        <v>38421</v>
      </c>
      <c r="C1687">
        <v>30.52</v>
      </c>
      <c r="D1687">
        <f t="shared" si="55"/>
        <v>-0.59203315064830908</v>
      </c>
      <c r="E1687">
        <v>5.932762030322997E-3</v>
      </c>
      <c r="G1687">
        <v>1685</v>
      </c>
      <c r="H1687">
        <f t="shared" ca="1" si="56"/>
        <v>3.4725422041308157E-2</v>
      </c>
    </row>
    <row r="1688" spans="2:8" x14ac:dyDescent="0.3">
      <c r="B1688" s="113">
        <v>40036</v>
      </c>
      <c r="C1688">
        <v>74.81</v>
      </c>
      <c r="D1688">
        <f t="shared" si="55"/>
        <v>-8.35477153007472E-2</v>
      </c>
      <c r="E1688">
        <v>5.9163641253193186E-3</v>
      </c>
      <c r="G1688">
        <v>1686</v>
      </c>
      <c r="H1688">
        <f t="shared" ca="1" si="56"/>
        <v>3.263878280777351E-3</v>
      </c>
    </row>
    <row r="1689" spans="2:8" x14ac:dyDescent="0.3">
      <c r="B1689" s="113">
        <v>40169</v>
      </c>
      <c r="C1689">
        <v>81.63</v>
      </c>
      <c r="D1689">
        <f t="shared" si="55"/>
        <v>2.4240771812080535</v>
      </c>
      <c r="E1689">
        <v>5.9149722735673408E-3</v>
      </c>
      <c r="G1689">
        <v>1687</v>
      </c>
      <c r="H1689">
        <f t="shared" ca="1" si="56"/>
        <v>1.1669409138681095E-2</v>
      </c>
    </row>
    <row r="1690" spans="2:8" x14ac:dyDescent="0.3">
      <c r="B1690" s="113">
        <v>38069</v>
      </c>
      <c r="C1690">
        <v>23.84</v>
      </c>
      <c r="D1690">
        <f t="shared" si="55"/>
        <v>-0.82302724370870761</v>
      </c>
      <c r="E1690">
        <v>5.9071729957806147E-3</v>
      </c>
      <c r="G1690">
        <v>1688</v>
      </c>
      <c r="H1690">
        <f t="shared" ca="1" si="56"/>
        <v>1.7719003906547088E-2</v>
      </c>
    </row>
    <row r="1691" spans="2:8" x14ac:dyDescent="0.3">
      <c r="B1691" s="113">
        <v>40778</v>
      </c>
      <c r="C1691">
        <v>134.71</v>
      </c>
      <c r="D1691">
        <f t="shared" si="55"/>
        <v>0.30837218337218353</v>
      </c>
      <c r="E1691">
        <v>5.8990442054959718E-3</v>
      </c>
      <c r="G1691">
        <v>1689</v>
      </c>
      <c r="H1691">
        <f t="shared" ca="1" si="56"/>
        <v>-1.5878407649461093E-2</v>
      </c>
    </row>
    <row r="1692" spans="2:8" x14ac:dyDescent="0.3">
      <c r="B1692" s="113">
        <v>40394</v>
      </c>
      <c r="C1692">
        <v>102.96</v>
      </c>
      <c r="D1692">
        <f t="shared" si="55"/>
        <v>-0.17809531412149759</v>
      </c>
      <c r="E1692">
        <v>5.8616647127783736E-3</v>
      </c>
      <c r="G1692">
        <v>1690</v>
      </c>
      <c r="H1692">
        <f t="shared" ca="1" si="56"/>
        <v>7.3432105510874528E-4</v>
      </c>
    </row>
    <row r="1693" spans="2:8" x14ac:dyDescent="0.3">
      <c r="B1693" s="113">
        <v>40681</v>
      </c>
      <c r="C1693">
        <v>125.27</v>
      </c>
      <c r="D1693">
        <f t="shared" si="55"/>
        <v>7.0923772609819116</v>
      </c>
      <c r="E1693">
        <v>5.8615705797333368E-3</v>
      </c>
      <c r="G1693">
        <v>1691</v>
      </c>
      <c r="H1693">
        <f t="shared" ca="1" si="56"/>
        <v>2.7402207161916509E-2</v>
      </c>
    </row>
    <row r="1694" spans="2:8" x14ac:dyDescent="0.3">
      <c r="B1694" s="113">
        <v>37452</v>
      </c>
      <c r="C1694">
        <v>15.48</v>
      </c>
      <c r="D1694">
        <f t="shared" si="55"/>
        <v>-0.94213084112149537</v>
      </c>
      <c r="E1694">
        <v>5.8479532163742591E-3</v>
      </c>
      <c r="G1694">
        <v>1692</v>
      </c>
      <c r="H1694">
        <f t="shared" ca="1" si="56"/>
        <v>3.9140771585836742E-3</v>
      </c>
    </row>
    <row r="1695" spans="2:8" x14ac:dyDescent="0.3">
      <c r="B1695" s="113">
        <v>43024</v>
      </c>
      <c r="C1695">
        <v>267.5</v>
      </c>
      <c r="D1695">
        <f t="shared" si="55"/>
        <v>0.16532345894140704</v>
      </c>
      <c r="E1695">
        <v>5.8281631885693233E-3</v>
      </c>
      <c r="G1695">
        <v>1693</v>
      </c>
      <c r="H1695">
        <f t="shared" ca="1" si="56"/>
        <v>1.0467821771311126E-2</v>
      </c>
    </row>
    <row r="1696" spans="2:8" x14ac:dyDescent="0.3">
      <c r="B1696" s="113">
        <v>42068</v>
      </c>
      <c r="C1696">
        <v>229.55</v>
      </c>
      <c r="D1696">
        <f t="shared" si="55"/>
        <v>7.3110065170166543</v>
      </c>
      <c r="E1696">
        <v>5.8277101042853935E-3</v>
      </c>
      <c r="G1696">
        <v>1694</v>
      </c>
      <c r="H1696">
        <f t="shared" ca="1" si="56"/>
        <v>4.2542229412403333E-3</v>
      </c>
    </row>
    <row r="1697" spans="2:8" x14ac:dyDescent="0.3">
      <c r="B1697" s="113">
        <v>38370</v>
      </c>
      <c r="C1697">
        <v>27.62</v>
      </c>
      <c r="D1697">
        <f t="shared" si="55"/>
        <v>-0.88980650309196085</v>
      </c>
      <c r="E1697">
        <v>5.8266569555717454E-3</v>
      </c>
      <c r="G1697">
        <v>1695</v>
      </c>
      <c r="H1697">
        <f t="shared" ca="1" si="56"/>
        <v>1.2251780055345119E-2</v>
      </c>
    </row>
    <row r="1698" spans="2:8" x14ac:dyDescent="0.3">
      <c r="B1698" s="113">
        <v>44651</v>
      </c>
      <c r="C1698">
        <v>250.65</v>
      </c>
      <c r="D1698">
        <f t="shared" si="55"/>
        <v>-9.5452905088415793E-2</v>
      </c>
      <c r="E1698">
        <v>5.8186195826645951E-3</v>
      </c>
      <c r="G1698">
        <v>1696</v>
      </c>
      <c r="H1698">
        <f t="shared" ca="1" si="56"/>
        <v>1.1274331852500402E-2</v>
      </c>
    </row>
    <row r="1699" spans="2:8" x14ac:dyDescent="0.3">
      <c r="B1699" s="113">
        <v>43507</v>
      </c>
      <c r="C1699">
        <v>277.10000000000002</v>
      </c>
      <c r="D1699">
        <f t="shared" si="55"/>
        <v>3.6894567608732443</v>
      </c>
      <c r="E1699">
        <v>5.8076225045372879E-3</v>
      </c>
      <c r="G1699">
        <v>1697</v>
      </c>
      <c r="H1699">
        <f t="shared" ca="1" si="56"/>
        <v>3.0089262026780765E-3</v>
      </c>
    </row>
    <row r="1700" spans="2:8" x14ac:dyDescent="0.3">
      <c r="B1700" s="113">
        <v>39106</v>
      </c>
      <c r="C1700">
        <v>59.09</v>
      </c>
      <c r="D1700">
        <f t="shared" si="55"/>
        <v>-0.78813194693438504</v>
      </c>
      <c r="E1700">
        <v>5.7872340425532496E-3</v>
      </c>
      <c r="G1700">
        <v>1698</v>
      </c>
      <c r="H1700">
        <f t="shared" ca="1" si="56"/>
        <v>2.938220719615578E-2</v>
      </c>
    </row>
    <row r="1701" spans="2:8" x14ac:dyDescent="0.3">
      <c r="B1701" s="113">
        <v>43489</v>
      </c>
      <c r="C1701">
        <v>278.89999999999998</v>
      </c>
      <c r="D1701">
        <f t="shared" si="55"/>
        <v>-5.9041835357624833E-2</v>
      </c>
      <c r="E1701">
        <v>5.7699242697438367E-3</v>
      </c>
      <c r="G1701">
        <v>1699</v>
      </c>
      <c r="H1701">
        <f t="shared" ca="1" si="56"/>
        <v>5.1080007546050687E-2</v>
      </c>
    </row>
    <row r="1702" spans="2:8" x14ac:dyDescent="0.3">
      <c r="B1702" s="113">
        <v>43566</v>
      </c>
      <c r="C1702">
        <v>296.39999999999998</v>
      </c>
      <c r="D1702">
        <f t="shared" si="55"/>
        <v>0.34745647133700042</v>
      </c>
      <c r="E1702">
        <v>5.7685782151339965E-3</v>
      </c>
      <c r="G1702">
        <v>1700</v>
      </c>
      <c r="H1702">
        <f t="shared" ca="1" si="56"/>
        <v>1.0432101573490636E-2</v>
      </c>
    </row>
    <row r="1703" spans="2:8" x14ac:dyDescent="0.3">
      <c r="B1703" s="113">
        <v>42221</v>
      </c>
      <c r="C1703">
        <v>219.97</v>
      </c>
      <c r="D1703">
        <f t="shared" si="55"/>
        <v>-7.6416005374312423E-2</v>
      </c>
      <c r="E1703">
        <v>5.761053449773631E-3</v>
      </c>
      <c r="G1703">
        <v>1701</v>
      </c>
      <c r="H1703">
        <f t="shared" ca="1" si="56"/>
        <v>6.9593741162717361E-3</v>
      </c>
    </row>
    <row r="1704" spans="2:8" x14ac:dyDescent="0.3">
      <c r="B1704" s="113">
        <v>41850</v>
      </c>
      <c r="C1704">
        <v>238.17</v>
      </c>
      <c r="D1704">
        <f t="shared" si="55"/>
        <v>-3.02524429967427E-2</v>
      </c>
      <c r="E1704">
        <v>5.7430007178750275E-3</v>
      </c>
      <c r="G1704">
        <v>1702</v>
      </c>
      <c r="H1704">
        <f t="shared" ca="1" si="56"/>
        <v>4.1027092913851143E-3</v>
      </c>
    </row>
    <row r="1705" spans="2:8" x14ac:dyDescent="0.3">
      <c r="B1705" s="113">
        <v>42551</v>
      </c>
      <c r="C1705">
        <v>245.6</v>
      </c>
      <c r="D1705">
        <f t="shared" si="55"/>
        <v>0.74742084667378139</v>
      </c>
      <c r="E1705">
        <v>5.7330057330057561E-3</v>
      </c>
      <c r="G1705">
        <v>1703</v>
      </c>
      <c r="H1705">
        <f t="shared" ca="1" si="56"/>
        <v>1.1934445289438399E-2</v>
      </c>
    </row>
    <row r="1706" spans="2:8" x14ac:dyDescent="0.3">
      <c r="B1706" s="113">
        <v>40856</v>
      </c>
      <c r="C1706">
        <v>140.55000000000001</v>
      </c>
      <c r="D1706">
        <f t="shared" si="55"/>
        <v>-0.39874229979466114</v>
      </c>
      <c r="E1706">
        <v>5.7245080500895268E-3</v>
      </c>
      <c r="G1706">
        <v>1704</v>
      </c>
      <c r="H1706">
        <f t="shared" ca="1" si="56"/>
        <v>-1.5512790482634666E-3</v>
      </c>
    </row>
    <row r="1707" spans="2:8" x14ac:dyDescent="0.3">
      <c r="B1707" s="113">
        <v>41470</v>
      </c>
      <c r="C1707">
        <v>233.76</v>
      </c>
      <c r="D1707">
        <f t="shared" si="55"/>
        <v>11.061919504643964</v>
      </c>
      <c r="E1707">
        <v>5.7221529062512757E-3</v>
      </c>
      <c r="G1707">
        <v>1705</v>
      </c>
      <c r="H1707">
        <f t="shared" ca="1" si="56"/>
        <v>8.6233708912959381E-3</v>
      </c>
    </row>
    <row r="1708" spans="2:8" x14ac:dyDescent="0.3">
      <c r="B1708" s="113">
        <v>37957</v>
      </c>
      <c r="C1708">
        <v>19.38</v>
      </c>
      <c r="D1708">
        <f t="shared" si="55"/>
        <v>-0.91273807915709848</v>
      </c>
      <c r="E1708">
        <v>5.7083549558899554E-3</v>
      </c>
      <c r="G1708">
        <v>1706</v>
      </c>
      <c r="H1708">
        <f t="shared" ca="1" si="56"/>
        <v>2.9730884965707471E-2</v>
      </c>
    </row>
    <row r="1709" spans="2:8" x14ac:dyDescent="0.3">
      <c r="B1709" s="113">
        <v>41578</v>
      </c>
      <c r="C1709">
        <v>222.09</v>
      </c>
      <c r="D1709">
        <f t="shared" si="55"/>
        <v>-6.7044738500315088E-2</v>
      </c>
      <c r="E1709">
        <v>5.7057465018339488E-3</v>
      </c>
      <c r="G1709">
        <v>1707</v>
      </c>
      <c r="H1709">
        <f t="shared" ca="1" si="56"/>
        <v>7.4692140227501178E-3</v>
      </c>
    </row>
    <row r="1710" spans="2:8" x14ac:dyDescent="0.3">
      <c r="B1710" s="113">
        <v>43728</v>
      </c>
      <c r="C1710">
        <v>238.05</v>
      </c>
      <c r="D1710">
        <f t="shared" si="55"/>
        <v>15.835219236209337</v>
      </c>
      <c r="E1710">
        <v>5.7034220532320356E-3</v>
      </c>
      <c r="G1710">
        <v>1708</v>
      </c>
      <c r="H1710">
        <f t="shared" ca="1" si="56"/>
        <v>-2.6788075684874685E-3</v>
      </c>
    </row>
    <row r="1711" spans="2:8" x14ac:dyDescent="0.3">
      <c r="B1711" s="113">
        <v>37673</v>
      </c>
      <c r="C1711">
        <v>14.14</v>
      </c>
      <c r="D1711">
        <f t="shared" si="55"/>
        <v>-0.93106474258970362</v>
      </c>
      <c r="E1711">
        <v>5.6899004267425366E-3</v>
      </c>
      <c r="G1711">
        <v>1709</v>
      </c>
      <c r="H1711">
        <f t="shared" ca="1" si="56"/>
        <v>-5.7993997208097081E-3</v>
      </c>
    </row>
    <row r="1712" spans="2:8" x14ac:dyDescent="0.3">
      <c r="B1712" s="113">
        <v>41306</v>
      </c>
      <c r="C1712">
        <v>205.12</v>
      </c>
      <c r="D1712">
        <f t="shared" si="55"/>
        <v>0.83782815159931912</v>
      </c>
      <c r="E1712">
        <v>5.6873896842517969E-3</v>
      </c>
      <c r="G1712">
        <v>1710</v>
      </c>
      <c r="H1712">
        <f t="shared" ca="1" si="56"/>
        <v>-6.1591039585038546E-4</v>
      </c>
    </row>
    <row r="1713" spans="2:8" x14ac:dyDescent="0.3">
      <c r="B1713" s="113">
        <v>40438</v>
      </c>
      <c r="C1713">
        <v>111.61</v>
      </c>
      <c r="D1713">
        <f t="shared" si="55"/>
        <v>-0.47084202541247866</v>
      </c>
      <c r="E1713">
        <v>5.6766985042349559E-3</v>
      </c>
      <c r="G1713">
        <v>1711</v>
      </c>
      <c r="H1713">
        <f t="shared" ca="1" si="56"/>
        <v>7.770986031297924E-3</v>
      </c>
    </row>
    <row r="1714" spans="2:8" x14ac:dyDescent="0.3">
      <c r="B1714" s="113">
        <v>42230</v>
      </c>
      <c r="C1714">
        <v>210.92</v>
      </c>
      <c r="D1714">
        <f t="shared" si="55"/>
        <v>3.9569917743830789</v>
      </c>
      <c r="E1714">
        <v>5.673961760358546E-3</v>
      </c>
      <c r="G1714">
        <v>1712</v>
      </c>
      <c r="H1714">
        <f t="shared" ca="1" si="56"/>
        <v>-3.8900097987374263E-3</v>
      </c>
    </row>
    <row r="1715" spans="2:8" x14ac:dyDescent="0.3">
      <c r="B1715" s="113">
        <v>38638</v>
      </c>
      <c r="C1715">
        <v>42.55</v>
      </c>
      <c r="D1715">
        <f t="shared" si="55"/>
        <v>0.4998237574903065</v>
      </c>
      <c r="E1715">
        <v>5.6724178681161631E-3</v>
      </c>
      <c r="G1715">
        <v>1713</v>
      </c>
      <c r="H1715">
        <f t="shared" ca="1" si="56"/>
        <v>-3.8310976085818946E-2</v>
      </c>
    </row>
    <row r="1716" spans="2:8" x14ac:dyDescent="0.3">
      <c r="B1716" s="113">
        <v>38434</v>
      </c>
      <c r="C1716">
        <v>28.37</v>
      </c>
      <c r="D1716">
        <f t="shared" si="55"/>
        <v>-0.89336590866378496</v>
      </c>
      <c r="E1716">
        <v>5.6717476072314834E-3</v>
      </c>
      <c r="G1716">
        <v>1714</v>
      </c>
      <c r="H1716">
        <f t="shared" ca="1" si="56"/>
        <v>-1.2910903627825864E-2</v>
      </c>
    </row>
    <row r="1717" spans="2:8" x14ac:dyDescent="0.3">
      <c r="B1717" s="113">
        <v>43270</v>
      </c>
      <c r="C1717">
        <v>266.05</v>
      </c>
      <c r="D1717">
        <f t="shared" si="55"/>
        <v>1.3803346157287288</v>
      </c>
      <c r="E1717">
        <v>5.6700056700056695E-3</v>
      </c>
      <c r="G1717">
        <v>1715</v>
      </c>
      <c r="H1717">
        <f t="shared" ca="1" si="56"/>
        <v>5.7543784425577848E-3</v>
      </c>
    </row>
    <row r="1718" spans="2:8" x14ac:dyDescent="0.3">
      <c r="B1718" s="113">
        <v>40511</v>
      </c>
      <c r="C1718">
        <v>111.77</v>
      </c>
      <c r="D1718">
        <f t="shared" si="55"/>
        <v>-0.45264446620959842</v>
      </c>
      <c r="E1718">
        <v>5.6685261831923286E-3</v>
      </c>
      <c r="G1718">
        <v>1716</v>
      </c>
      <c r="H1718">
        <f t="shared" ca="1" si="56"/>
        <v>2.6614576425770396E-2</v>
      </c>
    </row>
    <row r="1719" spans="2:8" x14ac:dyDescent="0.3">
      <c r="B1719" s="113">
        <v>44055</v>
      </c>
      <c r="C1719">
        <v>204.2</v>
      </c>
      <c r="D1719">
        <f t="shared" si="55"/>
        <v>7.8283614353653261</v>
      </c>
      <c r="E1719">
        <v>5.6636296478698705E-3</v>
      </c>
      <c r="G1719">
        <v>1717</v>
      </c>
      <c r="H1719">
        <f t="shared" ca="1" si="56"/>
        <v>-1.1785719855125739E-2</v>
      </c>
    </row>
    <row r="1720" spans="2:8" x14ac:dyDescent="0.3">
      <c r="B1720" s="113">
        <v>38230</v>
      </c>
      <c r="C1720">
        <v>23.13</v>
      </c>
      <c r="D1720">
        <f t="shared" si="55"/>
        <v>-0.90716435881998803</v>
      </c>
      <c r="E1720">
        <v>5.652173913043435E-3</v>
      </c>
      <c r="G1720">
        <v>1718</v>
      </c>
      <c r="H1720">
        <f t="shared" ca="1" si="56"/>
        <v>-6.5295810392358288E-4</v>
      </c>
    </row>
    <row r="1721" spans="2:8" x14ac:dyDescent="0.3">
      <c r="B1721" s="113">
        <v>43795</v>
      </c>
      <c r="C1721">
        <v>249.15</v>
      </c>
      <c r="D1721">
        <f t="shared" si="55"/>
        <v>16.44747899159664</v>
      </c>
      <c r="E1721">
        <v>5.6508577194753001E-3</v>
      </c>
      <c r="G1721">
        <v>1719</v>
      </c>
      <c r="H1721">
        <f t="shared" ca="1" si="56"/>
        <v>2.6974565118588437E-2</v>
      </c>
    </row>
    <row r="1722" spans="2:8" x14ac:dyDescent="0.3">
      <c r="B1722" s="113">
        <v>37649</v>
      </c>
      <c r="C1722">
        <v>14.28</v>
      </c>
      <c r="D1722">
        <f t="shared" si="55"/>
        <v>-0.84</v>
      </c>
      <c r="E1722">
        <v>5.633802816901414E-3</v>
      </c>
      <c r="G1722">
        <v>1720</v>
      </c>
      <c r="H1722">
        <f t="shared" ca="1" si="56"/>
        <v>-1.6552292129066067E-2</v>
      </c>
    </row>
    <row r="1723" spans="2:8" x14ac:dyDescent="0.3">
      <c r="B1723" s="113">
        <v>40277</v>
      </c>
      <c r="C1723">
        <v>89.25</v>
      </c>
      <c r="D1723">
        <f t="shared" si="55"/>
        <v>1.9397233201581028</v>
      </c>
      <c r="E1723">
        <v>5.6338028169014088E-3</v>
      </c>
      <c r="G1723">
        <v>1721</v>
      </c>
      <c r="H1723">
        <f t="shared" ca="1" si="56"/>
        <v>4.1673856583429288E-3</v>
      </c>
    </row>
    <row r="1724" spans="2:8" x14ac:dyDescent="0.3">
      <c r="B1724" s="113">
        <v>38419</v>
      </c>
      <c r="C1724">
        <v>30.36</v>
      </c>
      <c r="D1724">
        <f t="shared" si="55"/>
        <v>-0.89033772801155853</v>
      </c>
      <c r="E1724">
        <v>5.6310036435905314E-3</v>
      </c>
      <c r="G1724">
        <v>1722</v>
      </c>
      <c r="H1724">
        <f t="shared" ca="1" si="56"/>
        <v>4.2857966571270148E-3</v>
      </c>
    </row>
    <row r="1725" spans="2:8" x14ac:dyDescent="0.3">
      <c r="B1725" s="113">
        <v>43509</v>
      </c>
      <c r="C1725">
        <v>276.85000000000002</v>
      </c>
      <c r="D1725">
        <f t="shared" si="55"/>
        <v>3.2444527316800469E-2</v>
      </c>
      <c r="E1725">
        <v>5.6302215764620824E-3</v>
      </c>
      <c r="G1725">
        <v>1723</v>
      </c>
      <c r="H1725">
        <f t="shared" ca="1" si="56"/>
        <v>-7.6734478812009923E-3</v>
      </c>
    </row>
    <row r="1726" spans="2:8" x14ac:dyDescent="0.3">
      <c r="B1726" s="113">
        <v>42783</v>
      </c>
      <c r="C1726">
        <v>268.14999999999998</v>
      </c>
      <c r="D1726">
        <f t="shared" si="55"/>
        <v>-0.11293790730755249</v>
      </c>
      <c r="E1726">
        <v>5.6253515844740297E-3</v>
      </c>
      <c r="G1726">
        <v>1724</v>
      </c>
      <c r="H1726">
        <f t="shared" ca="1" si="56"/>
        <v>2.5977931398212178E-2</v>
      </c>
    </row>
    <row r="1727" spans="2:8" x14ac:dyDescent="0.3">
      <c r="B1727" s="113">
        <v>44769</v>
      </c>
      <c r="C1727">
        <v>302.29000000000002</v>
      </c>
      <c r="D1727">
        <f t="shared" si="55"/>
        <v>0.20578380534503404</v>
      </c>
      <c r="E1727">
        <v>5.6220891550232792E-3</v>
      </c>
      <c r="G1727">
        <v>1725</v>
      </c>
      <c r="H1727">
        <f t="shared" ca="1" si="56"/>
        <v>2.9962593850063821E-2</v>
      </c>
    </row>
    <row r="1728" spans="2:8" x14ac:dyDescent="0.3">
      <c r="B1728" s="113">
        <v>43789</v>
      </c>
      <c r="C1728">
        <v>250.7</v>
      </c>
      <c r="D1728">
        <f t="shared" si="55"/>
        <v>2.6721839753918268</v>
      </c>
      <c r="E1728">
        <v>5.6157240272762827E-3</v>
      </c>
      <c r="G1728">
        <v>1726</v>
      </c>
      <c r="H1728">
        <f t="shared" ca="1" si="56"/>
        <v>-1.6836986179835933E-2</v>
      </c>
    </row>
    <row r="1729" spans="2:8" x14ac:dyDescent="0.3">
      <c r="B1729" s="113">
        <v>39483</v>
      </c>
      <c r="C1729">
        <v>68.27</v>
      </c>
      <c r="D1729">
        <f t="shared" si="55"/>
        <v>0.8065625826938343</v>
      </c>
      <c r="E1729">
        <v>5.5972897333921847E-3</v>
      </c>
      <c r="G1729">
        <v>1727</v>
      </c>
      <c r="H1729">
        <f t="shared" ca="1" si="56"/>
        <v>3.110480968676441E-2</v>
      </c>
    </row>
    <row r="1730" spans="2:8" x14ac:dyDescent="0.3">
      <c r="B1730" s="113">
        <v>38581</v>
      </c>
      <c r="C1730">
        <v>37.79</v>
      </c>
      <c r="D1730">
        <f t="shared" si="55"/>
        <v>-0.3641258623590779</v>
      </c>
      <c r="E1730">
        <v>5.588078765300715E-3</v>
      </c>
      <c r="G1730">
        <v>1728</v>
      </c>
      <c r="H1730">
        <f t="shared" ca="1" si="56"/>
        <v>-2.5976359192900367E-2</v>
      </c>
    </row>
    <row r="1731" spans="2:8" x14ac:dyDescent="0.3">
      <c r="B1731" s="113">
        <v>39857</v>
      </c>
      <c r="C1731">
        <v>59.43</v>
      </c>
      <c r="D1731">
        <f t="shared" ref="D1731:D1794" si="57">(C1731-C1732)/C1732</f>
        <v>-0.80654296874999998</v>
      </c>
      <c r="E1731">
        <v>5.5837563451776361E-3</v>
      </c>
      <c r="G1731">
        <v>1729</v>
      </c>
      <c r="H1731">
        <f t="shared" ca="1" si="56"/>
        <v>-1.30945896882867E-2</v>
      </c>
    </row>
    <row r="1732" spans="2:8" x14ac:dyDescent="0.3">
      <c r="B1732" s="113">
        <v>43571</v>
      </c>
      <c r="C1732">
        <v>307.2</v>
      </c>
      <c r="D1732">
        <f t="shared" si="57"/>
        <v>4.1276915373059593</v>
      </c>
      <c r="E1732">
        <v>5.5646481178395699E-3</v>
      </c>
      <c r="G1732">
        <v>1730</v>
      </c>
      <c r="H1732">
        <f t="shared" ref="H1732:H1795" ca="1" si="58">_xlfn.NORM.INV(RAND(),$L$4,$L$6)</f>
        <v>-1.4838503864112784E-2</v>
      </c>
    </row>
    <row r="1733" spans="2:8" x14ac:dyDescent="0.3">
      <c r="B1733" s="113">
        <v>38950</v>
      </c>
      <c r="C1733">
        <v>59.91</v>
      </c>
      <c r="D1733">
        <f t="shared" si="57"/>
        <v>-1.6663889351774942E-3</v>
      </c>
      <c r="E1733">
        <v>5.5387713997985619E-3</v>
      </c>
      <c r="G1733">
        <v>1731</v>
      </c>
      <c r="H1733">
        <f t="shared" ca="1" si="58"/>
        <v>-2.5100952752834041E-2</v>
      </c>
    </row>
    <row r="1734" spans="2:8" x14ac:dyDescent="0.3">
      <c r="B1734" s="113">
        <v>39863</v>
      </c>
      <c r="C1734">
        <v>60.01</v>
      </c>
      <c r="D1734">
        <f t="shared" si="57"/>
        <v>-0.56596267901055985</v>
      </c>
      <c r="E1734">
        <v>5.5294906166219555E-3</v>
      </c>
      <c r="G1734">
        <v>1732</v>
      </c>
      <c r="H1734">
        <f t="shared" ca="1" si="58"/>
        <v>2.0642309864632485E-2</v>
      </c>
    </row>
    <row r="1735" spans="2:8" x14ac:dyDescent="0.3">
      <c r="B1735" s="113">
        <v>40961</v>
      </c>
      <c r="C1735">
        <v>138.26</v>
      </c>
      <c r="D1735">
        <f t="shared" si="57"/>
        <v>-0.39239727532410468</v>
      </c>
      <c r="E1735">
        <v>5.5272727272726611E-3</v>
      </c>
      <c r="G1735">
        <v>1733</v>
      </c>
      <c r="H1735">
        <f t="shared" ca="1" si="58"/>
        <v>2.4268811288523416E-3</v>
      </c>
    </row>
    <row r="1736" spans="2:8" x14ac:dyDescent="0.3">
      <c r="B1736" s="113">
        <v>42726</v>
      </c>
      <c r="C1736">
        <v>227.55</v>
      </c>
      <c r="D1736">
        <f t="shared" si="57"/>
        <v>7.1125964978346889E-2</v>
      </c>
      <c r="E1736">
        <v>5.5236411842686699E-3</v>
      </c>
      <c r="G1736">
        <v>1734</v>
      </c>
      <c r="H1736">
        <f t="shared" ca="1" si="58"/>
        <v>1.2578220810731016E-2</v>
      </c>
    </row>
    <row r="1737" spans="2:8" x14ac:dyDescent="0.3">
      <c r="B1737" s="113">
        <v>41585</v>
      </c>
      <c r="C1737">
        <v>212.44</v>
      </c>
      <c r="D1737">
        <f t="shared" si="57"/>
        <v>-0.108144416456759</v>
      </c>
      <c r="E1737">
        <v>5.4903445664520852E-3</v>
      </c>
      <c r="G1737">
        <v>1735</v>
      </c>
      <c r="H1737">
        <f t="shared" ca="1" si="58"/>
        <v>1.4827332197571525E-2</v>
      </c>
    </row>
    <row r="1738" spans="2:8" x14ac:dyDescent="0.3">
      <c r="B1738" s="113">
        <v>43829</v>
      </c>
      <c r="C1738">
        <v>238.2</v>
      </c>
      <c r="D1738">
        <f t="shared" si="57"/>
        <v>9.8272727272727263</v>
      </c>
      <c r="E1738">
        <v>5.4875474883916541E-3</v>
      </c>
      <c r="G1738">
        <v>1736</v>
      </c>
      <c r="H1738">
        <f t="shared" ca="1" si="58"/>
        <v>1.7975407492306059E-2</v>
      </c>
    </row>
    <row r="1739" spans="2:8" x14ac:dyDescent="0.3">
      <c r="B1739" s="113">
        <v>38026</v>
      </c>
      <c r="C1739">
        <v>22</v>
      </c>
      <c r="D1739">
        <f t="shared" si="57"/>
        <v>-0.89668451206912747</v>
      </c>
      <c r="E1739">
        <v>5.4844606946984004E-3</v>
      </c>
      <c r="G1739">
        <v>1737</v>
      </c>
      <c r="H1739">
        <f t="shared" ca="1" si="58"/>
        <v>3.2665858612687441E-3</v>
      </c>
    </row>
    <row r="1740" spans="2:8" x14ac:dyDescent="0.3">
      <c r="B1740" s="113">
        <v>42468</v>
      </c>
      <c r="C1740">
        <v>212.94</v>
      </c>
      <c r="D1740">
        <f t="shared" si="57"/>
        <v>2.740382926400843</v>
      </c>
      <c r="E1740">
        <v>5.4773821890641066E-3</v>
      </c>
      <c r="G1740">
        <v>1738</v>
      </c>
      <c r="H1740">
        <f t="shared" ca="1" si="58"/>
        <v>-3.3507585957536716E-2</v>
      </c>
    </row>
    <row r="1741" spans="2:8" x14ac:dyDescent="0.3">
      <c r="B1741" s="113">
        <v>38893</v>
      </c>
      <c r="C1741">
        <v>56.93</v>
      </c>
      <c r="D1741">
        <f t="shared" si="57"/>
        <v>0.40811278753400942</v>
      </c>
      <c r="E1741">
        <v>5.4750971388202452E-3</v>
      </c>
      <c r="G1741">
        <v>1739</v>
      </c>
      <c r="H1741">
        <f t="shared" ca="1" si="58"/>
        <v>-9.8267751817071054E-3</v>
      </c>
    </row>
    <row r="1742" spans="2:8" x14ac:dyDescent="0.3">
      <c r="B1742" s="113">
        <v>38604</v>
      </c>
      <c r="C1742">
        <v>40.43</v>
      </c>
      <c r="D1742">
        <f t="shared" si="57"/>
        <v>-0.54192159528665307</v>
      </c>
      <c r="E1742">
        <v>5.4712758020392651E-3</v>
      </c>
      <c r="G1742">
        <v>1740</v>
      </c>
      <c r="H1742">
        <f t="shared" ca="1" si="58"/>
        <v>1.8000116455884403E-2</v>
      </c>
    </row>
    <row r="1743" spans="2:8" x14ac:dyDescent="0.3">
      <c r="B1743" s="113">
        <v>40274</v>
      </c>
      <c r="C1743">
        <v>88.26</v>
      </c>
      <c r="D1743">
        <f t="shared" si="57"/>
        <v>-9.0559203079010971E-4</v>
      </c>
      <c r="E1743">
        <v>5.4682159945318295E-3</v>
      </c>
      <c r="G1743">
        <v>1741</v>
      </c>
      <c r="H1743">
        <f t="shared" ca="1" si="58"/>
        <v>1.8272392036950153E-2</v>
      </c>
    </row>
    <row r="1744" spans="2:8" x14ac:dyDescent="0.3">
      <c r="B1744" s="113">
        <v>40311</v>
      </c>
      <c r="C1744">
        <v>88.34</v>
      </c>
      <c r="D1744">
        <f t="shared" si="57"/>
        <v>4.2482888836440982E-2</v>
      </c>
      <c r="E1744">
        <v>5.4632369679035279E-3</v>
      </c>
      <c r="G1744">
        <v>1742</v>
      </c>
      <c r="H1744">
        <f t="shared" ca="1" si="58"/>
        <v>1.2494038431080269E-2</v>
      </c>
    </row>
    <row r="1745" spans="2:8" x14ac:dyDescent="0.3">
      <c r="B1745" s="113">
        <v>40248</v>
      </c>
      <c r="C1745">
        <v>84.74</v>
      </c>
      <c r="D1745">
        <f t="shared" si="57"/>
        <v>-0.59292885622327907</v>
      </c>
      <c r="E1745">
        <v>5.4579971523492374E-3</v>
      </c>
      <c r="G1745">
        <v>1743</v>
      </c>
      <c r="H1745">
        <f t="shared" ca="1" si="58"/>
        <v>-2.3709111301025945E-2</v>
      </c>
    </row>
    <row r="1746" spans="2:8" x14ac:dyDescent="0.3">
      <c r="B1746" s="113">
        <v>42200</v>
      </c>
      <c r="C1746">
        <v>208.17</v>
      </c>
      <c r="D1746">
        <f t="shared" si="57"/>
        <v>-0.15112343514251927</v>
      </c>
      <c r="E1746">
        <v>5.4578825347758667E-3</v>
      </c>
      <c r="G1746">
        <v>1744</v>
      </c>
      <c r="H1746">
        <f t="shared" ca="1" si="58"/>
        <v>-4.8533868255127626E-3</v>
      </c>
    </row>
    <row r="1747" spans="2:8" x14ac:dyDescent="0.3">
      <c r="B1747" s="113">
        <v>42045</v>
      </c>
      <c r="C1747">
        <v>245.23</v>
      </c>
      <c r="D1747">
        <f t="shared" si="57"/>
        <v>0.26635682933126764</v>
      </c>
      <c r="E1747">
        <v>5.4530545305452403E-3</v>
      </c>
      <c r="G1747">
        <v>1745</v>
      </c>
      <c r="H1747">
        <f t="shared" ca="1" si="58"/>
        <v>3.0628759350359749E-3</v>
      </c>
    </row>
    <row r="1748" spans="2:8" x14ac:dyDescent="0.3">
      <c r="B1748" s="113">
        <v>44047</v>
      </c>
      <c r="C1748">
        <v>193.65</v>
      </c>
      <c r="D1748">
        <f t="shared" si="57"/>
        <v>0.37652829115723624</v>
      </c>
      <c r="E1748">
        <v>5.4517133956386889E-3</v>
      </c>
      <c r="G1748">
        <v>1746</v>
      </c>
      <c r="H1748">
        <f t="shared" ca="1" si="58"/>
        <v>6.4336519322260623E-3</v>
      </c>
    </row>
    <row r="1749" spans="2:8" x14ac:dyDescent="0.3">
      <c r="B1749" s="113">
        <v>40842</v>
      </c>
      <c r="C1749">
        <v>140.68</v>
      </c>
      <c r="D1749">
        <f t="shared" si="57"/>
        <v>-0.38349620929926814</v>
      </c>
      <c r="E1749">
        <v>5.4316752429961366E-3</v>
      </c>
      <c r="G1749">
        <v>1747</v>
      </c>
      <c r="H1749">
        <f t="shared" ca="1" si="58"/>
        <v>2.3062417470540598E-2</v>
      </c>
    </row>
    <row r="1750" spans="2:8" x14ac:dyDescent="0.3">
      <c r="B1750" s="113">
        <v>41836</v>
      </c>
      <c r="C1750">
        <v>228.19</v>
      </c>
      <c r="D1750">
        <f t="shared" si="57"/>
        <v>10.17482859941234</v>
      </c>
      <c r="E1750">
        <v>5.419457173070099E-3</v>
      </c>
      <c r="G1750">
        <v>1748</v>
      </c>
      <c r="H1750">
        <f t="shared" ca="1" si="58"/>
        <v>-1.6488300857692061E-2</v>
      </c>
    </row>
    <row r="1751" spans="2:8" x14ac:dyDescent="0.3">
      <c r="B1751" s="113">
        <v>38132</v>
      </c>
      <c r="C1751">
        <v>20.420000000000002</v>
      </c>
      <c r="D1751">
        <f t="shared" si="57"/>
        <v>-0.6073831955393193</v>
      </c>
      <c r="E1751">
        <v>5.4160512063024611E-3</v>
      </c>
      <c r="G1751">
        <v>1749</v>
      </c>
      <c r="H1751">
        <f t="shared" ca="1" si="58"/>
        <v>1.4225650277331661E-2</v>
      </c>
    </row>
    <row r="1752" spans="2:8" x14ac:dyDescent="0.3">
      <c r="B1752" s="113">
        <v>39190</v>
      </c>
      <c r="C1752">
        <v>52.01</v>
      </c>
      <c r="D1752">
        <f t="shared" si="57"/>
        <v>-0.75673526660430313</v>
      </c>
      <c r="E1752">
        <v>5.4127198917456243E-3</v>
      </c>
      <c r="G1752">
        <v>1750</v>
      </c>
      <c r="H1752">
        <f t="shared" ca="1" si="58"/>
        <v>-3.3006834837316527E-2</v>
      </c>
    </row>
    <row r="1753" spans="2:8" x14ac:dyDescent="0.3">
      <c r="B1753" s="113">
        <v>44293</v>
      </c>
      <c r="C1753">
        <v>213.8</v>
      </c>
      <c r="D1753">
        <f t="shared" si="57"/>
        <v>1.7320137038446967E-2</v>
      </c>
      <c r="E1753">
        <v>5.4079473312955827E-3</v>
      </c>
      <c r="G1753">
        <v>1751</v>
      </c>
      <c r="H1753">
        <f t="shared" ca="1" si="58"/>
        <v>-4.3342127878096638E-2</v>
      </c>
    </row>
    <row r="1754" spans="2:8" x14ac:dyDescent="0.3">
      <c r="B1754" s="113">
        <v>41386</v>
      </c>
      <c r="C1754">
        <v>210.16</v>
      </c>
      <c r="D1754">
        <f t="shared" si="57"/>
        <v>10.280730005367687</v>
      </c>
      <c r="E1754">
        <v>5.4059225948428239E-3</v>
      </c>
      <c r="G1754">
        <v>1752</v>
      </c>
      <c r="H1754">
        <f t="shared" ca="1" si="58"/>
        <v>-4.0476274655860235E-3</v>
      </c>
    </row>
    <row r="1755" spans="2:8" x14ac:dyDescent="0.3">
      <c r="B1755" s="113">
        <v>37902</v>
      </c>
      <c r="C1755">
        <v>18.63</v>
      </c>
      <c r="D1755">
        <f t="shared" si="57"/>
        <v>-0.91681178834561283</v>
      </c>
      <c r="E1755">
        <v>5.3966540744737109E-3</v>
      </c>
      <c r="G1755">
        <v>1753</v>
      </c>
      <c r="H1755">
        <f t="shared" ca="1" si="58"/>
        <v>5.888292557545147E-3</v>
      </c>
    </row>
    <row r="1756" spans="2:8" x14ac:dyDescent="0.3">
      <c r="B1756" s="113">
        <v>44574</v>
      </c>
      <c r="C1756">
        <v>223.95</v>
      </c>
      <c r="D1756">
        <f t="shared" si="57"/>
        <v>1.3995499839279975</v>
      </c>
      <c r="E1756">
        <v>5.3872053872053363E-3</v>
      </c>
      <c r="G1756">
        <v>1754</v>
      </c>
      <c r="H1756">
        <f t="shared" ca="1" si="58"/>
        <v>2.4432483575888047E-2</v>
      </c>
    </row>
    <row r="1757" spans="2:8" x14ac:dyDescent="0.3">
      <c r="B1757" s="113">
        <v>40340</v>
      </c>
      <c r="C1757">
        <v>93.33</v>
      </c>
      <c r="D1757">
        <f t="shared" si="57"/>
        <v>5.2386363636363633</v>
      </c>
      <c r="E1757">
        <v>5.3861898093288813E-3</v>
      </c>
      <c r="G1757">
        <v>1755</v>
      </c>
      <c r="H1757">
        <f t="shared" ca="1" si="58"/>
        <v>3.0642264433813741E-2</v>
      </c>
    </row>
    <row r="1758" spans="2:8" x14ac:dyDescent="0.3">
      <c r="B1758" s="113">
        <v>37606</v>
      </c>
      <c r="C1758">
        <v>14.96</v>
      </c>
      <c r="D1758">
        <f t="shared" si="57"/>
        <v>-0.68013683985460771</v>
      </c>
      <c r="E1758">
        <v>5.3763440860215101E-3</v>
      </c>
      <c r="G1758">
        <v>1756</v>
      </c>
      <c r="H1758">
        <f t="shared" ca="1" si="58"/>
        <v>7.88705025208177E-3</v>
      </c>
    </row>
    <row r="1759" spans="2:8" x14ac:dyDescent="0.3">
      <c r="B1759" s="113">
        <v>38702</v>
      </c>
      <c r="C1759">
        <v>46.77</v>
      </c>
      <c r="D1759">
        <f t="shared" si="57"/>
        <v>-7.4228028503562943E-2</v>
      </c>
      <c r="E1759">
        <v>5.3740326741186584E-3</v>
      </c>
      <c r="G1759">
        <v>1757</v>
      </c>
      <c r="H1759">
        <f t="shared" ca="1" si="58"/>
        <v>6.2357538958228292E-3</v>
      </c>
    </row>
    <row r="1760" spans="2:8" x14ac:dyDescent="0.3">
      <c r="B1760" s="113">
        <v>39248</v>
      </c>
      <c r="C1760">
        <v>50.52</v>
      </c>
      <c r="D1760">
        <f t="shared" si="57"/>
        <v>-0.70026698309107083</v>
      </c>
      <c r="E1760">
        <v>5.373134328358271E-3</v>
      </c>
      <c r="G1760">
        <v>1758</v>
      </c>
      <c r="H1760">
        <f t="shared" ca="1" si="58"/>
        <v>-3.2760627672710138E-2</v>
      </c>
    </row>
    <row r="1761" spans="2:8" x14ac:dyDescent="0.3">
      <c r="B1761" s="113">
        <v>44126</v>
      </c>
      <c r="C1761">
        <v>168.55</v>
      </c>
      <c r="D1761">
        <f t="shared" si="57"/>
        <v>0.69431041415359873</v>
      </c>
      <c r="E1761">
        <v>5.3683268714584294E-3</v>
      </c>
      <c r="G1761">
        <v>1759</v>
      </c>
      <c r="H1761">
        <f t="shared" ca="1" si="58"/>
        <v>-2.8831524812831844E-2</v>
      </c>
    </row>
    <row r="1762" spans="2:8" x14ac:dyDescent="0.3">
      <c r="B1762" s="113">
        <v>40374</v>
      </c>
      <c r="C1762">
        <v>99.48</v>
      </c>
      <c r="D1762">
        <f t="shared" si="57"/>
        <v>-0.62210826210826209</v>
      </c>
      <c r="E1762">
        <v>5.3562405255179494E-3</v>
      </c>
      <c r="G1762">
        <v>1760</v>
      </c>
      <c r="H1762">
        <f t="shared" ca="1" si="58"/>
        <v>7.5165508323532196E-3</v>
      </c>
    </row>
    <row r="1763" spans="2:8" x14ac:dyDescent="0.3">
      <c r="B1763" s="113">
        <v>43098</v>
      </c>
      <c r="C1763">
        <v>263.25</v>
      </c>
      <c r="D1763">
        <f t="shared" si="57"/>
        <v>0.2064066724714724</v>
      </c>
      <c r="E1763">
        <v>5.3465724651517174E-3</v>
      </c>
      <c r="G1763">
        <v>1761</v>
      </c>
      <c r="H1763">
        <f t="shared" ca="1" si="58"/>
        <v>2.8383385449166826E-2</v>
      </c>
    </row>
    <row r="1764" spans="2:8" x14ac:dyDescent="0.3">
      <c r="B1764" s="113">
        <v>42146</v>
      </c>
      <c r="C1764">
        <v>218.21</v>
      </c>
      <c r="D1764">
        <f t="shared" si="57"/>
        <v>-0.22689105403011511</v>
      </c>
      <c r="E1764">
        <v>5.3443906933886044E-3</v>
      </c>
      <c r="G1764">
        <v>1762</v>
      </c>
      <c r="H1764">
        <f t="shared" ca="1" si="58"/>
        <v>1.6802335112845002E-2</v>
      </c>
    </row>
    <row r="1765" spans="2:8" x14ac:dyDescent="0.3">
      <c r="B1765" s="113">
        <v>43462</v>
      </c>
      <c r="C1765">
        <v>282.25</v>
      </c>
      <c r="D1765">
        <f t="shared" si="57"/>
        <v>0.51511084867679435</v>
      </c>
      <c r="E1765">
        <v>5.3428317008014248E-3</v>
      </c>
      <c r="G1765">
        <v>1763</v>
      </c>
      <c r="H1765">
        <f t="shared" ca="1" si="58"/>
        <v>-1.6797503581256427E-2</v>
      </c>
    </row>
    <row r="1766" spans="2:8" x14ac:dyDescent="0.3">
      <c r="B1766" s="113">
        <v>41284</v>
      </c>
      <c r="C1766">
        <v>186.29</v>
      </c>
      <c r="D1766">
        <f t="shared" si="57"/>
        <v>-0.21443029434089567</v>
      </c>
      <c r="E1766">
        <v>5.3426875337289834E-3</v>
      </c>
      <c r="G1766">
        <v>1764</v>
      </c>
      <c r="H1766">
        <f t="shared" ca="1" si="58"/>
        <v>-6.5480598469460161E-3</v>
      </c>
    </row>
    <row r="1767" spans="2:8" x14ac:dyDescent="0.3">
      <c r="B1767" s="113">
        <v>41719</v>
      </c>
      <c r="C1767">
        <v>237.14</v>
      </c>
      <c r="D1767">
        <f t="shared" si="57"/>
        <v>14.746347941567064</v>
      </c>
      <c r="E1767">
        <v>5.3416991690689794E-3</v>
      </c>
      <c r="G1767">
        <v>1765</v>
      </c>
      <c r="H1767">
        <f t="shared" ca="1" si="58"/>
        <v>2.6773533115460159E-3</v>
      </c>
    </row>
    <row r="1768" spans="2:8" x14ac:dyDescent="0.3">
      <c r="B1768" s="113">
        <v>37629</v>
      </c>
      <c r="C1768">
        <v>15.06</v>
      </c>
      <c r="D1768">
        <f t="shared" si="57"/>
        <v>-0.92243110996652067</v>
      </c>
      <c r="E1768">
        <v>5.3404539385847839E-3</v>
      </c>
      <c r="G1768">
        <v>1766</v>
      </c>
      <c r="H1768">
        <f t="shared" ca="1" si="58"/>
        <v>-1.1868974524542532E-2</v>
      </c>
    </row>
    <row r="1769" spans="2:8" x14ac:dyDescent="0.3">
      <c r="B1769" s="113">
        <v>41372</v>
      </c>
      <c r="C1769">
        <v>194.15</v>
      </c>
      <c r="D1769">
        <f t="shared" si="57"/>
        <v>11.857615894039736</v>
      </c>
      <c r="E1769">
        <v>5.3334714167357139E-3</v>
      </c>
      <c r="G1769">
        <v>1767</v>
      </c>
      <c r="H1769">
        <f t="shared" ca="1" si="58"/>
        <v>-4.7113084300208488E-3</v>
      </c>
    </row>
    <row r="1770" spans="2:8" x14ac:dyDescent="0.3">
      <c r="B1770" s="113">
        <v>37740</v>
      </c>
      <c r="C1770">
        <v>15.1</v>
      </c>
      <c r="D1770">
        <f t="shared" si="57"/>
        <v>-0.46699611719025763</v>
      </c>
      <c r="E1770">
        <v>5.3262316910785666E-3</v>
      </c>
      <c r="G1770">
        <v>1768</v>
      </c>
      <c r="H1770">
        <f t="shared" ca="1" si="58"/>
        <v>-1.6015578831346567E-2</v>
      </c>
    </row>
    <row r="1771" spans="2:8" x14ac:dyDescent="0.3">
      <c r="B1771" s="113">
        <v>38441</v>
      </c>
      <c r="C1771">
        <v>28.33</v>
      </c>
      <c r="D1771">
        <f t="shared" si="57"/>
        <v>-0.7827453987730062</v>
      </c>
      <c r="E1771">
        <v>5.3229240596166993E-3</v>
      </c>
      <c r="G1771">
        <v>1769</v>
      </c>
      <c r="H1771">
        <f t="shared" ca="1" si="58"/>
        <v>1.5081577656246877E-2</v>
      </c>
    </row>
    <row r="1772" spans="2:8" x14ac:dyDescent="0.3">
      <c r="B1772" s="113">
        <v>40730</v>
      </c>
      <c r="C1772">
        <v>130.4</v>
      </c>
      <c r="D1772">
        <f t="shared" si="57"/>
        <v>-0.44885883347421807</v>
      </c>
      <c r="E1772">
        <v>5.3195590162670395E-3</v>
      </c>
      <c r="G1772">
        <v>1770</v>
      </c>
      <c r="H1772">
        <f t="shared" ca="1" si="58"/>
        <v>7.9283157190165824E-3</v>
      </c>
    </row>
    <row r="1773" spans="2:8" x14ac:dyDescent="0.3">
      <c r="B1773" s="113">
        <v>44473</v>
      </c>
      <c r="C1773">
        <v>236.6</v>
      </c>
      <c r="D1773">
        <f t="shared" si="57"/>
        <v>-0.22017139090309817</v>
      </c>
      <c r="E1773">
        <v>5.3112385808370514E-3</v>
      </c>
      <c r="G1773">
        <v>1771</v>
      </c>
      <c r="H1773">
        <f t="shared" ca="1" si="58"/>
        <v>-1.3512699323895866E-2</v>
      </c>
    </row>
    <row r="1774" spans="2:8" x14ac:dyDescent="0.3">
      <c r="B1774" s="113">
        <v>43578</v>
      </c>
      <c r="C1774">
        <v>303.39999999999998</v>
      </c>
      <c r="D1774">
        <f t="shared" si="57"/>
        <v>0.22958459979736567</v>
      </c>
      <c r="E1774">
        <v>5.3015241882039951E-3</v>
      </c>
      <c r="G1774">
        <v>1772</v>
      </c>
      <c r="H1774">
        <f t="shared" ca="1" si="58"/>
        <v>-1.011981604107493E-2</v>
      </c>
    </row>
    <row r="1775" spans="2:8" x14ac:dyDescent="0.3">
      <c r="B1775" s="113">
        <v>42740</v>
      </c>
      <c r="C1775">
        <v>246.75</v>
      </c>
      <c r="D1775">
        <f t="shared" si="57"/>
        <v>11.993680884676145</v>
      </c>
      <c r="E1775">
        <v>5.2963943776737068E-3</v>
      </c>
      <c r="G1775">
        <v>1773</v>
      </c>
      <c r="H1775">
        <f t="shared" ca="1" si="58"/>
        <v>3.6801598755154584E-3</v>
      </c>
    </row>
    <row r="1776" spans="2:8" x14ac:dyDescent="0.3">
      <c r="B1776" s="113">
        <v>37942</v>
      </c>
      <c r="C1776">
        <v>18.989999999999998</v>
      </c>
      <c r="D1776">
        <f t="shared" si="57"/>
        <v>-0.9355178268251273</v>
      </c>
      <c r="E1776">
        <v>5.2938062466912584E-3</v>
      </c>
      <c r="G1776">
        <v>1774</v>
      </c>
      <c r="H1776">
        <f t="shared" ca="1" si="58"/>
        <v>1.3348369508589444E-2</v>
      </c>
    </row>
    <row r="1777" spans="2:8" x14ac:dyDescent="0.3">
      <c r="B1777" s="113">
        <v>43536</v>
      </c>
      <c r="C1777">
        <v>294.5</v>
      </c>
      <c r="D1777">
        <f t="shared" si="57"/>
        <v>0.3472095150960659</v>
      </c>
      <c r="E1777">
        <v>5.2910052910053297E-3</v>
      </c>
      <c r="G1777">
        <v>1775</v>
      </c>
      <c r="H1777">
        <f t="shared" ca="1" si="58"/>
        <v>3.3312176269652267E-3</v>
      </c>
    </row>
    <row r="1778" spans="2:8" x14ac:dyDescent="0.3">
      <c r="B1778" s="113">
        <v>44242</v>
      </c>
      <c r="C1778">
        <v>218.6</v>
      </c>
      <c r="D1778">
        <f t="shared" si="57"/>
        <v>2.7069696455824994</v>
      </c>
      <c r="E1778">
        <v>5.2885720855369318E-3</v>
      </c>
      <c r="G1778">
        <v>1776</v>
      </c>
      <c r="H1778">
        <f t="shared" ca="1" si="58"/>
        <v>-2.3312422396986807E-2</v>
      </c>
    </row>
    <row r="1779" spans="2:8" x14ac:dyDescent="0.3">
      <c r="B1779" s="113">
        <v>39079</v>
      </c>
      <c r="C1779">
        <v>58.97</v>
      </c>
      <c r="D1779">
        <f t="shared" si="57"/>
        <v>-0.79355855067390157</v>
      </c>
      <c r="E1779">
        <v>5.2846914422093813E-3</v>
      </c>
      <c r="G1779">
        <v>1777</v>
      </c>
      <c r="H1779">
        <f t="shared" ca="1" si="58"/>
        <v>2.0072224922968382E-3</v>
      </c>
    </row>
    <row r="1780" spans="2:8" x14ac:dyDescent="0.3">
      <c r="B1780" s="113">
        <v>43305</v>
      </c>
      <c r="C1780">
        <v>285.64999999999998</v>
      </c>
      <c r="D1780">
        <f t="shared" si="57"/>
        <v>13.963331587218439</v>
      </c>
      <c r="E1780">
        <v>5.278901988386416E-3</v>
      </c>
      <c r="G1780">
        <v>1778</v>
      </c>
      <c r="H1780">
        <f t="shared" ca="1" si="58"/>
        <v>3.8397589935994709E-3</v>
      </c>
    </row>
    <row r="1781" spans="2:8" x14ac:dyDescent="0.3">
      <c r="B1781" s="113">
        <v>37943</v>
      </c>
      <c r="C1781">
        <v>19.09</v>
      </c>
      <c r="D1781">
        <f t="shared" si="57"/>
        <v>-0.93113275613275626</v>
      </c>
      <c r="E1781">
        <v>5.265929436545626E-3</v>
      </c>
      <c r="G1781">
        <v>1779</v>
      </c>
      <c r="H1781">
        <f t="shared" ca="1" si="58"/>
        <v>-5.5704499350965825E-3</v>
      </c>
    </row>
    <row r="1782" spans="2:8" x14ac:dyDescent="0.3">
      <c r="B1782" s="113">
        <v>43293</v>
      </c>
      <c r="C1782">
        <v>277.2</v>
      </c>
      <c r="D1782">
        <f t="shared" si="57"/>
        <v>6.6300578034682083</v>
      </c>
      <c r="E1782">
        <v>5.258386219401591E-3</v>
      </c>
      <c r="G1782">
        <v>1780</v>
      </c>
      <c r="H1782">
        <f t="shared" ca="1" si="58"/>
        <v>3.4948612770123795E-2</v>
      </c>
    </row>
    <row r="1783" spans="2:8" x14ac:dyDescent="0.3">
      <c r="B1783" s="113">
        <v>38555</v>
      </c>
      <c r="C1783">
        <v>36.33</v>
      </c>
      <c r="D1783">
        <f t="shared" si="57"/>
        <v>-0.42424722662440573</v>
      </c>
      <c r="E1783">
        <v>5.2573325954620286E-3</v>
      </c>
      <c r="G1783">
        <v>1781</v>
      </c>
      <c r="H1783">
        <f t="shared" ca="1" si="58"/>
        <v>8.9347206351318383E-4</v>
      </c>
    </row>
    <row r="1784" spans="2:8" x14ac:dyDescent="0.3">
      <c r="B1784" s="113">
        <v>39056</v>
      </c>
      <c r="C1784">
        <v>63.1</v>
      </c>
      <c r="D1784">
        <f t="shared" si="57"/>
        <v>-0.73625914315569485</v>
      </c>
      <c r="E1784">
        <v>5.2572885136211289E-3</v>
      </c>
      <c r="G1784">
        <v>1782</v>
      </c>
      <c r="H1784">
        <f t="shared" ca="1" si="58"/>
        <v>-1.7940529341542409E-2</v>
      </c>
    </row>
    <row r="1785" spans="2:8" x14ac:dyDescent="0.3">
      <c r="B1785" s="113">
        <v>43843</v>
      </c>
      <c r="C1785">
        <v>239.25</v>
      </c>
      <c r="D1785">
        <f t="shared" si="57"/>
        <v>0.10564258976847365</v>
      </c>
      <c r="E1785">
        <v>5.2521008403361349E-3</v>
      </c>
      <c r="G1785">
        <v>1783</v>
      </c>
      <c r="H1785">
        <f t="shared" ca="1" si="58"/>
        <v>3.915352683020739E-2</v>
      </c>
    </row>
    <row r="1786" spans="2:8" x14ac:dyDescent="0.3">
      <c r="B1786" s="113">
        <v>42139</v>
      </c>
      <c r="C1786">
        <v>216.39</v>
      </c>
      <c r="D1786">
        <f t="shared" si="57"/>
        <v>-1.7525539160045466E-2</v>
      </c>
      <c r="E1786">
        <v>5.2494657623339009E-3</v>
      </c>
      <c r="G1786">
        <v>1784</v>
      </c>
      <c r="H1786">
        <f t="shared" ca="1" si="58"/>
        <v>-2.3156825644039761E-3</v>
      </c>
    </row>
    <row r="1787" spans="2:8" x14ac:dyDescent="0.3">
      <c r="B1787" s="113">
        <v>44565</v>
      </c>
      <c r="C1787">
        <v>220.25</v>
      </c>
      <c r="D1787">
        <f t="shared" si="57"/>
        <v>1.7368007760173637E-2</v>
      </c>
      <c r="E1787">
        <v>5.2487448653583098E-3</v>
      </c>
      <c r="G1787">
        <v>1785</v>
      </c>
      <c r="H1787">
        <f t="shared" ca="1" si="58"/>
        <v>-3.8092022311843436E-2</v>
      </c>
    </row>
    <row r="1788" spans="2:8" x14ac:dyDescent="0.3">
      <c r="B1788" s="113">
        <v>42368</v>
      </c>
      <c r="C1788">
        <v>216.49</v>
      </c>
      <c r="D1788">
        <f t="shared" si="57"/>
        <v>1.9832296966271E-2</v>
      </c>
      <c r="E1788">
        <v>5.2470282317978985E-3</v>
      </c>
      <c r="G1788">
        <v>1786</v>
      </c>
      <c r="H1788">
        <f t="shared" ca="1" si="58"/>
        <v>-4.4451735874930015E-3</v>
      </c>
    </row>
    <row r="1789" spans="2:8" x14ac:dyDescent="0.3">
      <c r="B1789" s="113">
        <v>42398</v>
      </c>
      <c r="C1789">
        <v>212.28</v>
      </c>
      <c r="D1789">
        <f t="shared" si="57"/>
        <v>0.96210370644236998</v>
      </c>
      <c r="E1789">
        <v>5.2088265934273808E-3</v>
      </c>
      <c r="G1789">
        <v>1787</v>
      </c>
      <c r="H1789">
        <f t="shared" ca="1" si="58"/>
        <v>1.3511247156072921E-2</v>
      </c>
    </row>
    <row r="1790" spans="2:8" x14ac:dyDescent="0.3">
      <c r="B1790" s="113">
        <v>40434</v>
      </c>
      <c r="C1790">
        <v>108.19</v>
      </c>
      <c r="D1790">
        <f t="shared" si="57"/>
        <v>-0.34290920133616765</v>
      </c>
      <c r="E1790">
        <v>5.2030103131097492E-3</v>
      </c>
      <c r="G1790">
        <v>1788</v>
      </c>
      <c r="H1790">
        <f t="shared" ca="1" si="58"/>
        <v>-1.9096925437621148E-2</v>
      </c>
    </row>
    <row r="1791" spans="2:8" x14ac:dyDescent="0.3">
      <c r="B1791" s="113">
        <v>43966</v>
      </c>
      <c r="C1791">
        <v>164.65</v>
      </c>
      <c r="D1791">
        <f t="shared" si="57"/>
        <v>11.124447717231222</v>
      </c>
      <c r="E1791">
        <v>5.1892551892551543E-3</v>
      </c>
      <c r="G1791">
        <v>1789</v>
      </c>
      <c r="H1791">
        <f t="shared" ca="1" si="58"/>
        <v>1.3253797807308081E-2</v>
      </c>
    </row>
    <row r="1792" spans="2:8" x14ac:dyDescent="0.3">
      <c r="B1792" s="113">
        <v>37705</v>
      </c>
      <c r="C1792">
        <v>13.58</v>
      </c>
      <c r="D1792">
        <f t="shared" si="57"/>
        <v>-0.63217768147345621</v>
      </c>
      <c r="E1792">
        <v>5.1813471502590884E-3</v>
      </c>
      <c r="G1792">
        <v>1790</v>
      </c>
      <c r="H1792">
        <f t="shared" ca="1" si="58"/>
        <v>-7.7267583829061549E-3</v>
      </c>
    </row>
    <row r="1793" spans="2:8" x14ac:dyDescent="0.3">
      <c r="B1793" s="113">
        <v>38534</v>
      </c>
      <c r="C1793">
        <v>36.92</v>
      </c>
      <c r="D1793">
        <f t="shared" si="57"/>
        <v>-0.36715803908124789</v>
      </c>
      <c r="E1793">
        <v>5.1728832017425772E-3</v>
      </c>
      <c r="G1793">
        <v>1791</v>
      </c>
      <c r="H1793">
        <f t="shared" ca="1" si="58"/>
        <v>6.9468728955903174E-4</v>
      </c>
    </row>
    <row r="1794" spans="2:8" x14ac:dyDescent="0.3">
      <c r="B1794" s="113">
        <v>38909</v>
      </c>
      <c r="C1794">
        <v>58.34</v>
      </c>
      <c r="D1794">
        <f t="shared" si="57"/>
        <v>-0.76206207430971895</v>
      </c>
      <c r="E1794">
        <v>5.1688490696072406E-3</v>
      </c>
      <c r="G1794">
        <v>1792</v>
      </c>
      <c r="H1794">
        <f t="shared" ca="1" si="58"/>
        <v>-1.0082113589616787E-5</v>
      </c>
    </row>
    <row r="1795" spans="2:8" x14ac:dyDescent="0.3">
      <c r="B1795" s="113">
        <v>42002</v>
      </c>
      <c r="C1795">
        <v>245.19</v>
      </c>
      <c r="D1795">
        <f t="shared" ref="D1795:D1858" si="59">(C1795-C1796)/C1796</f>
        <v>0.32535135135135135</v>
      </c>
      <c r="E1795">
        <v>5.1654163079571632E-3</v>
      </c>
      <c r="G1795">
        <v>1793</v>
      </c>
      <c r="H1795">
        <f t="shared" ca="1" si="58"/>
        <v>5.1438468976950967E-3</v>
      </c>
    </row>
    <row r="1796" spans="2:8" x14ac:dyDescent="0.3">
      <c r="B1796" s="113">
        <v>44004</v>
      </c>
      <c r="C1796">
        <v>185</v>
      </c>
      <c r="D1796">
        <f t="shared" si="59"/>
        <v>-0.29631038417649291</v>
      </c>
      <c r="E1796">
        <v>5.161640858462312E-3</v>
      </c>
      <c r="G1796">
        <v>1794</v>
      </c>
      <c r="H1796">
        <f t="shared" ref="H1796:H1859" ca="1" si="60">_xlfn.NORM.INV(RAND(),$L$4,$L$6)</f>
        <v>1.7841047972457268E-3</v>
      </c>
    </row>
    <row r="1797" spans="2:8" x14ac:dyDescent="0.3">
      <c r="B1797" s="113">
        <v>43105</v>
      </c>
      <c r="C1797">
        <v>262.89999999999998</v>
      </c>
      <c r="D1797">
        <f t="shared" si="59"/>
        <v>0.32143754712239253</v>
      </c>
      <c r="E1797">
        <v>5.1615369910149719E-3</v>
      </c>
      <c r="G1797">
        <v>1795</v>
      </c>
      <c r="H1797">
        <f t="shared" ca="1" si="60"/>
        <v>-1.610066312347161E-3</v>
      </c>
    </row>
    <row r="1798" spans="2:8" x14ac:dyDescent="0.3">
      <c r="B1798" s="113">
        <v>42412</v>
      </c>
      <c r="C1798">
        <v>198.95</v>
      </c>
      <c r="D1798">
        <f t="shared" si="59"/>
        <v>-0.34231404958677691</v>
      </c>
      <c r="E1798">
        <v>5.153337038346798E-3</v>
      </c>
      <c r="G1798">
        <v>1796</v>
      </c>
      <c r="H1798">
        <f t="shared" ca="1" si="60"/>
        <v>3.1775592064810843E-2</v>
      </c>
    </row>
    <row r="1799" spans="2:8" x14ac:dyDescent="0.3">
      <c r="B1799" s="113">
        <v>43321</v>
      </c>
      <c r="C1799">
        <v>302.5</v>
      </c>
      <c r="D1799">
        <f t="shared" si="59"/>
        <v>9.3136720081827491</v>
      </c>
      <c r="E1799">
        <v>5.1503572021930934E-3</v>
      </c>
      <c r="G1799">
        <v>1797</v>
      </c>
      <c r="H1799">
        <f t="shared" ca="1" si="60"/>
        <v>3.0525193514165778E-2</v>
      </c>
    </row>
    <row r="1800" spans="2:8" x14ac:dyDescent="0.3">
      <c r="B1800" s="113">
        <v>38392</v>
      </c>
      <c r="C1800">
        <v>29.33</v>
      </c>
      <c r="D1800">
        <f t="shared" si="59"/>
        <v>-0.50008522243054376</v>
      </c>
      <c r="E1800">
        <v>5.1405071967100266E-3</v>
      </c>
      <c r="G1800">
        <v>1798</v>
      </c>
      <c r="H1800">
        <f t="shared" ca="1" si="60"/>
        <v>-1.7255469936958746E-2</v>
      </c>
    </row>
    <row r="1801" spans="2:8" x14ac:dyDescent="0.3">
      <c r="B1801" s="113">
        <v>39084</v>
      </c>
      <c r="C1801">
        <v>58.67</v>
      </c>
      <c r="D1801">
        <f t="shared" si="59"/>
        <v>-0.7283167399861078</v>
      </c>
      <c r="E1801">
        <v>5.1396265204729187E-3</v>
      </c>
      <c r="G1801">
        <v>1799</v>
      </c>
      <c r="H1801">
        <f t="shared" ca="1" si="60"/>
        <v>4.6153108478869231E-3</v>
      </c>
    </row>
    <row r="1802" spans="2:8" x14ac:dyDescent="0.3">
      <c r="B1802" s="113">
        <v>44615</v>
      </c>
      <c r="C1802">
        <v>215.95</v>
      </c>
      <c r="D1802">
        <f t="shared" si="59"/>
        <v>-0.21429870838639267</v>
      </c>
      <c r="E1802">
        <v>5.1198510588782607E-3</v>
      </c>
      <c r="G1802">
        <v>1800</v>
      </c>
      <c r="H1802">
        <f t="shared" ca="1" si="60"/>
        <v>-1.793065104179423E-2</v>
      </c>
    </row>
    <row r="1803" spans="2:8" x14ac:dyDescent="0.3">
      <c r="B1803" s="113">
        <v>43244</v>
      </c>
      <c r="C1803">
        <v>274.85000000000002</v>
      </c>
      <c r="D1803">
        <f t="shared" si="59"/>
        <v>3.8210840203473082</v>
      </c>
      <c r="E1803">
        <v>5.1197659535565342E-3</v>
      </c>
      <c r="G1803">
        <v>1801</v>
      </c>
      <c r="H1803">
        <f t="shared" ca="1" si="60"/>
        <v>1.107975442550343E-2</v>
      </c>
    </row>
    <row r="1804" spans="2:8" x14ac:dyDescent="0.3">
      <c r="B1804" s="113">
        <v>39097</v>
      </c>
      <c r="C1804">
        <v>57.01</v>
      </c>
      <c r="D1804">
        <f t="shared" si="59"/>
        <v>-0.71031504065040652</v>
      </c>
      <c r="E1804">
        <v>5.1128349788434266E-3</v>
      </c>
      <c r="G1804">
        <v>1802</v>
      </c>
      <c r="H1804">
        <f t="shared" ca="1" si="60"/>
        <v>4.1333400438886121E-2</v>
      </c>
    </row>
    <row r="1805" spans="2:8" x14ac:dyDescent="0.3">
      <c r="B1805" s="113">
        <v>44064</v>
      </c>
      <c r="C1805">
        <v>196.8</v>
      </c>
      <c r="D1805">
        <f t="shared" si="59"/>
        <v>8.959514170040487</v>
      </c>
      <c r="E1805">
        <v>5.1072522982635342E-3</v>
      </c>
      <c r="G1805">
        <v>1803</v>
      </c>
      <c r="H1805">
        <f t="shared" ca="1" si="60"/>
        <v>-1.889231897028993E-2</v>
      </c>
    </row>
    <row r="1806" spans="2:8" x14ac:dyDescent="0.3">
      <c r="B1806" s="113">
        <v>38146</v>
      </c>
      <c r="C1806">
        <v>19.760000000000002</v>
      </c>
      <c r="D1806">
        <f t="shared" si="59"/>
        <v>-0.67759830314896397</v>
      </c>
      <c r="E1806">
        <v>5.0864699898271323E-3</v>
      </c>
      <c r="G1806">
        <v>1804</v>
      </c>
      <c r="H1806">
        <f t="shared" ca="1" si="60"/>
        <v>4.4961351152913824E-3</v>
      </c>
    </row>
    <row r="1807" spans="2:8" x14ac:dyDescent="0.3">
      <c r="B1807" s="113">
        <v>39686</v>
      </c>
      <c r="C1807">
        <v>61.29</v>
      </c>
      <c r="D1807">
        <f t="shared" si="59"/>
        <v>-0.39226574119980168</v>
      </c>
      <c r="E1807">
        <v>5.0836339783535958E-3</v>
      </c>
      <c r="G1807">
        <v>1805</v>
      </c>
      <c r="H1807">
        <f t="shared" ca="1" si="60"/>
        <v>1.8951434174992614E-2</v>
      </c>
    </row>
    <row r="1808" spans="2:8" x14ac:dyDescent="0.3">
      <c r="B1808" s="113">
        <v>40386</v>
      </c>
      <c r="C1808">
        <v>100.85</v>
      </c>
      <c r="D1808">
        <f t="shared" si="59"/>
        <v>6.2763347763347763</v>
      </c>
      <c r="E1808">
        <v>5.0827187562287315E-3</v>
      </c>
      <c r="G1808">
        <v>1806</v>
      </c>
      <c r="H1808">
        <f t="shared" ca="1" si="60"/>
        <v>-3.0296185645978586E-2</v>
      </c>
    </row>
    <row r="1809" spans="2:8" x14ac:dyDescent="0.3">
      <c r="B1809" s="113">
        <v>37699</v>
      </c>
      <c r="C1809">
        <v>13.86</v>
      </c>
      <c r="D1809">
        <f t="shared" si="59"/>
        <v>-0.7743406056659069</v>
      </c>
      <c r="E1809">
        <v>5.0761421319797167E-3</v>
      </c>
      <c r="G1809">
        <v>1807</v>
      </c>
      <c r="H1809">
        <f t="shared" ca="1" si="60"/>
        <v>-4.7607268374318043E-3</v>
      </c>
    </row>
    <row r="1810" spans="2:8" x14ac:dyDescent="0.3">
      <c r="B1810" s="113">
        <v>39905</v>
      </c>
      <c r="C1810">
        <v>61.42</v>
      </c>
      <c r="D1810">
        <f t="shared" si="59"/>
        <v>-0.55746091216946458</v>
      </c>
      <c r="E1810">
        <v>5.072819505809234E-3</v>
      </c>
      <c r="G1810">
        <v>1808</v>
      </c>
      <c r="H1810">
        <f t="shared" ca="1" si="60"/>
        <v>-7.2257583410747766E-3</v>
      </c>
    </row>
    <row r="1811" spans="2:8" x14ac:dyDescent="0.3">
      <c r="B1811" s="113">
        <v>40849</v>
      </c>
      <c r="C1811">
        <v>138.79</v>
      </c>
      <c r="D1811">
        <f t="shared" si="59"/>
        <v>1.3267393126571667</v>
      </c>
      <c r="E1811">
        <v>5.0691577956404419E-3</v>
      </c>
      <c r="G1811">
        <v>1809</v>
      </c>
      <c r="H1811">
        <f t="shared" ca="1" si="60"/>
        <v>-1.8371090924829962E-2</v>
      </c>
    </row>
    <row r="1812" spans="2:8" x14ac:dyDescent="0.3">
      <c r="B1812" s="113">
        <v>39804</v>
      </c>
      <c r="C1812">
        <v>59.65</v>
      </c>
      <c r="D1812">
        <f t="shared" si="59"/>
        <v>-0.72743888508110577</v>
      </c>
      <c r="E1812">
        <v>5.0547598989047543E-3</v>
      </c>
      <c r="G1812">
        <v>1810</v>
      </c>
      <c r="H1812">
        <f t="shared" ca="1" si="60"/>
        <v>-3.8478985429323625E-3</v>
      </c>
    </row>
    <row r="1813" spans="2:8" x14ac:dyDescent="0.3">
      <c r="B1813" s="113">
        <v>44245</v>
      </c>
      <c r="C1813">
        <v>218.85</v>
      </c>
      <c r="D1813">
        <f t="shared" si="59"/>
        <v>-0.18718662952646242</v>
      </c>
      <c r="E1813">
        <v>5.051664753157264E-3</v>
      </c>
      <c r="G1813">
        <v>1811</v>
      </c>
      <c r="H1813">
        <f t="shared" ca="1" si="60"/>
        <v>1.4090753335511309E-2</v>
      </c>
    </row>
    <row r="1814" spans="2:8" x14ac:dyDescent="0.3">
      <c r="B1814" s="113">
        <v>43262</v>
      </c>
      <c r="C1814">
        <v>269.25</v>
      </c>
      <c r="D1814">
        <f t="shared" si="59"/>
        <v>6.5420560747663555E-3</v>
      </c>
      <c r="E1814">
        <v>5.0391937290034444E-3</v>
      </c>
      <c r="G1814">
        <v>1812</v>
      </c>
      <c r="H1814">
        <f t="shared" ca="1" si="60"/>
        <v>9.4330014630488804E-3</v>
      </c>
    </row>
    <row r="1815" spans="2:8" x14ac:dyDescent="0.3">
      <c r="B1815" s="113">
        <v>44662</v>
      </c>
      <c r="C1815">
        <v>267.5</v>
      </c>
      <c r="D1815">
        <f t="shared" si="59"/>
        <v>15.666666666666666</v>
      </c>
      <c r="E1815">
        <v>5.0345656747819911E-3</v>
      </c>
      <c r="G1815">
        <v>1813</v>
      </c>
      <c r="H1815">
        <f t="shared" ca="1" si="60"/>
        <v>-5.3080351426587676E-3</v>
      </c>
    </row>
    <row r="1816" spans="2:8" x14ac:dyDescent="0.3">
      <c r="B1816" s="113">
        <v>37825</v>
      </c>
      <c r="C1816">
        <v>16.05</v>
      </c>
      <c r="D1816">
        <f t="shared" si="59"/>
        <v>-0.93119266055045868</v>
      </c>
      <c r="E1816">
        <v>5.0093926111459026E-3</v>
      </c>
      <c r="G1816">
        <v>1814</v>
      </c>
      <c r="H1816">
        <f t="shared" ca="1" si="60"/>
        <v>1.0632665466508151E-3</v>
      </c>
    </row>
    <row r="1817" spans="2:8" x14ac:dyDescent="0.3">
      <c r="B1817" s="113">
        <v>42111</v>
      </c>
      <c r="C1817">
        <v>233.26</v>
      </c>
      <c r="D1817">
        <f t="shared" si="59"/>
        <v>-3.3519784545266225E-2</v>
      </c>
      <c r="E1817">
        <v>4.9978457561395805E-3</v>
      </c>
      <c r="G1817">
        <v>1815</v>
      </c>
      <c r="H1817">
        <f t="shared" ca="1" si="60"/>
        <v>1.6989159873831615E-2</v>
      </c>
    </row>
    <row r="1818" spans="2:8" x14ac:dyDescent="0.3">
      <c r="B1818" s="113">
        <v>42667</v>
      </c>
      <c r="C1818">
        <v>241.35</v>
      </c>
      <c r="D1818">
        <f t="shared" si="59"/>
        <v>16.080679405520169</v>
      </c>
      <c r="E1818">
        <v>4.9968769519050122E-3</v>
      </c>
      <c r="G1818">
        <v>1816</v>
      </c>
      <c r="H1818">
        <f t="shared" ca="1" si="60"/>
        <v>7.8192081561655555E-3</v>
      </c>
    </row>
    <row r="1819" spans="2:8" x14ac:dyDescent="0.3">
      <c r="B1819" s="113">
        <v>37554</v>
      </c>
      <c r="C1819">
        <v>14.13</v>
      </c>
      <c r="D1819">
        <f t="shared" si="59"/>
        <v>-0.93813214238802056</v>
      </c>
      <c r="E1819">
        <v>4.9786628733997354E-3</v>
      </c>
      <c r="G1819">
        <v>1817</v>
      </c>
      <c r="H1819">
        <f t="shared" ca="1" si="60"/>
        <v>1.4448370542289203E-2</v>
      </c>
    </row>
    <row r="1820" spans="2:8" x14ac:dyDescent="0.3">
      <c r="B1820" s="113">
        <v>41403</v>
      </c>
      <c r="C1820">
        <v>228.39</v>
      </c>
      <c r="D1820">
        <f t="shared" si="59"/>
        <v>6.4407885538518866E-2</v>
      </c>
      <c r="E1820">
        <v>4.9722784475930452E-3</v>
      </c>
      <c r="G1820">
        <v>1818</v>
      </c>
      <c r="H1820">
        <f t="shared" ca="1" si="60"/>
        <v>-1.140611675465715E-2</v>
      </c>
    </row>
    <row r="1821" spans="2:8" x14ac:dyDescent="0.3">
      <c r="B1821" s="113">
        <v>42446</v>
      </c>
      <c r="C1821">
        <v>214.57</v>
      </c>
      <c r="D1821">
        <f t="shared" si="59"/>
        <v>5.9604938271604901E-2</v>
      </c>
      <c r="E1821">
        <v>4.9646386586108485E-3</v>
      </c>
      <c r="G1821">
        <v>1819</v>
      </c>
      <c r="H1821">
        <f t="shared" ca="1" si="60"/>
        <v>7.5513058379274673E-3</v>
      </c>
    </row>
    <row r="1822" spans="2:8" x14ac:dyDescent="0.3">
      <c r="B1822" s="113">
        <v>44207</v>
      </c>
      <c r="C1822">
        <v>202.5</v>
      </c>
      <c r="D1822">
        <f t="shared" si="59"/>
        <v>-8.3544532947139788E-2</v>
      </c>
      <c r="E1822">
        <v>4.9627791563275434E-3</v>
      </c>
      <c r="G1822">
        <v>1820</v>
      </c>
      <c r="H1822">
        <f t="shared" ca="1" si="60"/>
        <v>-1.5595560417373843E-2</v>
      </c>
    </row>
    <row r="1823" spans="2:8" x14ac:dyDescent="0.3">
      <c r="B1823" s="113">
        <v>41703</v>
      </c>
      <c r="C1823">
        <v>220.96</v>
      </c>
      <c r="D1823">
        <f t="shared" si="59"/>
        <v>8.9040788883908562</v>
      </c>
      <c r="E1823">
        <v>4.9574748715150016E-3</v>
      </c>
      <c r="G1823">
        <v>1821</v>
      </c>
      <c r="H1823">
        <f t="shared" ca="1" si="60"/>
        <v>6.5561629784932985E-3</v>
      </c>
    </row>
    <row r="1824" spans="2:8" x14ac:dyDescent="0.3">
      <c r="B1824" s="113">
        <v>38028</v>
      </c>
      <c r="C1824">
        <v>22.31</v>
      </c>
      <c r="D1824">
        <f t="shared" si="59"/>
        <v>-0.89675598130408629</v>
      </c>
      <c r="E1824">
        <v>4.9549549549549295E-3</v>
      </c>
      <c r="G1824">
        <v>1822</v>
      </c>
      <c r="H1824">
        <f t="shared" ca="1" si="60"/>
        <v>8.0650986659777778E-3</v>
      </c>
    </row>
    <row r="1825" spans="2:8" x14ac:dyDescent="0.3">
      <c r="B1825" s="113">
        <v>41456</v>
      </c>
      <c r="C1825">
        <v>216.09</v>
      </c>
      <c r="D1825">
        <f t="shared" si="59"/>
        <v>0.2316329438586493</v>
      </c>
      <c r="E1825">
        <v>4.9295447146909836E-3</v>
      </c>
      <c r="G1825">
        <v>1823</v>
      </c>
      <c r="H1825">
        <f t="shared" ca="1" si="60"/>
        <v>2.8337928691768127E-2</v>
      </c>
    </row>
    <row r="1826" spans="2:8" x14ac:dyDescent="0.3">
      <c r="B1826" s="113">
        <v>41162</v>
      </c>
      <c r="C1826">
        <v>175.45</v>
      </c>
      <c r="D1826">
        <f t="shared" si="59"/>
        <v>5.1346153846153841</v>
      </c>
      <c r="E1826">
        <v>4.9258262214329869E-3</v>
      </c>
      <c r="G1826">
        <v>1824</v>
      </c>
      <c r="H1826">
        <f t="shared" ca="1" si="60"/>
        <v>-1.1375637718972187E-2</v>
      </c>
    </row>
    <row r="1827" spans="2:8" x14ac:dyDescent="0.3">
      <c r="B1827" s="113">
        <v>38411</v>
      </c>
      <c r="C1827">
        <v>28.6</v>
      </c>
      <c r="D1827">
        <f t="shared" si="59"/>
        <v>-0.88801879404855133</v>
      </c>
      <c r="E1827">
        <v>4.9191848208011441E-3</v>
      </c>
      <c r="G1827">
        <v>1825</v>
      </c>
      <c r="H1827">
        <f t="shared" ca="1" si="60"/>
        <v>1.2673413145960107E-2</v>
      </c>
    </row>
    <row r="1828" spans="2:8" x14ac:dyDescent="0.3">
      <c r="B1828" s="113">
        <v>42755</v>
      </c>
      <c r="C1828">
        <v>255.4</v>
      </c>
      <c r="D1828">
        <f t="shared" si="59"/>
        <v>-7.4805288896938979E-2</v>
      </c>
      <c r="E1828">
        <v>4.9183553019870154E-3</v>
      </c>
      <c r="G1828">
        <v>1826</v>
      </c>
      <c r="H1828">
        <f t="shared" ca="1" si="60"/>
        <v>5.2250661574446793E-3</v>
      </c>
    </row>
    <row r="1829" spans="2:8" x14ac:dyDescent="0.3">
      <c r="B1829" s="113">
        <v>43446</v>
      </c>
      <c r="C1829">
        <v>276.05</v>
      </c>
      <c r="D1829">
        <f t="shared" si="59"/>
        <v>3.4988591916558018</v>
      </c>
      <c r="E1829">
        <v>4.9144521295960055E-3</v>
      </c>
      <c r="G1829">
        <v>1827</v>
      </c>
      <c r="H1829">
        <f t="shared" ca="1" si="60"/>
        <v>-1.9712514948842182E-2</v>
      </c>
    </row>
    <row r="1830" spans="2:8" x14ac:dyDescent="0.3">
      <c r="B1830" s="113">
        <v>39051</v>
      </c>
      <c r="C1830">
        <v>61.36</v>
      </c>
      <c r="D1830">
        <f t="shared" si="59"/>
        <v>-0.70635528330781017</v>
      </c>
      <c r="E1830">
        <v>4.9132001310186234E-3</v>
      </c>
      <c r="G1830">
        <v>1828</v>
      </c>
      <c r="H1830">
        <f t="shared" ca="1" si="60"/>
        <v>4.0277775159786408E-2</v>
      </c>
    </row>
    <row r="1831" spans="2:8" x14ac:dyDescent="0.3">
      <c r="B1831" s="113">
        <v>41628</v>
      </c>
      <c r="C1831">
        <v>208.96</v>
      </c>
      <c r="D1831">
        <f t="shared" si="59"/>
        <v>2.3993818122661463</v>
      </c>
      <c r="E1831">
        <v>4.9052611330191896E-3</v>
      </c>
      <c r="G1831">
        <v>1829</v>
      </c>
      <c r="H1831">
        <f t="shared" ca="1" si="60"/>
        <v>3.7340810022017494E-3</v>
      </c>
    </row>
    <row r="1832" spans="2:8" x14ac:dyDescent="0.3">
      <c r="B1832" s="113">
        <v>39352</v>
      </c>
      <c r="C1832">
        <v>61.47</v>
      </c>
      <c r="D1832">
        <f t="shared" si="59"/>
        <v>-0.68444558521560572</v>
      </c>
      <c r="E1832">
        <v>4.9043648847473783E-3</v>
      </c>
      <c r="G1832">
        <v>1830</v>
      </c>
      <c r="H1832">
        <f t="shared" ca="1" si="60"/>
        <v>-1.7670021426541222E-3</v>
      </c>
    </row>
    <row r="1833" spans="2:8" x14ac:dyDescent="0.3">
      <c r="B1833" s="113">
        <v>44161</v>
      </c>
      <c r="C1833">
        <v>194.8</v>
      </c>
      <c r="D1833">
        <f t="shared" si="59"/>
        <v>2.1654208644783886</v>
      </c>
      <c r="E1833">
        <v>4.9006964147537638E-3</v>
      </c>
      <c r="G1833">
        <v>1831</v>
      </c>
      <c r="H1833">
        <f t="shared" ca="1" si="60"/>
        <v>1.1787963059072459E-2</v>
      </c>
    </row>
    <row r="1834" spans="2:8" x14ac:dyDescent="0.3">
      <c r="B1834" s="113">
        <v>39709</v>
      </c>
      <c r="C1834">
        <v>61.54</v>
      </c>
      <c r="D1834">
        <f t="shared" si="59"/>
        <v>0.66639588410506367</v>
      </c>
      <c r="E1834">
        <v>4.898758981058085E-3</v>
      </c>
      <c r="G1834">
        <v>1832</v>
      </c>
      <c r="H1834">
        <f t="shared" ca="1" si="60"/>
        <v>1.4738601939000857E-2</v>
      </c>
    </row>
    <row r="1835" spans="2:8" x14ac:dyDescent="0.3">
      <c r="B1835" s="113">
        <v>38566</v>
      </c>
      <c r="C1835">
        <v>36.93</v>
      </c>
      <c r="D1835">
        <f t="shared" si="59"/>
        <v>0.12351688469729244</v>
      </c>
      <c r="E1835">
        <v>4.8979591836734613E-3</v>
      </c>
      <c r="G1835">
        <v>1833</v>
      </c>
      <c r="H1835">
        <f t="shared" ca="1" si="60"/>
        <v>3.8045378266890273E-3</v>
      </c>
    </row>
    <row r="1836" spans="2:8" x14ac:dyDescent="0.3">
      <c r="B1836" s="113">
        <v>38488</v>
      </c>
      <c r="C1836">
        <v>32.869999999999997</v>
      </c>
      <c r="D1836">
        <f t="shared" si="59"/>
        <v>-0.84927549523110779</v>
      </c>
      <c r="E1836">
        <v>4.8914704983184527E-3</v>
      </c>
      <c r="G1836">
        <v>1834</v>
      </c>
      <c r="H1836">
        <f t="shared" ca="1" si="60"/>
        <v>1.4138436706716046E-2</v>
      </c>
    </row>
    <row r="1837" spans="2:8" x14ac:dyDescent="0.3">
      <c r="B1837" s="113">
        <v>41662</v>
      </c>
      <c r="C1837">
        <v>218.08</v>
      </c>
      <c r="D1837">
        <f t="shared" si="59"/>
        <v>1.5629333646726995</v>
      </c>
      <c r="E1837">
        <v>4.8843424569164238E-3</v>
      </c>
      <c r="G1837">
        <v>1835</v>
      </c>
      <c r="H1837">
        <f t="shared" ca="1" si="60"/>
        <v>4.6744181082388489E-3</v>
      </c>
    </row>
    <row r="1838" spans="2:8" x14ac:dyDescent="0.3">
      <c r="B1838" s="113">
        <v>40151</v>
      </c>
      <c r="C1838">
        <v>85.09</v>
      </c>
      <c r="D1838">
        <f t="shared" si="59"/>
        <v>-0.68508512213175421</v>
      </c>
      <c r="E1838">
        <v>4.8417572035899447E-3</v>
      </c>
      <c r="G1838">
        <v>1836</v>
      </c>
      <c r="H1838">
        <f t="shared" ca="1" si="60"/>
        <v>4.6654902787943865E-3</v>
      </c>
    </row>
    <row r="1839" spans="2:8" x14ac:dyDescent="0.3">
      <c r="B1839" s="113">
        <v>43677</v>
      </c>
      <c r="C1839">
        <v>270.2</v>
      </c>
      <c r="D1839">
        <f t="shared" si="59"/>
        <v>0.13974775382798327</v>
      </c>
      <c r="E1839">
        <v>4.8345109706210915E-3</v>
      </c>
      <c r="G1839">
        <v>1837</v>
      </c>
      <c r="H1839">
        <f t="shared" ca="1" si="60"/>
        <v>2.3931758416416343E-2</v>
      </c>
    </row>
    <row r="1840" spans="2:8" x14ac:dyDescent="0.3">
      <c r="B1840" s="113">
        <v>42527</v>
      </c>
      <c r="C1840">
        <v>237.07</v>
      </c>
      <c r="D1840">
        <f t="shared" si="59"/>
        <v>-5.2667332667332693E-2</v>
      </c>
      <c r="E1840">
        <v>4.8319416776161838E-3</v>
      </c>
      <c r="G1840">
        <v>1838</v>
      </c>
      <c r="H1840">
        <f t="shared" ca="1" si="60"/>
        <v>-3.4987401684850382E-3</v>
      </c>
    </row>
    <row r="1841" spans="2:8" x14ac:dyDescent="0.3">
      <c r="B1841" s="113">
        <v>42571</v>
      </c>
      <c r="C1841">
        <v>250.25</v>
      </c>
      <c r="D1841">
        <f t="shared" si="59"/>
        <v>0.14217252396166138</v>
      </c>
      <c r="E1841">
        <v>4.8183095763902374E-3</v>
      </c>
      <c r="G1841">
        <v>1839</v>
      </c>
      <c r="H1841">
        <f t="shared" ca="1" si="60"/>
        <v>-1.027928186798578E-2</v>
      </c>
    </row>
    <row r="1842" spans="2:8" x14ac:dyDescent="0.3">
      <c r="B1842" s="113">
        <v>44564</v>
      </c>
      <c r="C1842">
        <v>219.1</v>
      </c>
      <c r="D1842">
        <f t="shared" si="59"/>
        <v>4.8302288451303879</v>
      </c>
      <c r="E1842">
        <v>4.8154093097912539E-3</v>
      </c>
      <c r="G1842">
        <v>1840</v>
      </c>
      <c r="H1842">
        <f t="shared" ca="1" si="60"/>
        <v>-1.690556546227049E-2</v>
      </c>
    </row>
    <row r="1843" spans="2:8" x14ac:dyDescent="0.3">
      <c r="B1843" s="113">
        <v>38580</v>
      </c>
      <c r="C1843">
        <v>37.58</v>
      </c>
      <c r="D1843">
        <f t="shared" si="59"/>
        <v>-0.84348188254893786</v>
      </c>
      <c r="E1843">
        <v>4.812834224598923E-3</v>
      </c>
      <c r="G1843">
        <v>1841</v>
      </c>
      <c r="H1843">
        <f t="shared" ca="1" si="60"/>
        <v>8.9132162442433667E-3</v>
      </c>
    </row>
    <row r="1844" spans="2:8" x14ac:dyDescent="0.3">
      <c r="B1844" s="113">
        <v>42653</v>
      </c>
      <c r="C1844">
        <v>240.1</v>
      </c>
      <c r="D1844">
        <f t="shared" si="59"/>
        <v>0.1482544237207078</v>
      </c>
      <c r="E1844">
        <v>4.8127223268466445E-3</v>
      </c>
      <c r="G1844">
        <v>1842</v>
      </c>
      <c r="H1844">
        <f t="shared" ca="1" si="60"/>
        <v>-1.1891913036815546E-2</v>
      </c>
    </row>
    <row r="1845" spans="2:8" x14ac:dyDescent="0.3">
      <c r="B1845" s="113">
        <v>42387</v>
      </c>
      <c r="C1845">
        <v>209.1</v>
      </c>
      <c r="D1845">
        <f t="shared" si="59"/>
        <v>-2.9518240044555895E-2</v>
      </c>
      <c r="E1845">
        <v>4.8053820278712162E-3</v>
      </c>
      <c r="G1845">
        <v>1843</v>
      </c>
      <c r="H1845">
        <f t="shared" ca="1" si="60"/>
        <v>-6.1956493730718643E-3</v>
      </c>
    </row>
    <row r="1846" spans="2:8" x14ac:dyDescent="0.3">
      <c r="B1846" s="113">
        <v>41680</v>
      </c>
      <c r="C1846">
        <v>215.46</v>
      </c>
      <c r="D1846">
        <f t="shared" si="59"/>
        <v>1.9418350628072096</v>
      </c>
      <c r="E1846">
        <v>4.8034323555472703E-3</v>
      </c>
      <c r="G1846">
        <v>1844</v>
      </c>
      <c r="H1846">
        <f t="shared" ca="1" si="60"/>
        <v>-3.0172154365682789E-2</v>
      </c>
    </row>
    <row r="1847" spans="2:8" x14ac:dyDescent="0.3">
      <c r="B1847" s="113">
        <v>39570</v>
      </c>
      <c r="C1847">
        <v>73.239999999999995</v>
      </c>
      <c r="D1847">
        <f t="shared" si="59"/>
        <v>-0.74174894217207332</v>
      </c>
      <c r="E1847">
        <v>4.8017560707915262E-3</v>
      </c>
      <c r="G1847">
        <v>1845</v>
      </c>
      <c r="H1847">
        <f t="shared" ca="1" si="60"/>
        <v>-5.2845260317648593E-3</v>
      </c>
    </row>
    <row r="1848" spans="2:8" x14ac:dyDescent="0.3">
      <c r="B1848" s="113">
        <v>42979</v>
      </c>
      <c r="C1848">
        <v>283.60000000000002</v>
      </c>
      <c r="D1848">
        <f t="shared" si="59"/>
        <v>0.36064865902221377</v>
      </c>
      <c r="E1848">
        <v>4.7829937998229329E-3</v>
      </c>
      <c r="G1848">
        <v>1846</v>
      </c>
      <c r="H1848">
        <f t="shared" ca="1" si="60"/>
        <v>5.5492696860765418E-3</v>
      </c>
    </row>
    <row r="1849" spans="2:8" x14ac:dyDescent="0.3">
      <c r="B1849" s="113">
        <v>42256</v>
      </c>
      <c r="C1849">
        <v>208.43</v>
      </c>
      <c r="D1849">
        <f t="shared" si="59"/>
        <v>0.57115935474144441</v>
      </c>
      <c r="E1849">
        <v>4.7724643270343672E-3</v>
      </c>
      <c r="G1849">
        <v>1847</v>
      </c>
      <c r="H1849">
        <f t="shared" ca="1" si="60"/>
        <v>1.6679519494095976E-2</v>
      </c>
    </row>
    <row r="1850" spans="2:8" x14ac:dyDescent="0.3">
      <c r="B1850" s="113">
        <v>40826</v>
      </c>
      <c r="C1850">
        <v>132.66</v>
      </c>
      <c r="D1850">
        <f t="shared" si="59"/>
        <v>2.4974953862378064</v>
      </c>
      <c r="E1850">
        <v>4.77164280845259E-3</v>
      </c>
      <c r="G1850">
        <v>1848</v>
      </c>
      <c r="H1850">
        <f t="shared" ca="1" si="60"/>
        <v>-3.3545093065500682E-3</v>
      </c>
    </row>
    <row r="1851" spans="2:8" x14ac:dyDescent="0.3">
      <c r="B1851" s="113">
        <v>38590</v>
      </c>
      <c r="C1851">
        <v>37.93</v>
      </c>
      <c r="D1851">
        <f t="shared" si="59"/>
        <v>-0.76667076771653542</v>
      </c>
      <c r="E1851">
        <v>4.7682119205297935E-3</v>
      </c>
      <c r="G1851">
        <v>1849</v>
      </c>
      <c r="H1851">
        <f t="shared" ca="1" si="60"/>
        <v>-2.2683743873662041E-2</v>
      </c>
    </row>
    <row r="1852" spans="2:8" x14ac:dyDescent="0.3">
      <c r="B1852" s="113">
        <v>41019</v>
      </c>
      <c r="C1852">
        <v>162.56</v>
      </c>
      <c r="D1852">
        <f t="shared" si="59"/>
        <v>5.4050433412135543</v>
      </c>
      <c r="E1852">
        <v>4.7592558254528107E-3</v>
      </c>
      <c r="G1852">
        <v>1850</v>
      </c>
      <c r="H1852">
        <f t="shared" ca="1" si="60"/>
        <v>-1.4652091652534914E-2</v>
      </c>
    </row>
    <row r="1853" spans="2:8" x14ac:dyDescent="0.3">
      <c r="B1853" s="113">
        <v>38302</v>
      </c>
      <c r="C1853">
        <v>25.38</v>
      </c>
      <c r="D1853">
        <f t="shared" si="59"/>
        <v>-0.89390962671905694</v>
      </c>
      <c r="E1853">
        <v>4.7505938242279272E-3</v>
      </c>
      <c r="G1853">
        <v>1851</v>
      </c>
      <c r="H1853">
        <f t="shared" ca="1" si="60"/>
        <v>-3.5361600308039878E-2</v>
      </c>
    </row>
    <row r="1854" spans="2:8" x14ac:dyDescent="0.3">
      <c r="B1854" s="113">
        <v>41772</v>
      </c>
      <c r="C1854">
        <v>239.23</v>
      </c>
      <c r="D1854">
        <f t="shared" si="59"/>
        <v>3.1838055264078347</v>
      </c>
      <c r="E1854">
        <v>4.7459050818983431E-3</v>
      </c>
      <c r="G1854">
        <v>1852</v>
      </c>
      <c r="H1854">
        <f t="shared" ca="1" si="60"/>
        <v>3.6233041082377411E-2</v>
      </c>
    </row>
    <row r="1855" spans="2:8" x14ac:dyDescent="0.3">
      <c r="B1855" s="113">
        <v>39142</v>
      </c>
      <c r="C1855">
        <v>57.18</v>
      </c>
      <c r="D1855">
        <f t="shared" si="59"/>
        <v>-0.73800687285223365</v>
      </c>
      <c r="E1855">
        <v>4.7443331576173453E-3</v>
      </c>
      <c r="G1855">
        <v>1853</v>
      </c>
      <c r="H1855">
        <f t="shared" ca="1" si="60"/>
        <v>-4.6324523413913818E-3</v>
      </c>
    </row>
    <row r="1856" spans="2:8" x14ac:dyDescent="0.3">
      <c r="B1856" s="113">
        <v>41701</v>
      </c>
      <c r="C1856">
        <v>218.25</v>
      </c>
      <c r="D1856">
        <f t="shared" si="59"/>
        <v>3.7704450361354162E-2</v>
      </c>
      <c r="E1856">
        <v>4.7417364883528277E-3</v>
      </c>
      <c r="G1856">
        <v>1854</v>
      </c>
      <c r="H1856">
        <f t="shared" ca="1" si="60"/>
        <v>1.9209954938839958E-3</v>
      </c>
    </row>
    <row r="1857" spans="2:8" x14ac:dyDescent="0.3">
      <c r="B1857" s="113">
        <v>42383</v>
      </c>
      <c r="C1857">
        <v>210.32</v>
      </c>
      <c r="D1857">
        <f t="shared" si="59"/>
        <v>11.328253223915592</v>
      </c>
      <c r="E1857">
        <v>4.729374671571111E-3</v>
      </c>
      <c r="G1857">
        <v>1855</v>
      </c>
      <c r="H1857">
        <f t="shared" ca="1" si="60"/>
        <v>-1.5033810360694936E-3</v>
      </c>
    </row>
    <row r="1858" spans="2:8" x14ac:dyDescent="0.3">
      <c r="B1858" s="113">
        <v>37845</v>
      </c>
      <c r="C1858">
        <v>17.059999999999999</v>
      </c>
      <c r="D1858">
        <f t="shared" si="59"/>
        <v>-0.92745056347012544</v>
      </c>
      <c r="E1858">
        <v>4.7114252061247518E-3</v>
      </c>
      <c r="G1858">
        <v>1856</v>
      </c>
      <c r="H1858">
        <f t="shared" ca="1" si="60"/>
        <v>2.3307360655228098E-3</v>
      </c>
    </row>
    <row r="1859" spans="2:8" x14ac:dyDescent="0.3">
      <c r="B1859" s="113">
        <v>43861</v>
      </c>
      <c r="C1859">
        <v>235.15</v>
      </c>
      <c r="D1859">
        <f t="shared" ref="D1859:D1922" si="61">(C1859-C1860)/C1860</f>
        <v>0.32471410061405004</v>
      </c>
      <c r="E1859">
        <v>4.6998504593035433E-3</v>
      </c>
      <c r="G1859">
        <v>1857</v>
      </c>
      <c r="H1859">
        <f t="shared" ca="1" si="60"/>
        <v>-1.1167353836070733E-2</v>
      </c>
    </row>
    <row r="1860" spans="2:8" x14ac:dyDescent="0.3">
      <c r="B1860" s="113">
        <v>41157</v>
      </c>
      <c r="C1860">
        <v>177.51</v>
      </c>
      <c r="D1860">
        <f t="shared" si="61"/>
        <v>8.2212987012987</v>
      </c>
      <c r="E1860">
        <v>4.6977586597237043E-3</v>
      </c>
      <c r="G1860">
        <v>1858</v>
      </c>
      <c r="H1860">
        <f t="shared" ref="H1860:H1923" ca="1" si="62">_xlfn.NORM.INV(RAND(),$L$4,$L$6)</f>
        <v>-9.7678019726424592E-3</v>
      </c>
    </row>
    <row r="1861" spans="2:8" x14ac:dyDescent="0.3">
      <c r="B1861" s="113">
        <v>38166</v>
      </c>
      <c r="C1861">
        <v>19.25</v>
      </c>
      <c r="D1861">
        <f t="shared" si="61"/>
        <v>-0.85832045337454921</v>
      </c>
      <c r="E1861">
        <v>4.6972860125260888E-3</v>
      </c>
      <c r="G1861">
        <v>1859</v>
      </c>
      <c r="H1861">
        <f t="shared" ca="1" si="62"/>
        <v>-4.1330755742477389E-4</v>
      </c>
    </row>
    <row r="1862" spans="2:8" x14ac:dyDescent="0.3">
      <c r="B1862" s="113">
        <v>40903</v>
      </c>
      <c r="C1862">
        <v>135.87</v>
      </c>
      <c r="D1862">
        <f t="shared" si="61"/>
        <v>1.3301320528211285</v>
      </c>
      <c r="E1862">
        <v>4.6583850931676682E-3</v>
      </c>
      <c r="G1862">
        <v>1860</v>
      </c>
      <c r="H1862">
        <f t="shared" ca="1" si="62"/>
        <v>-3.6103187524287063E-4</v>
      </c>
    </row>
    <row r="1863" spans="2:8" x14ac:dyDescent="0.3">
      <c r="B1863" s="113">
        <v>38790</v>
      </c>
      <c r="C1863">
        <v>58.31</v>
      </c>
      <c r="D1863">
        <f t="shared" si="61"/>
        <v>-0.77503858024691352</v>
      </c>
      <c r="E1863">
        <v>4.6519641626465045E-3</v>
      </c>
      <c r="G1863">
        <v>1861</v>
      </c>
      <c r="H1863">
        <f t="shared" ca="1" si="62"/>
        <v>1.4446495210550142E-2</v>
      </c>
    </row>
    <row r="1864" spans="2:8" x14ac:dyDescent="0.3">
      <c r="B1864" s="113">
        <v>43059</v>
      </c>
      <c r="C1864">
        <v>259.2</v>
      </c>
      <c r="D1864">
        <f t="shared" si="61"/>
        <v>0.44481605351170556</v>
      </c>
      <c r="E1864">
        <v>4.6511627906976301E-3</v>
      </c>
      <c r="G1864">
        <v>1862</v>
      </c>
      <c r="H1864">
        <f t="shared" ca="1" si="62"/>
        <v>2.1104770196352242E-2</v>
      </c>
    </row>
    <row r="1865" spans="2:8" x14ac:dyDescent="0.3">
      <c r="B1865" s="113">
        <v>41151</v>
      </c>
      <c r="C1865">
        <v>179.4</v>
      </c>
      <c r="D1865">
        <f t="shared" si="61"/>
        <v>-0.17082640044370495</v>
      </c>
      <c r="E1865">
        <v>4.6480371842975449E-3</v>
      </c>
      <c r="G1865">
        <v>1863</v>
      </c>
      <c r="H1865">
        <f t="shared" ca="1" si="62"/>
        <v>-2.8104228480890163E-2</v>
      </c>
    </row>
    <row r="1866" spans="2:8" x14ac:dyDescent="0.3">
      <c r="B1866" s="113">
        <v>41458</v>
      </c>
      <c r="C1866">
        <v>216.36</v>
      </c>
      <c r="D1866">
        <f t="shared" si="61"/>
        <v>3.9898523985239853</v>
      </c>
      <c r="E1866">
        <v>4.6433878157503715E-3</v>
      </c>
      <c r="G1866">
        <v>1864</v>
      </c>
      <c r="H1866">
        <f t="shared" ca="1" si="62"/>
        <v>1.0121885550397091E-2</v>
      </c>
    </row>
    <row r="1867" spans="2:8" x14ac:dyDescent="0.3">
      <c r="B1867" s="113">
        <v>38674</v>
      </c>
      <c r="C1867">
        <v>43.36</v>
      </c>
      <c r="D1867">
        <f t="shared" si="61"/>
        <v>-0.83377419973164646</v>
      </c>
      <c r="E1867">
        <v>4.6339202965709654E-3</v>
      </c>
      <c r="G1867">
        <v>1865</v>
      </c>
      <c r="H1867">
        <f t="shared" ca="1" si="62"/>
        <v>-1.0285438695913948E-3</v>
      </c>
    </row>
    <row r="1868" spans="2:8" x14ac:dyDescent="0.3">
      <c r="B1868" s="113">
        <v>43196</v>
      </c>
      <c r="C1868">
        <v>260.85000000000002</v>
      </c>
      <c r="D1868">
        <f t="shared" si="61"/>
        <v>0.24892272335535767</v>
      </c>
      <c r="E1868">
        <v>4.6216060080879863E-3</v>
      </c>
      <c r="G1868">
        <v>1866</v>
      </c>
      <c r="H1868">
        <f t="shared" ca="1" si="62"/>
        <v>6.7277679449401625E-3</v>
      </c>
    </row>
    <row r="1869" spans="2:8" x14ac:dyDescent="0.3">
      <c r="B1869" s="113">
        <v>42187</v>
      </c>
      <c r="C1869">
        <v>208.86</v>
      </c>
      <c r="D1869">
        <f t="shared" si="61"/>
        <v>-0.26171792152704126</v>
      </c>
      <c r="E1869">
        <v>4.6176046176046558E-3</v>
      </c>
      <c r="G1869">
        <v>1867</v>
      </c>
      <c r="H1869">
        <f t="shared" ca="1" si="62"/>
        <v>2.522230989905232E-2</v>
      </c>
    </row>
    <row r="1870" spans="2:8" x14ac:dyDescent="0.3">
      <c r="B1870" s="113">
        <v>42969</v>
      </c>
      <c r="C1870">
        <v>282.89999999999998</v>
      </c>
      <c r="D1870">
        <f t="shared" si="61"/>
        <v>-3.1993156544054824E-2</v>
      </c>
      <c r="E1870">
        <v>4.6164772727271108E-3</v>
      </c>
      <c r="G1870">
        <v>1868</v>
      </c>
      <c r="H1870">
        <f t="shared" ca="1" si="62"/>
        <v>8.2338450656438082E-3</v>
      </c>
    </row>
    <row r="1871" spans="2:8" x14ac:dyDescent="0.3">
      <c r="B1871" s="113">
        <v>44755</v>
      </c>
      <c r="C1871">
        <v>292.25</v>
      </c>
      <c r="D1871">
        <f t="shared" si="61"/>
        <v>4.1515952758681474</v>
      </c>
      <c r="E1871">
        <v>4.6062356055136464E-3</v>
      </c>
      <c r="G1871">
        <v>1869</v>
      </c>
      <c r="H1871">
        <f t="shared" ca="1" si="62"/>
        <v>2.0873219006226684E-2</v>
      </c>
    </row>
    <row r="1872" spans="2:8" x14ac:dyDescent="0.3">
      <c r="B1872" s="113">
        <v>39793</v>
      </c>
      <c r="C1872">
        <v>56.73</v>
      </c>
      <c r="D1872">
        <f t="shared" si="61"/>
        <v>-0.53606476938174685</v>
      </c>
      <c r="E1872">
        <v>4.604214627235665E-3</v>
      </c>
      <c r="G1872">
        <v>1870</v>
      </c>
      <c r="H1872">
        <f t="shared" ca="1" si="62"/>
        <v>2.2021382621331267E-2</v>
      </c>
    </row>
    <row r="1873" spans="2:8" x14ac:dyDescent="0.3">
      <c r="B1873" s="113">
        <v>40672</v>
      </c>
      <c r="C1873">
        <v>122.28</v>
      </c>
      <c r="D1873">
        <f t="shared" si="61"/>
        <v>-0.3420500403551251</v>
      </c>
      <c r="E1873">
        <v>4.6007229707525658E-3</v>
      </c>
      <c r="G1873">
        <v>1871</v>
      </c>
      <c r="H1873">
        <f t="shared" ca="1" si="62"/>
        <v>-1.237633875662914E-2</v>
      </c>
    </row>
    <row r="1874" spans="2:8" x14ac:dyDescent="0.3">
      <c r="B1874" s="113">
        <v>44005</v>
      </c>
      <c r="C1874">
        <v>185.85</v>
      </c>
      <c r="D1874">
        <f t="shared" si="61"/>
        <v>4.6609808102345411</v>
      </c>
      <c r="E1874">
        <v>4.5945945945945641E-3</v>
      </c>
      <c r="G1874">
        <v>1872</v>
      </c>
      <c r="H1874">
        <f t="shared" ca="1" si="62"/>
        <v>3.1082041872491542E-2</v>
      </c>
    </row>
    <row r="1875" spans="2:8" x14ac:dyDescent="0.3">
      <c r="B1875" s="113">
        <v>38490</v>
      </c>
      <c r="C1875">
        <v>32.83</v>
      </c>
      <c r="D1875">
        <f t="shared" si="61"/>
        <v>-0.88000730994152054</v>
      </c>
      <c r="E1875">
        <v>4.5899632802937143E-3</v>
      </c>
      <c r="G1875">
        <v>1873</v>
      </c>
      <c r="H1875">
        <f t="shared" ca="1" si="62"/>
        <v>-7.7300953628258277E-3</v>
      </c>
    </row>
    <row r="1876" spans="2:8" x14ac:dyDescent="0.3">
      <c r="B1876" s="113">
        <v>42989</v>
      </c>
      <c r="C1876">
        <v>273.60000000000002</v>
      </c>
      <c r="D1876">
        <f t="shared" si="61"/>
        <v>0.44654753092947047</v>
      </c>
      <c r="E1876">
        <v>4.5896823939783364E-3</v>
      </c>
      <c r="G1876">
        <v>1874</v>
      </c>
      <c r="H1876">
        <f t="shared" ca="1" si="62"/>
        <v>-1.2112551810323502E-3</v>
      </c>
    </row>
    <row r="1877" spans="2:8" x14ac:dyDescent="0.3">
      <c r="B1877" s="113">
        <v>41291</v>
      </c>
      <c r="C1877">
        <v>189.14</v>
      </c>
      <c r="D1877">
        <f t="shared" si="61"/>
        <v>9.7404883588869939</v>
      </c>
      <c r="E1877">
        <v>4.5676651795197856E-3</v>
      </c>
      <c r="G1877">
        <v>1875</v>
      </c>
      <c r="H1877">
        <f t="shared" ca="1" si="62"/>
        <v>7.5548435768997141E-3</v>
      </c>
    </row>
    <row r="1878" spans="2:8" x14ac:dyDescent="0.3">
      <c r="B1878" s="113">
        <v>37880</v>
      </c>
      <c r="C1878">
        <v>17.61</v>
      </c>
      <c r="D1878">
        <f t="shared" si="61"/>
        <v>-0.11150353178607471</v>
      </c>
      <c r="E1878">
        <v>4.5636052481459379E-3</v>
      </c>
      <c r="G1878">
        <v>1876</v>
      </c>
      <c r="H1878">
        <f t="shared" ca="1" si="62"/>
        <v>1.0264429926607097E-2</v>
      </c>
    </row>
    <row r="1879" spans="2:8" x14ac:dyDescent="0.3">
      <c r="B1879" s="113">
        <v>38148</v>
      </c>
      <c r="C1879">
        <v>19.82</v>
      </c>
      <c r="D1879">
        <f t="shared" si="61"/>
        <v>-0.91429189189189197</v>
      </c>
      <c r="E1879">
        <v>4.5615813482007021E-3</v>
      </c>
      <c r="G1879">
        <v>1877</v>
      </c>
      <c r="H1879">
        <f t="shared" ca="1" si="62"/>
        <v>-1.6784511721307661E-2</v>
      </c>
    </row>
    <row r="1880" spans="2:8" x14ac:dyDescent="0.3">
      <c r="B1880" s="113">
        <v>44600</v>
      </c>
      <c r="C1880">
        <v>231.25</v>
      </c>
      <c r="D1880">
        <f t="shared" si="61"/>
        <v>-0.22326346903130465</v>
      </c>
      <c r="E1880">
        <v>4.5612510860122127E-3</v>
      </c>
      <c r="G1880">
        <v>1878</v>
      </c>
      <c r="H1880">
        <f t="shared" ca="1" si="62"/>
        <v>8.5994824555057532E-3</v>
      </c>
    </row>
    <row r="1881" spans="2:8" x14ac:dyDescent="0.3">
      <c r="B1881" s="113">
        <v>44763</v>
      </c>
      <c r="C1881">
        <v>297.72000000000003</v>
      </c>
      <c r="D1881">
        <f t="shared" si="61"/>
        <v>0.30413071093784239</v>
      </c>
      <c r="E1881">
        <v>4.5551169146675532E-3</v>
      </c>
      <c r="G1881">
        <v>1879</v>
      </c>
      <c r="H1881">
        <f t="shared" ca="1" si="62"/>
        <v>-3.48492873609535E-3</v>
      </c>
    </row>
    <row r="1882" spans="2:8" x14ac:dyDescent="0.3">
      <c r="B1882" s="113">
        <v>42335</v>
      </c>
      <c r="C1882">
        <v>228.29</v>
      </c>
      <c r="D1882">
        <f t="shared" si="61"/>
        <v>5.057044308835235</v>
      </c>
      <c r="E1882">
        <v>4.5322538062131535E-3</v>
      </c>
      <c r="G1882">
        <v>1880</v>
      </c>
      <c r="H1882">
        <f t="shared" ca="1" si="62"/>
        <v>1.1268578344635106E-2</v>
      </c>
    </row>
    <row r="1883" spans="2:8" x14ac:dyDescent="0.3">
      <c r="B1883" s="113">
        <v>38544</v>
      </c>
      <c r="C1883">
        <v>37.69</v>
      </c>
      <c r="D1883">
        <f t="shared" si="61"/>
        <v>-0.83504748566676879</v>
      </c>
      <c r="E1883">
        <v>4.5309168443495359E-3</v>
      </c>
      <c r="G1883">
        <v>1881</v>
      </c>
      <c r="H1883">
        <f t="shared" ca="1" si="62"/>
        <v>-2.5626453432744837E-2</v>
      </c>
    </row>
    <row r="1884" spans="2:8" x14ac:dyDescent="0.3">
      <c r="B1884" s="113">
        <v>41785</v>
      </c>
      <c r="C1884">
        <v>228.49</v>
      </c>
      <c r="D1884">
        <f t="shared" si="61"/>
        <v>-2.8446296453780072E-2</v>
      </c>
      <c r="E1884">
        <v>4.528268706585778E-3</v>
      </c>
      <c r="G1884">
        <v>1882</v>
      </c>
      <c r="H1884">
        <f t="shared" ca="1" si="62"/>
        <v>-1.9069087349453157E-3</v>
      </c>
    </row>
    <row r="1885" spans="2:8" x14ac:dyDescent="0.3">
      <c r="B1885" s="113">
        <v>41899</v>
      </c>
      <c r="C1885">
        <v>235.18</v>
      </c>
      <c r="D1885">
        <f t="shared" si="61"/>
        <v>14.133848133848135</v>
      </c>
      <c r="E1885">
        <v>4.5275926875106877E-3</v>
      </c>
      <c r="G1885">
        <v>1883</v>
      </c>
      <c r="H1885">
        <f t="shared" ca="1" si="62"/>
        <v>1.6652306706549342E-2</v>
      </c>
    </row>
    <row r="1886" spans="2:8" x14ac:dyDescent="0.3">
      <c r="B1886" s="113">
        <v>37760</v>
      </c>
      <c r="C1886">
        <v>15.54</v>
      </c>
      <c r="D1886">
        <f t="shared" si="61"/>
        <v>-0.75910711517594176</v>
      </c>
      <c r="E1886">
        <v>4.5248868778279576E-3</v>
      </c>
      <c r="G1886">
        <v>1884</v>
      </c>
      <c r="H1886">
        <f t="shared" ca="1" si="62"/>
        <v>1.6813678954713467E-2</v>
      </c>
    </row>
    <row r="1887" spans="2:8" x14ac:dyDescent="0.3">
      <c r="B1887" s="113">
        <v>39008</v>
      </c>
      <c r="C1887">
        <v>64.510000000000005</v>
      </c>
      <c r="D1887">
        <f t="shared" si="61"/>
        <v>0.15983459187342697</v>
      </c>
      <c r="E1887">
        <v>4.5157271877920629E-3</v>
      </c>
      <c r="G1887">
        <v>1885</v>
      </c>
      <c r="H1887">
        <f t="shared" ca="1" si="62"/>
        <v>-7.0070882047454917E-5</v>
      </c>
    </row>
    <row r="1888" spans="2:8" x14ac:dyDescent="0.3">
      <c r="B1888" s="113">
        <v>39296</v>
      </c>
      <c r="C1888">
        <v>55.62</v>
      </c>
      <c r="D1888">
        <f t="shared" si="61"/>
        <v>-0.78273437499999998</v>
      </c>
      <c r="E1888">
        <v>4.5150803684305581E-3</v>
      </c>
      <c r="G1888">
        <v>1886</v>
      </c>
      <c r="H1888">
        <f t="shared" ca="1" si="62"/>
        <v>-1.531661909066487E-2</v>
      </c>
    </row>
    <row r="1889" spans="2:8" x14ac:dyDescent="0.3">
      <c r="B1889" s="113">
        <v>43732</v>
      </c>
      <c r="C1889">
        <v>256</v>
      </c>
      <c r="D1889">
        <f t="shared" si="61"/>
        <v>0.11634397348683066</v>
      </c>
      <c r="E1889">
        <v>4.5124583088091254E-3</v>
      </c>
      <c r="G1889">
        <v>1887</v>
      </c>
      <c r="H1889">
        <f t="shared" ca="1" si="62"/>
        <v>1.894791923066802E-2</v>
      </c>
    </row>
    <row r="1890" spans="2:8" x14ac:dyDescent="0.3">
      <c r="B1890" s="113">
        <v>41732</v>
      </c>
      <c r="C1890">
        <v>229.32</v>
      </c>
      <c r="D1890">
        <f t="shared" si="61"/>
        <v>0.28420227361818895</v>
      </c>
      <c r="E1890">
        <v>4.5118051601033826E-3</v>
      </c>
      <c r="G1890">
        <v>1888</v>
      </c>
      <c r="H1890">
        <f t="shared" ca="1" si="62"/>
        <v>2.8918866143058815E-3</v>
      </c>
    </row>
    <row r="1891" spans="2:8" x14ac:dyDescent="0.3">
      <c r="B1891" s="113">
        <v>41150</v>
      </c>
      <c r="C1891">
        <v>178.57</v>
      </c>
      <c r="D1891">
        <f t="shared" si="61"/>
        <v>9.0970185728250164E-2</v>
      </c>
      <c r="E1891">
        <v>4.5001968836135622E-3</v>
      </c>
      <c r="G1891">
        <v>1889</v>
      </c>
      <c r="H1891">
        <f t="shared" ca="1" si="62"/>
        <v>1.7065208645731793E-2</v>
      </c>
    </row>
    <row r="1892" spans="2:8" x14ac:dyDescent="0.3">
      <c r="B1892" s="113">
        <v>41027</v>
      </c>
      <c r="C1892">
        <v>163.68</v>
      </c>
      <c r="D1892">
        <f t="shared" si="61"/>
        <v>-0.45548902195608787</v>
      </c>
      <c r="E1892">
        <v>4.4799018103713912E-3</v>
      </c>
      <c r="G1892">
        <v>1890</v>
      </c>
      <c r="H1892">
        <f t="shared" ca="1" si="62"/>
        <v>2.8720734354018326E-2</v>
      </c>
    </row>
    <row r="1893" spans="2:8" x14ac:dyDescent="0.3">
      <c r="B1893" s="113">
        <v>44768</v>
      </c>
      <c r="C1893">
        <v>300.60000000000002</v>
      </c>
      <c r="D1893">
        <f t="shared" si="61"/>
        <v>0.21725045555780537</v>
      </c>
      <c r="E1893">
        <v>4.4777116888325601E-3</v>
      </c>
      <c r="G1893">
        <v>1891</v>
      </c>
      <c r="H1893">
        <f t="shared" ca="1" si="62"/>
        <v>-2.5166818202384762E-2</v>
      </c>
    </row>
    <row r="1894" spans="2:8" x14ac:dyDescent="0.3">
      <c r="B1894" s="113">
        <v>42641</v>
      </c>
      <c r="C1894">
        <v>246.95</v>
      </c>
      <c r="D1894">
        <f t="shared" si="61"/>
        <v>0.23487348734873487</v>
      </c>
      <c r="E1894">
        <v>4.4742729306487469E-3</v>
      </c>
      <c r="G1894">
        <v>1892</v>
      </c>
      <c r="H1894">
        <f t="shared" ca="1" si="62"/>
        <v>5.1066998655287018E-3</v>
      </c>
    </row>
    <row r="1895" spans="2:8" x14ac:dyDescent="0.3">
      <c r="B1895" s="113">
        <v>41324</v>
      </c>
      <c r="C1895">
        <v>199.98</v>
      </c>
      <c r="D1895">
        <f t="shared" si="61"/>
        <v>-4.3295220781706029E-2</v>
      </c>
      <c r="E1895">
        <v>4.4703400472147587E-3</v>
      </c>
      <c r="G1895">
        <v>1893</v>
      </c>
      <c r="H1895">
        <f t="shared" ca="1" si="62"/>
        <v>4.4340617093765917E-3</v>
      </c>
    </row>
    <row r="1896" spans="2:8" x14ac:dyDescent="0.3">
      <c r="B1896" s="113">
        <v>41506</v>
      </c>
      <c r="C1896">
        <v>209.03</v>
      </c>
      <c r="D1896">
        <f t="shared" si="61"/>
        <v>-0.2575741431362103</v>
      </c>
      <c r="E1896">
        <v>4.4690052859202639E-3</v>
      </c>
      <c r="G1896">
        <v>1894</v>
      </c>
      <c r="H1896">
        <f t="shared" ca="1" si="62"/>
        <v>-2.6439052326016792E-4</v>
      </c>
    </row>
    <row r="1897" spans="2:8" x14ac:dyDescent="0.3">
      <c r="B1897" s="113">
        <v>42828</v>
      </c>
      <c r="C1897">
        <v>281.55</v>
      </c>
      <c r="D1897">
        <f t="shared" si="61"/>
        <v>0.40025861640224808</v>
      </c>
      <c r="E1897">
        <v>4.4595076703531928E-3</v>
      </c>
      <c r="G1897">
        <v>1895</v>
      </c>
      <c r="H1897">
        <f t="shared" ca="1" si="62"/>
        <v>-1.9965965087504344E-3</v>
      </c>
    </row>
    <row r="1898" spans="2:8" x14ac:dyDescent="0.3">
      <c r="B1898" s="113">
        <v>41254</v>
      </c>
      <c r="C1898">
        <v>201.07</v>
      </c>
      <c r="D1898">
        <f t="shared" si="61"/>
        <v>-0.25968335787923424</v>
      </c>
      <c r="E1898">
        <v>4.4459986012587984E-3</v>
      </c>
      <c r="G1898">
        <v>1896</v>
      </c>
      <c r="H1898">
        <f t="shared" ca="1" si="62"/>
        <v>-8.8882236280113016E-3</v>
      </c>
    </row>
    <row r="1899" spans="2:8" x14ac:dyDescent="0.3">
      <c r="B1899" s="113">
        <v>43297</v>
      </c>
      <c r="C1899">
        <v>271.60000000000002</v>
      </c>
      <c r="D1899">
        <f t="shared" si="61"/>
        <v>5.2557554223111105E-3</v>
      </c>
      <c r="E1899">
        <v>4.4378698224853755E-3</v>
      </c>
      <c r="G1899">
        <v>1897</v>
      </c>
      <c r="H1899">
        <f t="shared" ca="1" si="62"/>
        <v>1.5105622859845338E-2</v>
      </c>
    </row>
    <row r="1900" spans="2:8" x14ac:dyDescent="0.3">
      <c r="B1900" s="113">
        <v>44713</v>
      </c>
      <c r="C1900">
        <v>270.18</v>
      </c>
      <c r="D1900">
        <f t="shared" si="61"/>
        <v>3.74</v>
      </c>
      <c r="E1900">
        <v>4.4239562809026273E-3</v>
      </c>
      <c r="G1900">
        <v>1898</v>
      </c>
      <c r="H1900">
        <f t="shared" ca="1" si="62"/>
        <v>-2.8473977956865688E-2</v>
      </c>
    </row>
    <row r="1901" spans="2:8" x14ac:dyDescent="0.3">
      <c r="B1901" s="113">
        <v>39812</v>
      </c>
      <c r="C1901">
        <v>57</v>
      </c>
      <c r="D1901">
        <f t="shared" si="61"/>
        <v>1.4945295404814003</v>
      </c>
      <c r="E1901">
        <v>4.4052863436123352E-3</v>
      </c>
      <c r="G1901">
        <v>1899</v>
      </c>
      <c r="H1901">
        <f t="shared" ca="1" si="62"/>
        <v>5.6760021087351176E-3</v>
      </c>
    </row>
    <row r="1902" spans="2:8" x14ac:dyDescent="0.3">
      <c r="B1902" s="113">
        <v>38224</v>
      </c>
      <c r="C1902">
        <v>22.85</v>
      </c>
      <c r="D1902">
        <f t="shared" si="61"/>
        <v>-0.23219086021505375</v>
      </c>
      <c r="E1902">
        <v>4.3956043956044581E-3</v>
      </c>
      <c r="G1902">
        <v>1900</v>
      </c>
      <c r="H1902">
        <f t="shared" ca="1" si="62"/>
        <v>-2.8242759952414173E-3</v>
      </c>
    </row>
    <row r="1903" spans="2:8" x14ac:dyDescent="0.3">
      <c r="B1903" s="113">
        <v>38414</v>
      </c>
      <c r="C1903">
        <v>29.76</v>
      </c>
      <c r="D1903">
        <f t="shared" si="61"/>
        <v>-0.64876667060073168</v>
      </c>
      <c r="E1903">
        <v>4.3874451569356245E-3</v>
      </c>
      <c r="G1903">
        <v>1901</v>
      </c>
      <c r="H1903">
        <f t="shared" ca="1" si="62"/>
        <v>-1.7354214413367836E-2</v>
      </c>
    </row>
    <row r="1904" spans="2:8" x14ac:dyDescent="0.3">
      <c r="B1904" s="113">
        <v>40133</v>
      </c>
      <c r="C1904">
        <v>84.73</v>
      </c>
      <c r="D1904">
        <f t="shared" si="61"/>
        <v>-0.35142375995101033</v>
      </c>
      <c r="E1904">
        <v>4.3859649122807553E-3</v>
      </c>
      <c r="G1904">
        <v>1902</v>
      </c>
      <c r="H1904">
        <f t="shared" ca="1" si="62"/>
        <v>1.0099717889303006E-2</v>
      </c>
    </row>
    <row r="1905" spans="2:8" x14ac:dyDescent="0.3">
      <c r="B1905" s="113">
        <v>40799</v>
      </c>
      <c r="C1905">
        <v>130.63999999999999</v>
      </c>
      <c r="D1905">
        <f t="shared" si="61"/>
        <v>-0.52649510692279811</v>
      </c>
      <c r="E1905">
        <v>4.382255708464621E-3</v>
      </c>
      <c r="G1905">
        <v>1903</v>
      </c>
      <c r="H1905">
        <f t="shared" ca="1" si="62"/>
        <v>-7.3252303691693325E-3</v>
      </c>
    </row>
    <row r="1906" spans="2:8" x14ac:dyDescent="0.3">
      <c r="B1906" s="113">
        <v>43515</v>
      </c>
      <c r="C1906">
        <v>275.89999999999998</v>
      </c>
      <c r="D1906">
        <f t="shared" si="61"/>
        <v>0.39259034928326253</v>
      </c>
      <c r="E1906">
        <v>4.3684018929741122E-3</v>
      </c>
      <c r="G1906">
        <v>1904</v>
      </c>
      <c r="H1906">
        <f t="shared" ca="1" si="62"/>
        <v>1.9423357736289931E-2</v>
      </c>
    </row>
    <row r="1907" spans="2:8" x14ac:dyDescent="0.3">
      <c r="B1907" s="113">
        <v>41345</v>
      </c>
      <c r="C1907">
        <v>198.12</v>
      </c>
      <c r="D1907">
        <f t="shared" si="61"/>
        <v>-0.11363636363636366</v>
      </c>
      <c r="E1907">
        <v>4.3597282774004544E-3</v>
      </c>
      <c r="G1907">
        <v>1905</v>
      </c>
      <c r="H1907">
        <f t="shared" ca="1" si="62"/>
        <v>-2.8657376164962355E-2</v>
      </c>
    </row>
    <row r="1908" spans="2:8" x14ac:dyDescent="0.3">
      <c r="B1908" s="113">
        <v>42313</v>
      </c>
      <c r="C1908">
        <v>223.52</v>
      </c>
      <c r="D1908">
        <f t="shared" si="61"/>
        <v>2.8765175164758934</v>
      </c>
      <c r="E1908">
        <v>4.3585711076162608E-3</v>
      </c>
      <c r="G1908">
        <v>1906</v>
      </c>
      <c r="H1908">
        <f t="shared" ca="1" si="62"/>
        <v>-9.6189329922229151E-3</v>
      </c>
    </row>
    <row r="1909" spans="2:8" x14ac:dyDescent="0.3">
      <c r="B1909" s="113">
        <v>39127</v>
      </c>
      <c r="C1909">
        <v>57.66</v>
      </c>
      <c r="D1909">
        <f t="shared" si="61"/>
        <v>-0.14030117787386309</v>
      </c>
      <c r="E1909">
        <v>4.3546420484236199E-3</v>
      </c>
      <c r="G1909">
        <v>1907</v>
      </c>
      <c r="H1909">
        <f t="shared" ca="1" si="62"/>
        <v>-2.4425810219884467E-2</v>
      </c>
    </row>
    <row r="1910" spans="2:8" x14ac:dyDescent="0.3">
      <c r="B1910" s="113">
        <v>39505</v>
      </c>
      <c r="C1910">
        <v>67.069999999999993</v>
      </c>
      <c r="D1910">
        <f t="shared" si="61"/>
        <v>-0.78527293100688333</v>
      </c>
      <c r="E1910">
        <v>4.3426175501646005E-3</v>
      </c>
      <c r="G1910">
        <v>1908</v>
      </c>
      <c r="H1910">
        <f t="shared" ca="1" si="62"/>
        <v>-1.0105754202254125E-2</v>
      </c>
    </row>
    <row r="1911" spans="2:8" x14ac:dyDescent="0.3">
      <c r="B1911" s="113">
        <v>42913</v>
      </c>
      <c r="C1911">
        <v>312.35000000000002</v>
      </c>
      <c r="D1911">
        <f t="shared" si="61"/>
        <v>4.8635254364557916</v>
      </c>
      <c r="E1911">
        <v>4.3408360128618095E-3</v>
      </c>
      <c r="G1911">
        <v>1909</v>
      </c>
      <c r="H1911">
        <f t="shared" ca="1" si="62"/>
        <v>-4.3388772747550977E-3</v>
      </c>
    </row>
    <row r="1912" spans="2:8" x14ac:dyDescent="0.3">
      <c r="B1912" s="113">
        <v>39211</v>
      </c>
      <c r="C1912">
        <v>53.27</v>
      </c>
      <c r="D1912">
        <f t="shared" si="61"/>
        <v>-0.80920487106017192</v>
      </c>
      <c r="E1912">
        <v>4.3363499245852935E-3</v>
      </c>
      <c r="G1912">
        <v>1910</v>
      </c>
      <c r="H1912">
        <f t="shared" ca="1" si="62"/>
        <v>-8.7374864852692094E-3</v>
      </c>
    </row>
    <row r="1913" spans="2:8" x14ac:dyDescent="0.3">
      <c r="B1913" s="113">
        <v>42857</v>
      </c>
      <c r="C1913">
        <v>279.2</v>
      </c>
      <c r="D1913">
        <f t="shared" si="61"/>
        <v>0.33269689737470159</v>
      </c>
      <c r="E1913">
        <v>4.3165467625898872E-3</v>
      </c>
      <c r="G1913">
        <v>1911</v>
      </c>
      <c r="H1913">
        <f t="shared" ca="1" si="62"/>
        <v>1.6012512923376191E-2</v>
      </c>
    </row>
    <row r="1914" spans="2:8" x14ac:dyDescent="0.3">
      <c r="B1914" s="113">
        <v>44193</v>
      </c>
      <c r="C1914">
        <v>209.5</v>
      </c>
      <c r="D1914">
        <f t="shared" si="61"/>
        <v>0.36269025627683094</v>
      </c>
      <c r="E1914">
        <v>4.3144774688399119E-3</v>
      </c>
      <c r="G1914">
        <v>1912</v>
      </c>
      <c r="H1914">
        <f t="shared" ca="1" si="62"/>
        <v>1.3729545430071516E-2</v>
      </c>
    </row>
    <row r="1915" spans="2:8" x14ac:dyDescent="0.3">
      <c r="B1915" s="113">
        <v>41059</v>
      </c>
      <c r="C1915">
        <v>153.74</v>
      </c>
      <c r="D1915">
        <f t="shared" si="61"/>
        <v>-0.34158458244111345</v>
      </c>
      <c r="E1915">
        <v>4.3114711262084958E-3</v>
      </c>
      <c r="G1915">
        <v>1913</v>
      </c>
      <c r="H1915">
        <f t="shared" ca="1" si="62"/>
        <v>1.0722125661184077E-2</v>
      </c>
    </row>
    <row r="1916" spans="2:8" x14ac:dyDescent="0.3">
      <c r="B1916" s="113">
        <v>42705</v>
      </c>
      <c r="C1916">
        <v>233.5</v>
      </c>
      <c r="D1916">
        <f t="shared" si="61"/>
        <v>0.17632241813602015</v>
      </c>
      <c r="E1916">
        <v>4.3010752688172043E-3</v>
      </c>
      <c r="G1916">
        <v>1914</v>
      </c>
      <c r="H1916">
        <f t="shared" ca="1" si="62"/>
        <v>2.5129625228915839E-3</v>
      </c>
    </row>
    <row r="1917" spans="2:8" x14ac:dyDescent="0.3">
      <c r="B1917" s="113">
        <v>43991</v>
      </c>
      <c r="C1917">
        <v>198.5</v>
      </c>
      <c r="D1917">
        <f t="shared" si="61"/>
        <v>2.031923018176264</v>
      </c>
      <c r="E1917">
        <v>4.3005312420945829E-3</v>
      </c>
      <c r="G1917">
        <v>1915</v>
      </c>
      <c r="H1917">
        <f t="shared" ca="1" si="62"/>
        <v>5.2267689604859379E-3</v>
      </c>
    </row>
    <row r="1918" spans="2:8" x14ac:dyDescent="0.3">
      <c r="B1918" s="113">
        <v>39979</v>
      </c>
      <c r="C1918">
        <v>65.47</v>
      </c>
      <c r="D1918">
        <f t="shared" si="61"/>
        <v>-0.75652658981033838</v>
      </c>
      <c r="E1918">
        <v>4.2951372909955689E-3</v>
      </c>
      <c r="G1918">
        <v>1916</v>
      </c>
      <c r="H1918">
        <f t="shared" ca="1" si="62"/>
        <v>4.7479488616246454E-4</v>
      </c>
    </row>
    <row r="1919" spans="2:8" x14ac:dyDescent="0.3">
      <c r="B1919" s="113">
        <v>43676</v>
      </c>
      <c r="C1919">
        <v>268.89999999999998</v>
      </c>
      <c r="D1919">
        <f t="shared" si="61"/>
        <v>3.5973670712942378</v>
      </c>
      <c r="E1919">
        <v>4.2950513538747986E-3</v>
      </c>
      <c r="G1919">
        <v>1917</v>
      </c>
      <c r="H1919">
        <f t="shared" ca="1" si="62"/>
        <v>-1.157707530857344E-2</v>
      </c>
    </row>
    <row r="1920" spans="2:8" x14ac:dyDescent="0.3">
      <c r="B1920" s="113">
        <v>39121</v>
      </c>
      <c r="C1920">
        <v>58.49</v>
      </c>
      <c r="D1920">
        <f t="shared" si="61"/>
        <v>-7.5256916996047404E-2</v>
      </c>
      <c r="E1920">
        <v>4.2925824175824171E-3</v>
      </c>
      <c r="G1920">
        <v>1918</v>
      </c>
      <c r="H1920">
        <f t="shared" ca="1" si="62"/>
        <v>-2.3802812321480571E-2</v>
      </c>
    </row>
    <row r="1921" spans="2:8" x14ac:dyDescent="0.3">
      <c r="B1921" s="113">
        <v>39022</v>
      </c>
      <c r="C1921">
        <v>63.25</v>
      </c>
      <c r="D1921">
        <f t="shared" si="61"/>
        <v>-0.7277227722772277</v>
      </c>
      <c r="E1921">
        <v>4.287075261987983E-3</v>
      </c>
      <c r="G1921">
        <v>1919</v>
      </c>
      <c r="H1921">
        <f t="shared" ca="1" si="62"/>
        <v>-2.7533200773005327E-2</v>
      </c>
    </row>
    <row r="1922" spans="2:8" x14ac:dyDescent="0.3">
      <c r="B1922" s="113">
        <v>41886</v>
      </c>
      <c r="C1922">
        <v>232.3</v>
      </c>
      <c r="D1922">
        <f t="shared" si="61"/>
        <v>5.9424453869658417E-2</v>
      </c>
      <c r="E1922">
        <v>4.2799706022221655E-3</v>
      </c>
      <c r="G1922">
        <v>1920</v>
      </c>
      <c r="H1922">
        <f t="shared" ca="1" si="62"/>
        <v>9.1253525799977059E-3</v>
      </c>
    </row>
    <row r="1923" spans="2:8" x14ac:dyDescent="0.3">
      <c r="B1923" s="113">
        <v>42237</v>
      </c>
      <c r="C1923">
        <v>219.27</v>
      </c>
      <c r="D1923">
        <f t="shared" ref="D1923:D1986" si="63">(C1923-C1924)/C1924</f>
        <v>0.13078232169563206</v>
      </c>
      <c r="E1923">
        <v>4.2594119263534248E-3</v>
      </c>
      <c r="G1923">
        <v>1921</v>
      </c>
      <c r="H1923">
        <f t="shared" ca="1" si="62"/>
        <v>2.0921228623395193E-2</v>
      </c>
    </row>
    <row r="1924" spans="2:8" x14ac:dyDescent="0.3">
      <c r="B1924" s="113">
        <v>41337</v>
      </c>
      <c r="C1924">
        <v>193.91</v>
      </c>
      <c r="D1924">
        <f t="shared" si="63"/>
        <v>12.655633802816903</v>
      </c>
      <c r="E1924">
        <v>4.2467243254440583E-3</v>
      </c>
      <c r="G1924">
        <v>1922</v>
      </c>
      <c r="H1924">
        <f t="shared" ref="H1924:H1987" ca="1" si="64">_xlfn.NORM.INV(RAND(),$L$4,$L$6)</f>
        <v>-1.4402948918529335E-3</v>
      </c>
    </row>
    <row r="1925" spans="2:8" x14ac:dyDescent="0.3">
      <c r="B1925" s="113">
        <v>37671</v>
      </c>
      <c r="C1925">
        <v>14.2</v>
      </c>
      <c r="D1925">
        <f t="shared" si="63"/>
        <v>-0.93948433837630518</v>
      </c>
      <c r="E1925">
        <v>4.243281471004153E-3</v>
      </c>
      <c r="G1925">
        <v>1923</v>
      </c>
      <c r="H1925">
        <f t="shared" ca="1" si="64"/>
        <v>-1.2859355722369995E-2</v>
      </c>
    </row>
    <row r="1926" spans="2:8" x14ac:dyDescent="0.3">
      <c r="B1926" s="113">
        <v>41929</v>
      </c>
      <c r="C1926">
        <v>234.65</v>
      </c>
      <c r="D1926">
        <f t="shared" si="63"/>
        <v>3.0703680927699241E-2</v>
      </c>
      <c r="E1926">
        <v>4.2369254472310585E-3</v>
      </c>
      <c r="G1926">
        <v>1924</v>
      </c>
      <c r="H1926">
        <f t="shared" ca="1" si="64"/>
        <v>-2.0604451332818637E-2</v>
      </c>
    </row>
    <row r="1927" spans="2:8" x14ac:dyDescent="0.3">
      <c r="B1927" s="113">
        <v>42116</v>
      </c>
      <c r="C1927">
        <v>227.66</v>
      </c>
      <c r="D1927">
        <f t="shared" si="63"/>
        <v>-3.5379856785729392E-2</v>
      </c>
      <c r="E1927">
        <v>4.2346713718571152E-3</v>
      </c>
      <c r="G1927">
        <v>1925</v>
      </c>
      <c r="H1927">
        <f t="shared" ca="1" si="64"/>
        <v>1.0240679195463199E-2</v>
      </c>
    </row>
    <row r="1928" spans="2:8" x14ac:dyDescent="0.3">
      <c r="B1928" s="113">
        <v>41856</v>
      </c>
      <c r="C1928">
        <v>236.01</v>
      </c>
      <c r="D1928">
        <f t="shared" si="63"/>
        <v>6.3299693638493346E-2</v>
      </c>
      <c r="E1928">
        <v>4.2124074546846255E-3</v>
      </c>
      <c r="G1928">
        <v>1926</v>
      </c>
      <c r="H1928">
        <f t="shared" ca="1" si="64"/>
        <v>3.039586865627214E-2</v>
      </c>
    </row>
    <row r="1929" spans="2:8" x14ac:dyDescent="0.3">
      <c r="B1929" s="113">
        <v>41827</v>
      </c>
      <c r="C1929">
        <v>221.96</v>
      </c>
      <c r="D1929">
        <f t="shared" si="63"/>
        <v>6.1530776667740898</v>
      </c>
      <c r="E1929">
        <v>4.2075736325386005E-3</v>
      </c>
      <c r="G1929">
        <v>1927</v>
      </c>
      <c r="H1929">
        <f t="shared" ca="1" si="64"/>
        <v>5.053007068204632E-3</v>
      </c>
    </row>
    <row r="1930" spans="2:8" x14ac:dyDescent="0.3">
      <c r="B1930" s="113">
        <v>38454</v>
      </c>
      <c r="C1930">
        <v>31.03</v>
      </c>
      <c r="D1930">
        <f t="shared" si="63"/>
        <v>-0.88697869240575489</v>
      </c>
      <c r="E1930">
        <v>4.2071197411004064E-3</v>
      </c>
      <c r="G1930">
        <v>1928</v>
      </c>
      <c r="H1930">
        <f t="shared" ca="1" si="64"/>
        <v>-3.383827387476189E-2</v>
      </c>
    </row>
    <row r="1931" spans="2:8" x14ac:dyDescent="0.3">
      <c r="B1931" s="113">
        <v>43119</v>
      </c>
      <c r="C1931">
        <v>274.55</v>
      </c>
      <c r="D1931">
        <f t="shared" si="63"/>
        <v>0.12659006975789916</v>
      </c>
      <c r="E1931">
        <v>4.2062911485004906E-3</v>
      </c>
      <c r="G1931">
        <v>1929</v>
      </c>
      <c r="H1931">
        <f t="shared" ca="1" si="64"/>
        <v>2.3499629430281836E-2</v>
      </c>
    </row>
    <row r="1932" spans="2:8" x14ac:dyDescent="0.3">
      <c r="B1932" s="113">
        <v>42039</v>
      </c>
      <c r="C1932">
        <v>243.7</v>
      </c>
      <c r="D1932">
        <f t="shared" si="63"/>
        <v>2.9211584875301688</v>
      </c>
      <c r="E1932">
        <v>4.2030657656171987E-3</v>
      </c>
      <c r="G1932">
        <v>1930</v>
      </c>
      <c r="H1932">
        <f t="shared" ca="1" si="64"/>
        <v>-1.9252180299803672E-2</v>
      </c>
    </row>
    <row r="1933" spans="2:8" x14ac:dyDescent="0.3">
      <c r="B1933" s="113">
        <v>39427</v>
      </c>
      <c r="C1933">
        <v>62.15</v>
      </c>
      <c r="D1933">
        <f t="shared" si="63"/>
        <v>3.3279944289693595</v>
      </c>
      <c r="E1933">
        <v>4.2010017773468737E-3</v>
      </c>
      <c r="G1933">
        <v>1931</v>
      </c>
      <c r="H1933">
        <f t="shared" ca="1" si="64"/>
        <v>-8.5749228084731691E-3</v>
      </c>
    </row>
    <row r="1934" spans="2:8" x14ac:dyDescent="0.3">
      <c r="B1934" s="113">
        <v>37545</v>
      </c>
      <c r="C1934">
        <v>14.36</v>
      </c>
      <c r="D1934">
        <f t="shared" si="63"/>
        <v>-0.91444742329460837</v>
      </c>
      <c r="E1934">
        <v>4.1958041958041065E-3</v>
      </c>
      <c r="G1934">
        <v>1932</v>
      </c>
      <c r="H1934">
        <f t="shared" ca="1" si="64"/>
        <v>1.1184656900387733E-2</v>
      </c>
    </row>
    <row r="1935" spans="2:8" x14ac:dyDescent="0.3">
      <c r="B1935" s="113">
        <v>44113</v>
      </c>
      <c r="C1935">
        <v>167.85</v>
      </c>
      <c r="D1935">
        <f t="shared" si="63"/>
        <v>2.0358111774281062</v>
      </c>
      <c r="E1935">
        <v>4.1878552198623305E-3</v>
      </c>
      <c r="G1935">
        <v>1933</v>
      </c>
      <c r="H1935">
        <f t="shared" ca="1" si="64"/>
        <v>2.530538564538987E-2</v>
      </c>
    </row>
    <row r="1936" spans="2:8" x14ac:dyDescent="0.3">
      <c r="B1936" s="113">
        <v>39227</v>
      </c>
      <c r="C1936">
        <v>55.29</v>
      </c>
      <c r="D1936">
        <f t="shared" si="63"/>
        <v>1.2932393197843219</v>
      </c>
      <c r="E1936">
        <v>4.1772611696330704E-3</v>
      </c>
      <c r="G1936">
        <v>1934</v>
      </c>
      <c r="H1936">
        <f t="shared" ca="1" si="64"/>
        <v>-3.747613897865211E-2</v>
      </c>
    </row>
    <row r="1937" spans="2:8" x14ac:dyDescent="0.3">
      <c r="B1937" s="113">
        <v>38245</v>
      </c>
      <c r="C1937">
        <v>24.11</v>
      </c>
      <c r="D1937">
        <f t="shared" si="63"/>
        <v>-0.67857618984135448</v>
      </c>
      <c r="E1937">
        <v>4.1649312786338133E-3</v>
      </c>
      <c r="G1937">
        <v>1935</v>
      </c>
      <c r="H1937">
        <f t="shared" ca="1" si="64"/>
        <v>3.368375557735992E-2</v>
      </c>
    </row>
    <row r="1938" spans="2:8" x14ac:dyDescent="0.3">
      <c r="B1938" s="113">
        <v>39582</v>
      </c>
      <c r="C1938">
        <v>75.010000000000005</v>
      </c>
      <c r="D1938">
        <f t="shared" si="63"/>
        <v>2.8744834710743805</v>
      </c>
      <c r="E1938">
        <v>4.1499330655957465E-3</v>
      </c>
      <c r="G1938">
        <v>1936</v>
      </c>
      <c r="H1938">
        <f t="shared" ca="1" si="64"/>
        <v>-1.3486321771218317E-2</v>
      </c>
    </row>
    <row r="1939" spans="2:8" x14ac:dyDescent="0.3">
      <c r="B1939" s="113">
        <v>37916</v>
      </c>
      <c r="C1939">
        <v>19.36</v>
      </c>
      <c r="D1939">
        <f t="shared" si="63"/>
        <v>-0.93615828524319866</v>
      </c>
      <c r="E1939">
        <v>4.1493775933609074E-3</v>
      </c>
      <c r="G1939">
        <v>1937</v>
      </c>
      <c r="H1939">
        <f t="shared" ca="1" si="64"/>
        <v>-4.3072082231811349E-3</v>
      </c>
    </row>
    <row r="1940" spans="2:8" x14ac:dyDescent="0.3">
      <c r="B1940" s="113">
        <v>43361</v>
      </c>
      <c r="C1940">
        <v>303.25</v>
      </c>
      <c r="D1940">
        <f t="shared" si="63"/>
        <v>0.56193664692248257</v>
      </c>
      <c r="E1940">
        <v>4.1390728476821195E-3</v>
      </c>
      <c r="G1940">
        <v>1938</v>
      </c>
      <c r="H1940">
        <f t="shared" ca="1" si="64"/>
        <v>1.4970140306482608E-2</v>
      </c>
    </row>
    <row r="1941" spans="2:8" x14ac:dyDescent="0.3">
      <c r="B1941" s="113">
        <v>44043</v>
      </c>
      <c r="C1941">
        <v>194.15</v>
      </c>
      <c r="D1941">
        <f t="shared" si="63"/>
        <v>3.7021070477113107</v>
      </c>
      <c r="E1941">
        <v>4.1375743470391073E-3</v>
      </c>
      <c r="G1941">
        <v>1939</v>
      </c>
      <c r="H1941">
        <f t="shared" ca="1" si="64"/>
        <v>-8.1531298984657569E-3</v>
      </c>
    </row>
    <row r="1942" spans="2:8" x14ac:dyDescent="0.3">
      <c r="B1942" s="113">
        <v>38643</v>
      </c>
      <c r="C1942">
        <v>41.29</v>
      </c>
      <c r="D1942">
        <f t="shared" si="63"/>
        <v>-0.85221904080171795</v>
      </c>
      <c r="E1942">
        <v>4.1342412451362285E-3</v>
      </c>
      <c r="G1942">
        <v>1940</v>
      </c>
      <c r="H1942">
        <f t="shared" ca="1" si="64"/>
        <v>-1.0979850583264293E-3</v>
      </c>
    </row>
    <row r="1943" spans="2:8" x14ac:dyDescent="0.3">
      <c r="B1943" s="113">
        <v>43217</v>
      </c>
      <c r="C1943">
        <v>279.39999999999998</v>
      </c>
      <c r="D1943">
        <f t="shared" si="63"/>
        <v>-2.4991074616210118E-3</v>
      </c>
      <c r="E1943">
        <v>4.1329739442946172E-3</v>
      </c>
      <c r="G1943">
        <v>1941</v>
      </c>
      <c r="H1943">
        <f t="shared" ca="1" si="64"/>
        <v>9.2376395176769783E-3</v>
      </c>
    </row>
    <row r="1944" spans="2:8" x14ac:dyDescent="0.3">
      <c r="B1944" s="113">
        <v>43404</v>
      </c>
      <c r="C1944">
        <v>280.10000000000002</v>
      </c>
      <c r="D1944">
        <f t="shared" si="63"/>
        <v>4.4369873228933758E-2</v>
      </c>
      <c r="E1944">
        <v>4.1226026169565661E-3</v>
      </c>
      <c r="G1944">
        <v>1942</v>
      </c>
      <c r="H1944">
        <f t="shared" ca="1" si="64"/>
        <v>1.3012373788884396E-2</v>
      </c>
    </row>
    <row r="1945" spans="2:8" x14ac:dyDescent="0.3">
      <c r="B1945" s="113">
        <v>42809</v>
      </c>
      <c r="C1945">
        <v>268.2</v>
      </c>
      <c r="D1945">
        <f t="shared" si="63"/>
        <v>0.14556637621732438</v>
      </c>
      <c r="E1945">
        <v>4.1183077499062741E-3</v>
      </c>
      <c r="G1945">
        <v>1943</v>
      </c>
      <c r="H1945">
        <f t="shared" ca="1" si="64"/>
        <v>-1.3047191307447234E-2</v>
      </c>
    </row>
    <row r="1946" spans="2:8" x14ac:dyDescent="0.3">
      <c r="B1946" s="113">
        <v>41898</v>
      </c>
      <c r="C1946">
        <v>234.12</v>
      </c>
      <c r="D1946">
        <f t="shared" si="63"/>
        <v>-4.1473899692937542E-2</v>
      </c>
      <c r="E1946">
        <v>4.117344312918202E-3</v>
      </c>
      <c r="G1946">
        <v>1944</v>
      </c>
      <c r="H1946">
        <f t="shared" ca="1" si="64"/>
        <v>1.5556880818590017E-2</v>
      </c>
    </row>
    <row r="1947" spans="2:8" x14ac:dyDescent="0.3">
      <c r="B1947" s="113">
        <v>43713</v>
      </c>
      <c r="C1947">
        <v>244.25</v>
      </c>
      <c r="D1947">
        <f t="shared" si="63"/>
        <v>0.50967303294393973</v>
      </c>
      <c r="E1947">
        <v>4.1109969167523125E-3</v>
      </c>
      <c r="G1947">
        <v>1945</v>
      </c>
      <c r="H1947">
        <f t="shared" ca="1" si="64"/>
        <v>-2.3621918005564736E-3</v>
      </c>
    </row>
    <row r="1948" spans="2:8" x14ac:dyDescent="0.3">
      <c r="B1948" s="113">
        <v>41073</v>
      </c>
      <c r="C1948">
        <v>161.79</v>
      </c>
      <c r="D1948">
        <f t="shared" si="63"/>
        <v>-0.22440076701821671</v>
      </c>
      <c r="E1948">
        <v>4.0960714950660747E-3</v>
      </c>
      <c r="G1948">
        <v>1946</v>
      </c>
      <c r="H1948">
        <f t="shared" ca="1" si="64"/>
        <v>-2.0582990260708353E-2</v>
      </c>
    </row>
    <row r="1949" spans="2:8" x14ac:dyDescent="0.3">
      <c r="B1949" s="113">
        <v>44189</v>
      </c>
      <c r="C1949">
        <v>208.6</v>
      </c>
      <c r="D1949">
        <f t="shared" si="63"/>
        <v>-0.19162952916101536</v>
      </c>
      <c r="E1949">
        <v>4.0914560770156164E-3</v>
      </c>
      <c r="G1949">
        <v>1947</v>
      </c>
      <c r="H1949">
        <f t="shared" ca="1" si="64"/>
        <v>1.6245319555877106E-2</v>
      </c>
    </row>
    <row r="1950" spans="2:8" x14ac:dyDescent="0.3">
      <c r="B1950" s="113">
        <v>43068</v>
      </c>
      <c r="C1950">
        <v>258.05</v>
      </c>
      <c r="D1950">
        <f t="shared" si="63"/>
        <v>4</v>
      </c>
      <c r="E1950">
        <v>4.0856031128405114E-3</v>
      </c>
      <c r="G1950">
        <v>1948</v>
      </c>
      <c r="H1950">
        <f t="shared" ca="1" si="64"/>
        <v>-1.6774822616952522E-2</v>
      </c>
    </row>
    <row r="1951" spans="2:8" x14ac:dyDescent="0.3">
      <c r="B1951" s="113">
        <v>38750</v>
      </c>
      <c r="C1951">
        <v>51.61</v>
      </c>
      <c r="D1951">
        <f t="shared" si="63"/>
        <v>-0.5822405698559171</v>
      </c>
      <c r="E1951">
        <v>4.0856031128404836E-3</v>
      </c>
      <c r="G1951">
        <v>1949</v>
      </c>
      <c r="H1951">
        <f t="shared" ca="1" si="64"/>
        <v>1.786328462542907E-2</v>
      </c>
    </row>
    <row r="1952" spans="2:8" x14ac:dyDescent="0.3">
      <c r="B1952" s="113">
        <v>40674</v>
      </c>
      <c r="C1952">
        <v>123.54</v>
      </c>
      <c r="D1952">
        <f t="shared" si="63"/>
        <v>-0.52420566146735981</v>
      </c>
      <c r="E1952">
        <v>4.0637191157347199E-3</v>
      </c>
      <c r="G1952">
        <v>1950</v>
      </c>
      <c r="H1952">
        <f t="shared" ca="1" si="64"/>
        <v>-1.4957135864634099E-2</v>
      </c>
    </row>
    <row r="1953" spans="2:8" x14ac:dyDescent="0.3">
      <c r="B1953" s="113">
        <v>43195</v>
      </c>
      <c r="C1953">
        <v>259.64999999999998</v>
      </c>
      <c r="D1953">
        <f t="shared" si="63"/>
        <v>1.4403195488721801</v>
      </c>
      <c r="E1953">
        <v>4.0603248259859026E-3</v>
      </c>
      <c r="G1953">
        <v>1951</v>
      </c>
      <c r="H1953">
        <f t="shared" ca="1" si="64"/>
        <v>1.0246292524016487E-2</v>
      </c>
    </row>
    <row r="1954" spans="2:8" x14ac:dyDescent="0.3">
      <c r="B1954" s="113">
        <v>40415</v>
      </c>
      <c r="C1954">
        <v>106.4</v>
      </c>
      <c r="D1954">
        <f t="shared" si="63"/>
        <v>-0.6264044943820225</v>
      </c>
      <c r="E1954">
        <v>4.0577521940172393E-3</v>
      </c>
      <c r="G1954">
        <v>1952</v>
      </c>
      <c r="H1954">
        <f t="shared" ca="1" si="64"/>
        <v>1.0050267320024989E-2</v>
      </c>
    </row>
    <row r="1955" spans="2:8" x14ac:dyDescent="0.3">
      <c r="B1955" s="113">
        <v>43234</v>
      </c>
      <c r="C1955">
        <v>284.8</v>
      </c>
      <c r="D1955">
        <f t="shared" si="63"/>
        <v>0.35232668566001907</v>
      </c>
      <c r="E1955">
        <v>4.0542922615901082E-3</v>
      </c>
      <c r="G1955">
        <v>1953</v>
      </c>
      <c r="H1955">
        <f t="shared" ca="1" si="64"/>
        <v>-2.7407593712833637E-2</v>
      </c>
    </row>
    <row r="1956" spans="2:8" x14ac:dyDescent="0.3">
      <c r="B1956" s="113">
        <v>44442</v>
      </c>
      <c r="C1956">
        <v>210.6</v>
      </c>
      <c r="D1956">
        <f t="shared" si="63"/>
        <v>-0.19902635682501049</v>
      </c>
      <c r="E1956">
        <v>4.0524433849820941E-3</v>
      </c>
      <c r="G1956">
        <v>1954</v>
      </c>
      <c r="H1956">
        <f t="shared" ca="1" si="64"/>
        <v>-1.1794953509773965E-3</v>
      </c>
    </row>
    <row r="1957" spans="2:8" x14ac:dyDescent="0.3">
      <c r="B1957" s="113">
        <v>41984</v>
      </c>
      <c r="C1957">
        <v>262.93</v>
      </c>
      <c r="D1957">
        <f t="shared" si="63"/>
        <v>0.88683171869393629</v>
      </c>
      <c r="E1957">
        <v>4.0478099820521717E-3</v>
      </c>
      <c r="G1957">
        <v>1955</v>
      </c>
      <c r="H1957">
        <f t="shared" ca="1" si="64"/>
        <v>1.7075031682304256E-2</v>
      </c>
    </row>
    <row r="1958" spans="2:8" x14ac:dyDescent="0.3">
      <c r="B1958" s="113">
        <v>40850</v>
      </c>
      <c r="C1958">
        <v>139.35</v>
      </c>
      <c r="D1958">
        <f t="shared" si="63"/>
        <v>-0.35721204852622351</v>
      </c>
      <c r="E1958">
        <v>4.0348728294545885E-3</v>
      </c>
      <c r="G1958">
        <v>1956</v>
      </c>
      <c r="H1958">
        <f t="shared" ca="1" si="64"/>
        <v>1.0146546283663177E-2</v>
      </c>
    </row>
    <row r="1959" spans="2:8" x14ac:dyDescent="0.3">
      <c r="B1959" s="113">
        <v>42244</v>
      </c>
      <c r="C1959">
        <v>216.79</v>
      </c>
      <c r="D1959">
        <f t="shared" si="63"/>
        <v>-6.6767111493758149E-2</v>
      </c>
      <c r="E1959">
        <v>4.0292701000370721E-3</v>
      </c>
      <c r="G1959">
        <v>1957</v>
      </c>
      <c r="H1959">
        <f t="shared" ca="1" si="64"/>
        <v>-3.7039209106462953E-2</v>
      </c>
    </row>
    <row r="1960" spans="2:8" x14ac:dyDescent="0.3">
      <c r="B1960" s="113">
        <v>41935</v>
      </c>
      <c r="C1960">
        <v>232.3</v>
      </c>
      <c r="D1960">
        <f t="shared" si="63"/>
        <v>-0.15511911256592101</v>
      </c>
      <c r="E1960">
        <v>4.0195358084453769E-3</v>
      </c>
      <c r="G1960">
        <v>1958</v>
      </c>
      <c r="H1960">
        <f t="shared" ca="1" si="64"/>
        <v>-5.589506904744264E-3</v>
      </c>
    </row>
    <row r="1961" spans="2:8" x14ac:dyDescent="0.3">
      <c r="B1961" s="113">
        <v>43647</v>
      </c>
      <c r="C1961">
        <v>274.95</v>
      </c>
      <c r="D1961">
        <f t="shared" si="63"/>
        <v>2.6523645058448455</v>
      </c>
      <c r="E1961">
        <v>4.0167975168886828E-3</v>
      </c>
      <c r="G1961">
        <v>1959</v>
      </c>
      <c r="H1961">
        <f t="shared" ca="1" si="64"/>
        <v>6.1809865200440134E-3</v>
      </c>
    </row>
    <row r="1962" spans="2:8" x14ac:dyDescent="0.3">
      <c r="B1962" s="113">
        <v>39584</v>
      </c>
      <c r="C1962">
        <v>75.28</v>
      </c>
      <c r="D1962">
        <f t="shared" si="63"/>
        <v>-0.68442674491720812</v>
      </c>
      <c r="E1962">
        <v>4.0010669511869454E-3</v>
      </c>
      <c r="G1962">
        <v>1960</v>
      </c>
      <c r="H1962">
        <f t="shared" ca="1" si="64"/>
        <v>1.874958256660714E-2</v>
      </c>
    </row>
    <row r="1963" spans="2:8" x14ac:dyDescent="0.3">
      <c r="B1963" s="113">
        <v>43811</v>
      </c>
      <c r="C1963">
        <v>238.55</v>
      </c>
      <c r="D1963">
        <f t="shared" si="63"/>
        <v>-9.6914631837970736E-2</v>
      </c>
      <c r="E1963">
        <v>3.9983164983165703E-3</v>
      </c>
      <c r="G1963">
        <v>1961</v>
      </c>
      <c r="H1963">
        <f t="shared" ca="1" si="64"/>
        <v>-1.4381694821847778E-2</v>
      </c>
    </row>
    <row r="1964" spans="2:8" x14ac:dyDescent="0.3">
      <c r="B1964" s="113">
        <v>43095</v>
      </c>
      <c r="C1964">
        <v>264.14999999999998</v>
      </c>
      <c r="D1964">
        <f t="shared" si="63"/>
        <v>-3.7842951750245122E-4</v>
      </c>
      <c r="E1964">
        <v>3.9908779931583215E-3</v>
      </c>
      <c r="G1964">
        <v>1962</v>
      </c>
      <c r="H1964">
        <f t="shared" ca="1" si="64"/>
        <v>1.7707197521922461E-2</v>
      </c>
    </row>
    <row r="1965" spans="2:8" x14ac:dyDescent="0.3">
      <c r="B1965" s="113">
        <v>43088</v>
      </c>
      <c r="C1965">
        <v>264.25</v>
      </c>
      <c r="D1965">
        <f t="shared" si="63"/>
        <v>9.325224442513752E-2</v>
      </c>
      <c r="E1965">
        <v>3.9893617021277026E-3</v>
      </c>
      <c r="G1965">
        <v>1963</v>
      </c>
      <c r="H1965">
        <f t="shared" ca="1" si="64"/>
        <v>1.1725779508068581E-3</v>
      </c>
    </row>
    <row r="1966" spans="2:8" x14ac:dyDescent="0.3">
      <c r="B1966" s="113">
        <v>41974</v>
      </c>
      <c r="C1966">
        <v>241.71</v>
      </c>
      <c r="D1966">
        <f t="shared" si="63"/>
        <v>5.3995234312946776</v>
      </c>
      <c r="E1966">
        <v>3.9875389408100016E-3</v>
      </c>
      <c r="G1966">
        <v>1964</v>
      </c>
      <c r="H1966">
        <f t="shared" ca="1" si="64"/>
        <v>-6.9342593604910716E-4</v>
      </c>
    </row>
    <row r="1967" spans="2:8" x14ac:dyDescent="0.3">
      <c r="B1967" s="113">
        <v>38594</v>
      </c>
      <c r="C1967">
        <v>37.770000000000003</v>
      </c>
      <c r="D1967">
        <f t="shared" si="63"/>
        <v>-0.39999999999999997</v>
      </c>
      <c r="E1967">
        <v>3.987240829346244E-3</v>
      </c>
      <c r="G1967">
        <v>1965</v>
      </c>
      <c r="H1967">
        <f t="shared" ca="1" si="64"/>
        <v>-1.4379391332982151E-2</v>
      </c>
    </row>
    <row r="1968" spans="2:8" x14ac:dyDescent="0.3">
      <c r="B1968" s="113">
        <v>39696</v>
      </c>
      <c r="C1968">
        <v>62.95</v>
      </c>
      <c r="D1968">
        <f t="shared" si="63"/>
        <v>-0.73759899958315955</v>
      </c>
      <c r="E1968">
        <v>3.9872408293460922E-3</v>
      </c>
      <c r="G1968">
        <v>1966</v>
      </c>
      <c r="H1968">
        <f t="shared" ca="1" si="64"/>
        <v>4.9305990481725501E-2</v>
      </c>
    </row>
    <row r="1969" spans="2:8" x14ac:dyDescent="0.3">
      <c r="B1969" s="113">
        <v>42657</v>
      </c>
      <c r="C1969">
        <v>239.9</v>
      </c>
      <c r="D1969">
        <f t="shared" si="63"/>
        <v>3.5093984962406011</v>
      </c>
      <c r="E1969">
        <v>3.9757271395690187E-3</v>
      </c>
      <c r="G1969">
        <v>1967</v>
      </c>
      <c r="H1969">
        <f t="shared" ca="1" si="64"/>
        <v>4.7048470756766393E-3</v>
      </c>
    </row>
    <row r="1970" spans="2:8" x14ac:dyDescent="0.3">
      <c r="B1970" s="113">
        <v>39183</v>
      </c>
      <c r="C1970">
        <v>53.2</v>
      </c>
      <c r="D1970">
        <f t="shared" si="63"/>
        <v>4.8895899053627838E-2</v>
      </c>
      <c r="E1970">
        <v>3.9630118890356834E-3</v>
      </c>
      <c r="G1970">
        <v>1968</v>
      </c>
      <c r="H1970">
        <f t="shared" ca="1" si="64"/>
        <v>4.5958149986358981E-3</v>
      </c>
    </row>
    <row r="1971" spans="2:8" x14ac:dyDescent="0.3">
      <c r="B1971" s="113">
        <v>39251</v>
      </c>
      <c r="C1971">
        <v>50.72</v>
      </c>
      <c r="D1971">
        <f t="shared" si="63"/>
        <v>-0.69390464695232346</v>
      </c>
      <c r="E1971">
        <v>3.9588281868566059E-3</v>
      </c>
      <c r="G1971">
        <v>1969</v>
      </c>
      <c r="H1971">
        <f t="shared" ca="1" si="64"/>
        <v>3.7521013291461035E-3</v>
      </c>
    </row>
    <row r="1972" spans="2:8" x14ac:dyDescent="0.3">
      <c r="B1972" s="113">
        <v>44120</v>
      </c>
      <c r="C1972">
        <v>165.7</v>
      </c>
      <c r="D1972">
        <f t="shared" si="63"/>
        <v>-0.31613702022286427</v>
      </c>
      <c r="E1972">
        <v>3.9382005452891682E-3</v>
      </c>
      <c r="G1972">
        <v>1970</v>
      </c>
      <c r="H1972">
        <f t="shared" ca="1" si="64"/>
        <v>-1.9123521229698577E-2</v>
      </c>
    </row>
    <row r="1973" spans="2:8" x14ac:dyDescent="0.3">
      <c r="B1973" s="113">
        <v>42646</v>
      </c>
      <c r="C1973">
        <v>242.3</v>
      </c>
      <c r="D1973">
        <f t="shared" si="63"/>
        <v>-5.0176401411211227E-2</v>
      </c>
      <c r="E1973">
        <v>3.9361922519163747E-3</v>
      </c>
      <c r="G1973">
        <v>1971</v>
      </c>
      <c r="H1973">
        <f t="shared" ca="1" si="64"/>
        <v>-4.5730563884654315E-3</v>
      </c>
    </row>
    <row r="1974" spans="2:8" x14ac:dyDescent="0.3">
      <c r="B1974" s="113">
        <v>42598</v>
      </c>
      <c r="C1974">
        <v>255.1</v>
      </c>
      <c r="D1974">
        <f t="shared" si="63"/>
        <v>0.88669477109681216</v>
      </c>
      <c r="E1974">
        <v>3.9354584809130266E-3</v>
      </c>
      <c r="G1974">
        <v>1972</v>
      </c>
      <c r="H1974">
        <f t="shared" ca="1" si="64"/>
        <v>1.9686489552426863E-2</v>
      </c>
    </row>
    <row r="1975" spans="2:8" x14ac:dyDescent="0.3">
      <c r="B1975" s="113">
        <v>40955</v>
      </c>
      <c r="C1975">
        <v>135.21</v>
      </c>
      <c r="D1975">
        <f t="shared" si="63"/>
        <v>-0.44841512666748251</v>
      </c>
      <c r="E1975">
        <v>3.9352539352539434E-3</v>
      </c>
      <c r="G1975">
        <v>1973</v>
      </c>
      <c r="H1975">
        <f t="shared" ca="1" si="64"/>
        <v>6.3958198519653104E-3</v>
      </c>
    </row>
    <row r="1976" spans="2:8" x14ac:dyDescent="0.3">
      <c r="B1976" s="113">
        <v>42009</v>
      </c>
      <c r="C1976">
        <v>245.13</v>
      </c>
      <c r="D1976">
        <f t="shared" si="63"/>
        <v>0.15366152108433739</v>
      </c>
      <c r="E1976">
        <v>3.9316869394274805E-3</v>
      </c>
      <c r="G1976">
        <v>1974</v>
      </c>
      <c r="H1976">
        <f t="shared" ca="1" si="64"/>
        <v>6.2255358786086502E-3</v>
      </c>
    </row>
    <row r="1977" spans="2:8" x14ac:dyDescent="0.3">
      <c r="B1977" s="113">
        <v>42355</v>
      </c>
      <c r="C1977">
        <v>212.48</v>
      </c>
      <c r="D1977">
        <f t="shared" si="63"/>
        <v>0.56384779568705368</v>
      </c>
      <c r="E1977">
        <v>3.9215686274509049E-3</v>
      </c>
      <c r="G1977">
        <v>1975</v>
      </c>
      <c r="H1977">
        <f t="shared" ca="1" si="64"/>
        <v>6.4100638858551181E-3</v>
      </c>
    </row>
    <row r="1978" spans="2:8" x14ac:dyDescent="0.3">
      <c r="B1978" s="113">
        <v>40884</v>
      </c>
      <c r="C1978">
        <v>135.87</v>
      </c>
      <c r="D1978">
        <f t="shared" si="63"/>
        <v>5.8837281795511315E-2</v>
      </c>
      <c r="E1978">
        <v>3.9160632481158647E-3</v>
      </c>
      <c r="G1978">
        <v>1976</v>
      </c>
      <c r="H1978">
        <f t="shared" ca="1" si="64"/>
        <v>-3.9127038933576656E-2</v>
      </c>
    </row>
    <row r="1979" spans="2:8" x14ac:dyDescent="0.3">
      <c r="B1979" s="113">
        <v>40701</v>
      </c>
      <c r="C1979">
        <v>128.32</v>
      </c>
      <c r="D1979">
        <f t="shared" si="63"/>
        <v>-0.39795439617153044</v>
      </c>
      <c r="E1979">
        <v>3.9117508997027067E-3</v>
      </c>
      <c r="G1979">
        <v>1977</v>
      </c>
      <c r="H1979">
        <f t="shared" ca="1" si="64"/>
        <v>2.6917379960788796E-3</v>
      </c>
    </row>
    <row r="1980" spans="2:8" x14ac:dyDescent="0.3">
      <c r="B1980" s="113">
        <v>42361</v>
      </c>
      <c r="C1980">
        <v>213.14</v>
      </c>
      <c r="D1980">
        <f t="shared" si="63"/>
        <v>9.6399176954732407E-2</v>
      </c>
      <c r="E1980">
        <v>3.9093777966180774E-3</v>
      </c>
      <c r="G1980">
        <v>1978</v>
      </c>
      <c r="H1980">
        <f t="shared" ca="1" si="64"/>
        <v>-4.1999896652248304E-3</v>
      </c>
    </row>
    <row r="1981" spans="2:8" x14ac:dyDescent="0.3">
      <c r="B1981" s="113">
        <v>44166</v>
      </c>
      <c r="C1981">
        <v>194.4</v>
      </c>
      <c r="D1981">
        <f t="shared" si="63"/>
        <v>-6.4710127495790179E-2</v>
      </c>
      <c r="E1981">
        <v>3.8729666924864443E-3</v>
      </c>
      <c r="G1981">
        <v>1979</v>
      </c>
      <c r="H1981">
        <f t="shared" ca="1" si="64"/>
        <v>6.7230194135006116E-3</v>
      </c>
    </row>
    <row r="1982" spans="2:8" x14ac:dyDescent="0.3">
      <c r="B1982" s="113">
        <v>44363</v>
      </c>
      <c r="C1982">
        <v>207.85</v>
      </c>
      <c r="D1982">
        <f t="shared" si="63"/>
        <v>-0.33434747798238595</v>
      </c>
      <c r="E1982">
        <v>3.8638010142476838E-3</v>
      </c>
      <c r="G1982">
        <v>1980</v>
      </c>
      <c r="H1982">
        <f t="shared" ca="1" si="64"/>
        <v>5.8571755548371528E-3</v>
      </c>
    </row>
    <row r="1983" spans="2:8" x14ac:dyDescent="0.3">
      <c r="B1983" s="113">
        <v>42893</v>
      </c>
      <c r="C1983">
        <v>312.25</v>
      </c>
      <c r="D1983">
        <f t="shared" si="63"/>
        <v>0.49638184693535253</v>
      </c>
      <c r="E1983">
        <v>3.8579006590579927E-3</v>
      </c>
      <c r="G1983">
        <v>1981</v>
      </c>
      <c r="H1983">
        <f t="shared" ca="1" si="64"/>
        <v>-1.1922055349312167E-2</v>
      </c>
    </row>
    <row r="1984" spans="2:8" x14ac:dyDescent="0.3">
      <c r="B1984" s="113">
        <v>42346</v>
      </c>
      <c r="C1984">
        <v>208.67</v>
      </c>
      <c r="D1984">
        <f t="shared" si="63"/>
        <v>0.2281930547380811</v>
      </c>
      <c r="E1984">
        <v>3.8485591956510458E-3</v>
      </c>
      <c r="G1984">
        <v>1982</v>
      </c>
      <c r="H1984">
        <f t="shared" ca="1" si="64"/>
        <v>-1.4094491049524113E-2</v>
      </c>
    </row>
    <row r="1985" spans="2:8" x14ac:dyDescent="0.3">
      <c r="B1985" s="113">
        <v>44110</v>
      </c>
      <c r="C1985">
        <v>169.9</v>
      </c>
      <c r="D1985">
        <f t="shared" si="63"/>
        <v>-0.21820357077121291</v>
      </c>
      <c r="E1985">
        <v>3.8404726735598565E-3</v>
      </c>
      <c r="G1985">
        <v>1983</v>
      </c>
      <c r="H1985">
        <f t="shared" ca="1" si="64"/>
        <v>5.0039836710923248E-2</v>
      </c>
    </row>
    <row r="1986" spans="2:8" x14ac:dyDescent="0.3">
      <c r="B1986" s="113">
        <v>42369</v>
      </c>
      <c r="C1986">
        <v>217.32</v>
      </c>
      <c r="D1986">
        <f t="shared" si="63"/>
        <v>0.56548047831724535</v>
      </c>
      <c r="E1986">
        <v>3.8338953300382653E-3</v>
      </c>
      <c r="G1986">
        <v>1984</v>
      </c>
      <c r="H1986">
        <f t="shared" ca="1" si="64"/>
        <v>1.7166792558572681E-2</v>
      </c>
    </row>
    <row r="1987" spans="2:8" x14ac:dyDescent="0.3">
      <c r="B1987" s="113">
        <v>40963</v>
      </c>
      <c r="C1987">
        <v>138.82</v>
      </c>
      <c r="D1987">
        <f t="shared" ref="D1987:D2050" si="65">(C1987-C1988)/C1988</f>
        <v>2.3068127679847548</v>
      </c>
      <c r="E1987">
        <v>3.8325258514715537E-3</v>
      </c>
      <c r="G1987">
        <v>1985</v>
      </c>
      <c r="H1987">
        <f t="shared" ca="1" si="64"/>
        <v>-3.7809876824867812E-2</v>
      </c>
    </row>
    <row r="1988" spans="2:8" x14ac:dyDescent="0.3">
      <c r="B1988" s="113">
        <v>38664</v>
      </c>
      <c r="C1988">
        <v>41.98</v>
      </c>
      <c r="D1988">
        <f t="shared" si="65"/>
        <v>-0.58224698975022393</v>
      </c>
      <c r="E1988">
        <v>3.8259206121472162E-3</v>
      </c>
      <c r="G1988">
        <v>1986</v>
      </c>
      <c r="H1988">
        <f t="shared" ref="H1988:H2051" ca="1" si="66">_xlfn.NORM.INV(RAND(),$L$4,$L$6)</f>
        <v>-1.0501451391074484E-2</v>
      </c>
    </row>
    <row r="1989" spans="2:8" x14ac:dyDescent="0.3">
      <c r="B1989" s="113">
        <v>40367</v>
      </c>
      <c r="C1989">
        <v>100.49</v>
      </c>
      <c r="D1989">
        <f t="shared" si="65"/>
        <v>-0.63839510615329254</v>
      </c>
      <c r="E1989">
        <v>3.7958245929477119E-3</v>
      </c>
      <c r="G1989">
        <v>1987</v>
      </c>
      <c r="H1989">
        <f t="shared" ca="1" si="66"/>
        <v>1.9296898806200603E-2</v>
      </c>
    </row>
    <row r="1990" spans="2:8" x14ac:dyDescent="0.3">
      <c r="B1990" s="113">
        <v>43510</v>
      </c>
      <c r="C1990">
        <v>277.89999999999998</v>
      </c>
      <c r="D1990">
        <f t="shared" si="65"/>
        <v>-4.5869669710911262E-2</v>
      </c>
      <c r="E1990">
        <v>3.7926675094815043E-3</v>
      </c>
      <c r="G1990">
        <v>1988</v>
      </c>
      <c r="H1990">
        <f t="shared" ca="1" si="66"/>
        <v>1.7641789603018592E-3</v>
      </c>
    </row>
    <row r="1991" spans="2:8" x14ac:dyDescent="0.3">
      <c r="B1991" s="113">
        <v>44750</v>
      </c>
      <c r="C1991">
        <v>291.26</v>
      </c>
      <c r="D1991">
        <f t="shared" si="65"/>
        <v>1.5564820503818131</v>
      </c>
      <c r="E1991">
        <v>3.7910118555278668E-3</v>
      </c>
      <c r="G1991">
        <v>1989</v>
      </c>
      <c r="H1991">
        <f t="shared" ca="1" si="66"/>
        <v>-2.3237488471395007E-2</v>
      </c>
    </row>
    <row r="1992" spans="2:8" x14ac:dyDescent="0.3">
      <c r="B1992" s="113">
        <v>40483</v>
      </c>
      <c r="C1992">
        <v>113.93</v>
      </c>
      <c r="D1992">
        <f t="shared" si="65"/>
        <v>0.43272132796780699</v>
      </c>
      <c r="E1992">
        <v>3.7885462555066682E-3</v>
      </c>
      <c r="G1992">
        <v>1990</v>
      </c>
      <c r="H1992">
        <f t="shared" ca="1" si="66"/>
        <v>2.1307785583223739E-2</v>
      </c>
    </row>
    <row r="1993" spans="2:8" x14ac:dyDescent="0.3">
      <c r="B1993" s="113">
        <v>40052</v>
      </c>
      <c r="C1993">
        <v>79.52</v>
      </c>
      <c r="D1993">
        <f t="shared" si="65"/>
        <v>3.9949748743718589</v>
      </c>
      <c r="E1993">
        <v>3.7869224943195804E-3</v>
      </c>
      <c r="G1993">
        <v>1991</v>
      </c>
      <c r="H1993">
        <f t="shared" ca="1" si="66"/>
        <v>6.6594719542856168E-3</v>
      </c>
    </row>
    <row r="1994" spans="2:8" x14ac:dyDescent="0.3">
      <c r="B1994" s="113">
        <v>37834</v>
      </c>
      <c r="C1994">
        <v>15.92</v>
      </c>
      <c r="D1994">
        <f t="shared" si="65"/>
        <v>-0.9479653538159829</v>
      </c>
      <c r="E1994">
        <v>3.7831021437579131E-3</v>
      </c>
      <c r="G1994">
        <v>1992</v>
      </c>
      <c r="H1994">
        <f t="shared" ca="1" si="66"/>
        <v>6.412771646661093E-4</v>
      </c>
    </row>
    <row r="1995" spans="2:8" x14ac:dyDescent="0.3">
      <c r="B1995" s="113">
        <v>43325</v>
      </c>
      <c r="C1995">
        <v>305.95</v>
      </c>
      <c r="D1995">
        <f t="shared" si="65"/>
        <v>0.37945804589927407</v>
      </c>
      <c r="E1995">
        <v>3.7729658792650172E-3</v>
      </c>
      <c r="G1995">
        <v>1993</v>
      </c>
      <c r="H1995">
        <f t="shared" ca="1" si="66"/>
        <v>-2.3565985243144762E-2</v>
      </c>
    </row>
    <row r="1996" spans="2:8" x14ac:dyDescent="0.3">
      <c r="B1996" s="113">
        <v>41704</v>
      </c>
      <c r="C1996">
        <v>221.79</v>
      </c>
      <c r="D1996">
        <f t="shared" si="65"/>
        <v>1.5928220715454757</v>
      </c>
      <c r="E1996">
        <v>3.7563359884141205E-3</v>
      </c>
      <c r="G1996">
        <v>1994</v>
      </c>
      <c r="H1996">
        <f t="shared" ca="1" si="66"/>
        <v>9.8580611894842768E-3</v>
      </c>
    </row>
    <row r="1997" spans="2:8" x14ac:dyDescent="0.3">
      <c r="B1997" s="113">
        <v>40148</v>
      </c>
      <c r="C1997">
        <v>85.54</v>
      </c>
      <c r="D1997">
        <f t="shared" si="65"/>
        <v>-0.59709858226178703</v>
      </c>
      <c r="E1997">
        <v>3.7549870922319573E-3</v>
      </c>
      <c r="G1997">
        <v>1995</v>
      </c>
      <c r="H1997">
        <f t="shared" ca="1" si="66"/>
        <v>-2.272487772374826E-2</v>
      </c>
    </row>
    <row r="1998" spans="2:8" x14ac:dyDescent="0.3">
      <c r="B1998" s="113">
        <v>41634</v>
      </c>
      <c r="C1998">
        <v>212.31</v>
      </c>
      <c r="D1998">
        <f t="shared" si="65"/>
        <v>6.1726351351351347</v>
      </c>
      <c r="E1998">
        <v>3.7348714069591151E-3</v>
      </c>
      <c r="G1998">
        <v>1996</v>
      </c>
      <c r="H1998">
        <f t="shared" ca="1" si="66"/>
        <v>-1.6392003400608143E-2</v>
      </c>
    </row>
    <row r="1999" spans="2:8" x14ac:dyDescent="0.3">
      <c r="B1999" s="113">
        <v>38426</v>
      </c>
      <c r="C1999">
        <v>29.6</v>
      </c>
      <c r="D1999">
        <f t="shared" si="65"/>
        <v>-0.85335645281149375</v>
      </c>
      <c r="E1999">
        <v>3.7300779925399452E-3</v>
      </c>
      <c r="G1999">
        <v>1997</v>
      </c>
      <c r="H1999">
        <f t="shared" ca="1" si="66"/>
        <v>-1.4191778257390358E-2</v>
      </c>
    </row>
    <row r="2000" spans="2:8" x14ac:dyDescent="0.3">
      <c r="B2000" s="113">
        <v>44390</v>
      </c>
      <c r="C2000">
        <v>201.85</v>
      </c>
      <c r="D2000">
        <f t="shared" si="65"/>
        <v>-0.28599221789883267</v>
      </c>
      <c r="E2000">
        <v>3.7294878170064647E-3</v>
      </c>
      <c r="G2000">
        <v>1998</v>
      </c>
      <c r="H2000">
        <f t="shared" ca="1" si="66"/>
        <v>-6.7872691339918622E-3</v>
      </c>
    </row>
    <row r="2001" spans="2:8" x14ac:dyDescent="0.3">
      <c r="B2001" s="113">
        <v>43466</v>
      </c>
      <c r="C2001">
        <v>282.7</v>
      </c>
      <c r="D2001">
        <f t="shared" si="65"/>
        <v>0.26419819336374201</v>
      </c>
      <c r="E2001">
        <v>3.7280312444523751E-3</v>
      </c>
      <c r="G2001">
        <v>1999</v>
      </c>
      <c r="H2001">
        <f t="shared" ca="1" si="66"/>
        <v>2.0721832168485367E-2</v>
      </c>
    </row>
    <row r="2002" spans="2:8" x14ac:dyDescent="0.3">
      <c r="B2002" s="113">
        <v>41429</v>
      </c>
      <c r="C2002">
        <v>223.62</v>
      </c>
      <c r="D2002">
        <f t="shared" si="65"/>
        <v>10.850556438791733</v>
      </c>
      <c r="E2002">
        <v>3.7254813950357399E-3</v>
      </c>
      <c r="G2002">
        <v>2000</v>
      </c>
      <c r="H2002">
        <f t="shared" ca="1" si="66"/>
        <v>4.2134131424505557E-3</v>
      </c>
    </row>
    <row r="2003" spans="2:8" x14ac:dyDescent="0.3">
      <c r="B2003" s="113">
        <v>37938</v>
      </c>
      <c r="C2003">
        <v>18.87</v>
      </c>
      <c r="D2003">
        <f t="shared" si="65"/>
        <v>-0.91577772818567282</v>
      </c>
      <c r="E2003">
        <v>3.7234042553191639E-3</v>
      </c>
      <c r="G2003">
        <v>2001</v>
      </c>
      <c r="H2003">
        <f t="shared" ca="1" si="66"/>
        <v>-3.9888315900346541E-2</v>
      </c>
    </row>
    <row r="2004" spans="2:8" x14ac:dyDescent="0.3">
      <c r="B2004" s="113">
        <v>41799</v>
      </c>
      <c r="C2004">
        <v>224.05</v>
      </c>
      <c r="D2004">
        <f t="shared" si="65"/>
        <v>-0.17095282146160959</v>
      </c>
      <c r="E2004">
        <v>3.7183048113968841E-3</v>
      </c>
      <c r="G2004">
        <v>2002</v>
      </c>
      <c r="H2004">
        <f t="shared" ca="1" si="66"/>
        <v>1.6478552640465272E-2</v>
      </c>
    </row>
    <row r="2005" spans="2:8" x14ac:dyDescent="0.3">
      <c r="B2005" s="113">
        <v>43263</v>
      </c>
      <c r="C2005">
        <v>270.25</v>
      </c>
      <c r="D2005">
        <f t="shared" si="65"/>
        <v>1.1269478986305681</v>
      </c>
      <c r="E2005">
        <v>3.7140204271123491E-3</v>
      </c>
      <c r="G2005">
        <v>2003</v>
      </c>
      <c r="H2005">
        <f t="shared" ca="1" si="66"/>
        <v>-1.3134317232511232E-2</v>
      </c>
    </row>
    <row r="2006" spans="2:8" x14ac:dyDescent="0.3">
      <c r="B2006" s="113">
        <v>40809</v>
      </c>
      <c r="C2006">
        <v>127.06</v>
      </c>
      <c r="D2006">
        <f t="shared" si="65"/>
        <v>-0.41298221298221294</v>
      </c>
      <c r="E2006">
        <v>3.7127735208152212E-3</v>
      </c>
      <c r="G2006">
        <v>2004</v>
      </c>
      <c r="H2006">
        <f t="shared" ca="1" si="66"/>
        <v>-6.0877718398295632E-3</v>
      </c>
    </row>
    <row r="2007" spans="2:8" x14ac:dyDescent="0.3">
      <c r="B2007" s="113">
        <v>43866</v>
      </c>
      <c r="C2007">
        <v>216.45</v>
      </c>
      <c r="D2007">
        <f t="shared" si="65"/>
        <v>2.4771084337349394</v>
      </c>
      <c r="E2007">
        <v>3.7097148156734661E-3</v>
      </c>
      <c r="G2007">
        <v>2005</v>
      </c>
      <c r="H2007">
        <f t="shared" ca="1" si="66"/>
        <v>4.7441687629088576E-3</v>
      </c>
    </row>
    <row r="2008" spans="2:8" x14ac:dyDescent="0.3">
      <c r="B2008" s="113">
        <v>39664</v>
      </c>
      <c r="C2008">
        <v>62.25</v>
      </c>
      <c r="D2008">
        <f t="shared" si="65"/>
        <v>-0.77109762824048533</v>
      </c>
      <c r="E2008">
        <v>3.7084811351176532E-3</v>
      </c>
      <c r="G2008">
        <v>2006</v>
      </c>
      <c r="H2008">
        <f t="shared" ca="1" si="66"/>
        <v>1.6305589199477498E-3</v>
      </c>
    </row>
    <row r="2009" spans="2:8" x14ac:dyDescent="0.3">
      <c r="B2009" s="113">
        <v>43662</v>
      </c>
      <c r="C2009">
        <v>271.95</v>
      </c>
      <c r="D2009">
        <f t="shared" si="65"/>
        <v>-0.13059462915601031</v>
      </c>
      <c r="E2009">
        <v>3.6907178446207787E-3</v>
      </c>
      <c r="G2009">
        <v>2007</v>
      </c>
      <c r="H2009">
        <f t="shared" ca="1" si="66"/>
        <v>-1.9043141407796598E-2</v>
      </c>
    </row>
    <row r="2010" spans="2:8" x14ac:dyDescent="0.3">
      <c r="B2010" s="113">
        <v>43341</v>
      </c>
      <c r="C2010">
        <v>312.8</v>
      </c>
      <c r="D2010">
        <f t="shared" si="65"/>
        <v>21.949376375641965</v>
      </c>
      <c r="E2010">
        <v>3.6900369003691133E-3</v>
      </c>
      <c r="G2010">
        <v>2008</v>
      </c>
      <c r="H2010">
        <f t="shared" ca="1" si="66"/>
        <v>2.1422051398079102E-2</v>
      </c>
    </row>
    <row r="2011" spans="2:8" x14ac:dyDescent="0.3">
      <c r="B2011" s="113">
        <v>37571</v>
      </c>
      <c r="C2011">
        <v>13.63</v>
      </c>
      <c r="D2011">
        <f t="shared" si="65"/>
        <v>-0.28713389121338911</v>
      </c>
      <c r="E2011">
        <v>3.6818851251841467E-3</v>
      </c>
      <c r="G2011">
        <v>2009</v>
      </c>
      <c r="H2011">
        <f t="shared" ca="1" si="66"/>
        <v>-6.7233493493197103E-3</v>
      </c>
    </row>
    <row r="2012" spans="2:8" x14ac:dyDescent="0.3">
      <c r="B2012" s="113">
        <v>37936</v>
      </c>
      <c r="C2012">
        <v>19.12</v>
      </c>
      <c r="D2012">
        <f t="shared" si="65"/>
        <v>-0.9334261838440111</v>
      </c>
      <c r="E2012">
        <v>3.6745406824147129E-3</v>
      </c>
      <c r="G2012">
        <v>2010</v>
      </c>
      <c r="H2012">
        <f t="shared" ca="1" si="66"/>
        <v>-1.7253439465660863E-2</v>
      </c>
    </row>
    <row r="2013" spans="2:8" x14ac:dyDescent="0.3">
      <c r="B2013" s="113">
        <v>43307</v>
      </c>
      <c r="C2013">
        <v>287.2</v>
      </c>
      <c r="D2013">
        <f t="shared" si="65"/>
        <v>4.7983944535668586E-2</v>
      </c>
      <c r="E2013">
        <v>3.6694041586580865E-3</v>
      </c>
      <c r="G2013">
        <v>2011</v>
      </c>
      <c r="H2013">
        <f t="shared" ca="1" si="66"/>
        <v>1.8465165052049985E-2</v>
      </c>
    </row>
    <row r="2014" spans="2:8" x14ac:dyDescent="0.3">
      <c r="B2014" s="113">
        <v>43441</v>
      </c>
      <c r="C2014">
        <v>274.05</v>
      </c>
      <c r="D2014">
        <f t="shared" si="65"/>
        <v>13.280875455966649</v>
      </c>
      <c r="E2014">
        <v>3.6623329060611609E-3</v>
      </c>
      <c r="G2014">
        <v>2012</v>
      </c>
      <c r="H2014">
        <f t="shared" ca="1" si="66"/>
        <v>-8.5796473986764609E-3</v>
      </c>
    </row>
    <row r="2015" spans="2:8" x14ac:dyDescent="0.3">
      <c r="B2015" s="113">
        <v>37922</v>
      </c>
      <c r="C2015">
        <v>19.190000000000001</v>
      </c>
      <c r="D2015">
        <f t="shared" si="65"/>
        <v>-0.92647509578544063</v>
      </c>
      <c r="E2015">
        <v>3.6610878661088014E-3</v>
      </c>
      <c r="G2015">
        <v>2013</v>
      </c>
      <c r="H2015">
        <f t="shared" ca="1" si="66"/>
        <v>-3.9345036765677651E-3</v>
      </c>
    </row>
    <row r="2016" spans="2:8" x14ac:dyDescent="0.3">
      <c r="B2016" s="113">
        <v>42614</v>
      </c>
      <c r="C2016">
        <v>261</v>
      </c>
      <c r="D2016">
        <f t="shared" si="65"/>
        <v>0.2327602493859815</v>
      </c>
      <c r="E2016">
        <v>3.6531436262256817E-3</v>
      </c>
      <c r="G2016">
        <v>2014</v>
      </c>
      <c r="H2016">
        <f t="shared" ca="1" si="66"/>
        <v>1.7756130129686104E-2</v>
      </c>
    </row>
    <row r="2017" spans="2:8" x14ac:dyDescent="0.3">
      <c r="B2017" s="113">
        <v>42503</v>
      </c>
      <c r="C2017">
        <v>211.72</v>
      </c>
      <c r="D2017">
        <f t="shared" si="65"/>
        <v>11.831515151515152</v>
      </c>
      <c r="E2017">
        <v>3.6501540649443481E-3</v>
      </c>
      <c r="G2017">
        <v>2015</v>
      </c>
      <c r="H2017">
        <f t="shared" ca="1" si="66"/>
        <v>-1.4242498263962358E-2</v>
      </c>
    </row>
    <row r="2018" spans="2:8" x14ac:dyDescent="0.3">
      <c r="B2018" s="113">
        <v>37795</v>
      </c>
      <c r="C2018">
        <v>16.5</v>
      </c>
      <c r="D2018">
        <f t="shared" si="65"/>
        <v>0.19912790697674421</v>
      </c>
      <c r="E2018">
        <v>3.6496350364962722E-3</v>
      </c>
      <c r="G2018">
        <v>2016</v>
      </c>
      <c r="H2018">
        <f t="shared" ca="1" si="66"/>
        <v>-1.6064636108908785E-2</v>
      </c>
    </row>
    <row r="2019" spans="2:8" x14ac:dyDescent="0.3">
      <c r="B2019" s="113">
        <v>37564</v>
      </c>
      <c r="C2019">
        <v>13.76</v>
      </c>
      <c r="D2019">
        <f t="shared" si="65"/>
        <v>-0.91560870898497404</v>
      </c>
      <c r="E2019">
        <v>3.6469730123996303E-3</v>
      </c>
      <c r="G2019">
        <v>2017</v>
      </c>
      <c r="H2019">
        <f t="shared" ca="1" si="66"/>
        <v>3.8586812755551154E-2</v>
      </c>
    </row>
    <row r="2020" spans="2:8" x14ac:dyDescent="0.3">
      <c r="B2020" s="113">
        <v>41024</v>
      </c>
      <c r="C2020">
        <v>163.05000000000001</v>
      </c>
      <c r="D2020">
        <f t="shared" si="65"/>
        <v>-0.21402747650036144</v>
      </c>
      <c r="E2020">
        <v>3.6316631786286065E-3</v>
      </c>
      <c r="G2020">
        <v>2018</v>
      </c>
      <c r="H2020">
        <f t="shared" ca="1" si="66"/>
        <v>-7.4798045070136553E-4</v>
      </c>
    </row>
    <row r="2021" spans="2:8" x14ac:dyDescent="0.3">
      <c r="B2021" s="113">
        <v>43881</v>
      </c>
      <c r="C2021">
        <v>207.45</v>
      </c>
      <c r="D2021">
        <f t="shared" si="65"/>
        <v>2.5619848901098896</v>
      </c>
      <c r="E2021">
        <v>3.6284470246734399E-3</v>
      </c>
      <c r="G2021">
        <v>2019</v>
      </c>
      <c r="H2021">
        <f t="shared" ca="1" si="66"/>
        <v>-3.1895727367356616E-2</v>
      </c>
    </row>
    <row r="2022" spans="2:8" x14ac:dyDescent="0.3">
      <c r="B2022" s="113">
        <v>39120</v>
      </c>
      <c r="C2022">
        <v>58.24</v>
      </c>
      <c r="D2022">
        <f t="shared" si="65"/>
        <v>-0.73854096520763179</v>
      </c>
      <c r="E2022">
        <v>3.6188178528347554E-3</v>
      </c>
      <c r="G2022">
        <v>2020</v>
      </c>
      <c r="H2022">
        <f t="shared" ca="1" si="66"/>
        <v>4.3642724866350393E-3</v>
      </c>
    </row>
    <row r="2023" spans="2:8" x14ac:dyDescent="0.3">
      <c r="B2023" s="113">
        <v>44573</v>
      </c>
      <c r="C2023">
        <v>222.75</v>
      </c>
      <c r="D2023">
        <f t="shared" si="65"/>
        <v>4.8679440704298305E-2</v>
      </c>
      <c r="E2023">
        <v>3.6044154088759241E-3</v>
      </c>
      <c r="G2023">
        <v>2021</v>
      </c>
      <c r="H2023">
        <f t="shared" ca="1" si="66"/>
        <v>-2.9144156834909579E-3</v>
      </c>
    </row>
    <row r="2024" spans="2:8" x14ac:dyDescent="0.3">
      <c r="B2024" s="113">
        <v>42276</v>
      </c>
      <c r="C2024">
        <v>212.41</v>
      </c>
      <c r="D2024">
        <f t="shared" si="65"/>
        <v>8.3448099974496218E-2</v>
      </c>
      <c r="E2024">
        <v>3.590833923930975E-3</v>
      </c>
      <c r="G2024">
        <v>2022</v>
      </c>
      <c r="H2024">
        <f t="shared" ca="1" si="66"/>
        <v>-2.3033586370555539E-2</v>
      </c>
    </row>
    <row r="2025" spans="2:8" x14ac:dyDescent="0.3">
      <c r="B2025" s="113">
        <v>44050</v>
      </c>
      <c r="C2025">
        <v>196.05</v>
      </c>
      <c r="D2025">
        <f t="shared" si="65"/>
        <v>1.2403153925265684</v>
      </c>
      <c r="E2025">
        <v>3.5833120040953013E-3</v>
      </c>
      <c r="G2025">
        <v>2023</v>
      </c>
      <c r="H2025">
        <f t="shared" ca="1" si="66"/>
        <v>-9.0548901839100117E-3</v>
      </c>
    </row>
    <row r="2026" spans="2:8" x14ac:dyDescent="0.3">
      <c r="B2026" s="113">
        <v>40269</v>
      </c>
      <c r="C2026">
        <v>87.51</v>
      </c>
      <c r="D2026">
        <f t="shared" si="65"/>
        <v>-0.69017525225703669</v>
      </c>
      <c r="E2026">
        <v>3.5550458715596588E-3</v>
      </c>
      <c r="G2026">
        <v>2024</v>
      </c>
      <c r="H2026">
        <f t="shared" ca="1" si="66"/>
        <v>1.1900672362195699E-3</v>
      </c>
    </row>
    <row r="2027" spans="2:8" x14ac:dyDescent="0.3">
      <c r="B2027" s="113">
        <v>42975</v>
      </c>
      <c r="C2027">
        <v>282.45</v>
      </c>
      <c r="D2027">
        <f t="shared" si="65"/>
        <v>4.8635604232411228E-2</v>
      </c>
      <c r="E2027">
        <v>3.5530289571860012E-3</v>
      </c>
      <c r="G2027">
        <v>2025</v>
      </c>
      <c r="H2027">
        <f t="shared" ca="1" si="66"/>
        <v>8.4075446117898196E-3</v>
      </c>
    </row>
    <row r="2028" spans="2:8" x14ac:dyDescent="0.3">
      <c r="B2028" s="113">
        <v>43035</v>
      </c>
      <c r="C2028">
        <v>269.35000000000002</v>
      </c>
      <c r="D2028">
        <f t="shared" si="65"/>
        <v>6.9104258443465501</v>
      </c>
      <c r="E2028">
        <v>3.5394932935918239E-3</v>
      </c>
      <c r="G2028">
        <v>2026</v>
      </c>
      <c r="H2028">
        <f t="shared" ca="1" si="66"/>
        <v>-2.294418465051904E-3</v>
      </c>
    </row>
    <row r="2029" spans="2:8" x14ac:dyDescent="0.3">
      <c r="B2029" s="113">
        <v>38524</v>
      </c>
      <c r="C2029">
        <v>34.049999999999997</v>
      </c>
      <c r="D2029">
        <f t="shared" si="65"/>
        <v>1.3995771670190276</v>
      </c>
      <c r="E2029">
        <v>3.5366931918655304E-3</v>
      </c>
      <c r="G2029">
        <v>2027</v>
      </c>
      <c r="H2029">
        <f t="shared" ca="1" si="66"/>
        <v>-2.4858242484217578E-3</v>
      </c>
    </row>
    <row r="2030" spans="2:8" x14ac:dyDescent="0.3">
      <c r="B2030" s="113">
        <v>37658</v>
      </c>
      <c r="C2030">
        <v>14.19</v>
      </c>
      <c r="D2030">
        <f t="shared" si="65"/>
        <v>-0.75004403734366754</v>
      </c>
      <c r="E2030">
        <v>3.5360678925034604E-3</v>
      </c>
      <c r="G2030">
        <v>2028</v>
      </c>
      <c r="H2030">
        <f t="shared" ca="1" si="66"/>
        <v>-1.1241172048614221E-2</v>
      </c>
    </row>
    <row r="2031" spans="2:8" x14ac:dyDescent="0.3">
      <c r="B2031" s="113">
        <v>39834</v>
      </c>
      <c r="C2031">
        <v>56.77</v>
      </c>
      <c r="D2031">
        <f t="shared" si="65"/>
        <v>-0.76786882564605818</v>
      </c>
      <c r="E2031">
        <v>3.5354428142125305E-3</v>
      </c>
      <c r="G2031">
        <v>2029</v>
      </c>
      <c r="H2031">
        <f t="shared" ca="1" si="66"/>
        <v>8.074812950109431E-3</v>
      </c>
    </row>
    <row r="2032" spans="2:8" x14ac:dyDescent="0.3">
      <c r="B2032" s="113">
        <v>42040</v>
      </c>
      <c r="C2032">
        <v>244.56</v>
      </c>
      <c r="D2032">
        <f t="shared" si="65"/>
        <v>0.1729496402877698</v>
      </c>
      <c r="E2032">
        <v>3.5289290110792518E-3</v>
      </c>
      <c r="G2032">
        <v>2030</v>
      </c>
      <c r="H2032">
        <f t="shared" ca="1" si="66"/>
        <v>1.0587886706496791E-2</v>
      </c>
    </row>
    <row r="2033" spans="2:8" x14ac:dyDescent="0.3">
      <c r="B2033" s="113">
        <v>42207</v>
      </c>
      <c r="C2033">
        <v>208.5</v>
      </c>
      <c r="D2033">
        <f t="shared" si="65"/>
        <v>0.21404448585070449</v>
      </c>
      <c r="E2033">
        <v>3.5135005053664615E-3</v>
      </c>
      <c r="G2033">
        <v>2031</v>
      </c>
      <c r="H2033">
        <f t="shared" ca="1" si="66"/>
        <v>-2.2473745113387619E-2</v>
      </c>
    </row>
    <row r="2034" spans="2:8" x14ac:dyDescent="0.3">
      <c r="B2034" s="113">
        <v>41122</v>
      </c>
      <c r="C2034">
        <v>171.74</v>
      </c>
      <c r="D2034">
        <f t="shared" si="65"/>
        <v>0.99767360707223463</v>
      </c>
      <c r="E2034">
        <v>3.5059016010285308E-3</v>
      </c>
      <c r="G2034">
        <v>2032</v>
      </c>
      <c r="H2034">
        <f t="shared" ca="1" si="66"/>
        <v>2.4387109390540389E-2</v>
      </c>
    </row>
    <row r="2035" spans="2:8" x14ac:dyDescent="0.3">
      <c r="B2035" s="113">
        <v>40252</v>
      </c>
      <c r="C2035">
        <v>85.97</v>
      </c>
      <c r="D2035">
        <f t="shared" si="65"/>
        <v>-0.14321307554315332</v>
      </c>
      <c r="E2035">
        <v>3.5018092681218297E-3</v>
      </c>
      <c r="G2035">
        <v>2033</v>
      </c>
      <c r="H2035">
        <f t="shared" ca="1" si="66"/>
        <v>-3.5919265071149968E-3</v>
      </c>
    </row>
    <row r="2036" spans="2:8" x14ac:dyDescent="0.3">
      <c r="B2036" s="113">
        <v>40385</v>
      </c>
      <c r="C2036">
        <v>100.34</v>
      </c>
      <c r="D2036">
        <f t="shared" si="65"/>
        <v>-4.9805757545569437E-4</v>
      </c>
      <c r="E2036">
        <v>3.5003500350035857E-3</v>
      </c>
      <c r="G2036">
        <v>2034</v>
      </c>
      <c r="H2036">
        <f t="shared" ca="1" si="66"/>
        <v>2.6468795846827924E-4</v>
      </c>
    </row>
    <row r="2037" spans="2:8" x14ac:dyDescent="0.3">
      <c r="B2037" s="113">
        <v>40352</v>
      </c>
      <c r="C2037">
        <v>100.39</v>
      </c>
      <c r="D2037">
        <f t="shared" si="65"/>
        <v>5.990947075208914</v>
      </c>
      <c r="E2037">
        <v>3.4986005597760325E-3</v>
      </c>
      <c r="G2037">
        <v>2035</v>
      </c>
      <c r="H2037">
        <f t="shared" ca="1" si="66"/>
        <v>-4.3352667664508229E-3</v>
      </c>
    </row>
    <row r="2038" spans="2:8" x14ac:dyDescent="0.3">
      <c r="B2038" s="113">
        <v>37595</v>
      </c>
      <c r="C2038">
        <v>14.36</v>
      </c>
      <c r="D2038">
        <f t="shared" si="65"/>
        <v>-0.94737999267130812</v>
      </c>
      <c r="E2038">
        <v>3.4940600978336082E-3</v>
      </c>
      <c r="G2038">
        <v>2036</v>
      </c>
      <c r="H2038">
        <f t="shared" ca="1" si="66"/>
        <v>-1.6364288585757947E-2</v>
      </c>
    </row>
    <row r="2039" spans="2:8" x14ac:dyDescent="0.3">
      <c r="B2039" s="113">
        <v>43663</v>
      </c>
      <c r="C2039">
        <v>272.89999999999998</v>
      </c>
      <c r="D2039">
        <f t="shared" si="65"/>
        <v>6.306559571619812</v>
      </c>
      <c r="E2039">
        <v>3.4932892075748801E-3</v>
      </c>
      <c r="G2039">
        <v>2037</v>
      </c>
      <c r="H2039">
        <f t="shared" ca="1" si="66"/>
        <v>-7.4969034197679696E-3</v>
      </c>
    </row>
    <row r="2040" spans="2:8" x14ac:dyDescent="0.3">
      <c r="B2040" s="113">
        <v>38586</v>
      </c>
      <c r="C2040">
        <v>37.35</v>
      </c>
      <c r="D2040">
        <f t="shared" si="65"/>
        <v>-0.83724071814537215</v>
      </c>
      <c r="E2040">
        <v>3.492745835572342E-3</v>
      </c>
      <c r="G2040">
        <v>2038</v>
      </c>
      <c r="H2040">
        <f t="shared" ca="1" si="66"/>
        <v>2.8940282586940765E-2</v>
      </c>
    </row>
    <row r="2041" spans="2:8" x14ac:dyDescent="0.3">
      <c r="B2041" s="113">
        <v>41872</v>
      </c>
      <c r="C2041">
        <v>229.48</v>
      </c>
      <c r="D2041">
        <f t="shared" si="65"/>
        <v>-0.16870132222423481</v>
      </c>
      <c r="E2041">
        <v>3.4544579999125106E-3</v>
      </c>
      <c r="G2041">
        <v>2039</v>
      </c>
      <c r="H2041">
        <f t="shared" ca="1" si="66"/>
        <v>-3.4061723737629335E-2</v>
      </c>
    </row>
    <row r="2042" spans="2:8" x14ac:dyDescent="0.3">
      <c r="B2042" s="113">
        <v>43524</v>
      </c>
      <c r="C2042">
        <v>276.05</v>
      </c>
      <c r="D2042">
        <f t="shared" si="65"/>
        <v>0.43880954862920873</v>
      </c>
      <c r="E2042">
        <v>3.4532897128316561E-3</v>
      </c>
      <c r="G2042">
        <v>2040</v>
      </c>
      <c r="H2042">
        <f t="shared" ca="1" si="66"/>
        <v>6.1370373752915371E-3</v>
      </c>
    </row>
    <row r="2043" spans="2:8" x14ac:dyDescent="0.3">
      <c r="B2043" s="113">
        <v>41271</v>
      </c>
      <c r="C2043">
        <v>191.86</v>
      </c>
      <c r="D2043">
        <f t="shared" si="65"/>
        <v>-9.9840480435394452E-2</v>
      </c>
      <c r="E2043">
        <v>3.4518828451884156E-3</v>
      </c>
      <c r="G2043">
        <v>2041</v>
      </c>
      <c r="H2043">
        <f t="shared" ca="1" si="66"/>
        <v>-6.2556235410287705E-3</v>
      </c>
    </row>
    <row r="2044" spans="2:8" x14ac:dyDescent="0.3">
      <c r="B2044" s="113">
        <v>41610</v>
      </c>
      <c r="C2044">
        <v>213.14</v>
      </c>
      <c r="D2044">
        <f t="shared" si="65"/>
        <v>-7.6276328334922525E-2</v>
      </c>
      <c r="E2044">
        <v>3.4367496822183033E-3</v>
      </c>
      <c r="G2044">
        <v>2042</v>
      </c>
      <c r="H2044">
        <f t="shared" ca="1" si="66"/>
        <v>-9.9532065966394748E-3</v>
      </c>
    </row>
    <row r="2045" spans="2:8" x14ac:dyDescent="0.3">
      <c r="B2045" s="113">
        <v>42514</v>
      </c>
      <c r="C2045">
        <v>230.74</v>
      </c>
      <c r="D2045">
        <f t="shared" si="65"/>
        <v>-0.16895371871060677</v>
      </c>
      <c r="E2045">
        <v>3.4355294629268124E-3</v>
      </c>
      <c r="G2045">
        <v>2043</v>
      </c>
      <c r="H2045">
        <f t="shared" ca="1" si="66"/>
        <v>2.2463372804164151E-3</v>
      </c>
    </row>
    <row r="2046" spans="2:8" x14ac:dyDescent="0.3">
      <c r="B2046" s="113">
        <v>43650</v>
      </c>
      <c r="C2046">
        <v>277.64999999999998</v>
      </c>
      <c r="D2046">
        <f t="shared" si="65"/>
        <v>0.60065721203735711</v>
      </c>
      <c r="E2046">
        <v>3.433321286591936E-3</v>
      </c>
      <c r="G2046">
        <v>2044</v>
      </c>
      <c r="H2046">
        <f t="shared" ca="1" si="66"/>
        <v>1.255995235313445E-2</v>
      </c>
    </row>
    <row r="2047" spans="2:8" x14ac:dyDescent="0.3">
      <c r="B2047" s="113">
        <v>41143</v>
      </c>
      <c r="C2047">
        <v>173.46</v>
      </c>
      <c r="D2047">
        <f t="shared" si="65"/>
        <v>10.800000000000002</v>
      </c>
      <c r="E2047">
        <v>3.4129692832764701E-3</v>
      </c>
      <c r="G2047">
        <v>2045</v>
      </c>
      <c r="H2047">
        <f t="shared" ca="1" si="66"/>
        <v>1.6164088603587541E-2</v>
      </c>
    </row>
    <row r="2048" spans="2:8" x14ac:dyDescent="0.3">
      <c r="B2048" s="113">
        <v>37736</v>
      </c>
      <c r="C2048">
        <v>14.7</v>
      </c>
      <c r="D2048">
        <f t="shared" si="65"/>
        <v>-0.93161518422032008</v>
      </c>
      <c r="E2048">
        <v>3.4129692832763777E-3</v>
      </c>
      <c r="G2048">
        <v>2046</v>
      </c>
      <c r="H2048">
        <f t="shared" ca="1" si="66"/>
        <v>-3.8492667206027481E-2</v>
      </c>
    </row>
    <row r="2049" spans="2:8" x14ac:dyDescent="0.3">
      <c r="B2049" s="113">
        <v>42452</v>
      </c>
      <c r="C2049">
        <v>214.96</v>
      </c>
      <c r="D2049">
        <f t="shared" si="65"/>
        <v>-1.5791918253599787E-3</v>
      </c>
      <c r="E2049">
        <v>3.4075526303506427E-3</v>
      </c>
      <c r="G2049">
        <v>2047</v>
      </c>
      <c r="H2049">
        <f t="shared" ca="1" si="66"/>
        <v>3.7743055432555759E-3</v>
      </c>
    </row>
    <row r="2050" spans="2:8" x14ac:dyDescent="0.3">
      <c r="B2050" s="113">
        <v>42447</v>
      </c>
      <c r="C2050">
        <v>215.3</v>
      </c>
      <c r="D2050">
        <f t="shared" si="65"/>
        <v>0.15572494497825981</v>
      </c>
      <c r="E2050">
        <v>3.4021531434963799E-3</v>
      </c>
      <c r="G2050">
        <v>2048</v>
      </c>
      <c r="H2050">
        <f t="shared" ca="1" si="66"/>
        <v>1.4315228459596869E-2</v>
      </c>
    </row>
    <row r="2051" spans="2:8" x14ac:dyDescent="0.3">
      <c r="B2051" s="113">
        <v>41192</v>
      </c>
      <c r="C2051">
        <v>186.29</v>
      </c>
      <c r="D2051">
        <f t="shared" ref="D2051:D2114" si="67">(C2051-C2052)/C2052</f>
        <v>-0.30005635919594209</v>
      </c>
      <c r="E2051">
        <v>3.3932995798771704E-3</v>
      </c>
      <c r="G2051">
        <v>2049</v>
      </c>
      <c r="H2051">
        <f t="shared" ca="1" si="66"/>
        <v>1.0859748664349326E-2</v>
      </c>
    </row>
    <row r="2052" spans="2:8" x14ac:dyDescent="0.3">
      <c r="B2052" s="113">
        <v>43014</v>
      </c>
      <c r="C2052">
        <v>266.14999999999998</v>
      </c>
      <c r="D2052">
        <f t="shared" si="67"/>
        <v>0.19941415051825134</v>
      </c>
      <c r="E2052">
        <v>3.3930254476907721E-3</v>
      </c>
      <c r="G2052">
        <v>2050</v>
      </c>
      <c r="H2052">
        <f t="shared" ref="H2052:H2115" ca="1" si="68">_xlfn.NORM.INV(RAND(),$L$4,$L$6)</f>
        <v>-3.604249251093808E-3</v>
      </c>
    </row>
    <row r="2053" spans="2:8" x14ac:dyDescent="0.3">
      <c r="B2053" s="113">
        <v>44531</v>
      </c>
      <c r="C2053">
        <v>221.9</v>
      </c>
      <c r="D2053">
        <f t="shared" si="67"/>
        <v>0.24985918666216073</v>
      </c>
      <c r="E2053">
        <v>3.3913633280578791E-3</v>
      </c>
      <c r="G2053">
        <v>2051</v>
      </c>
      <c r="H2053">
        <f t="shared" ca="1" si="68"/>
        <v>-1.0958905994037597E-2</v>
      </c>
    </row>
    <row r="2054" spans="2:8" x14ac:dyDescent="0.3">
      <c r="B2054" s="113">
        <v>41135</v>
      </c>
      <c r="C2054">
        <v>177.54</v>
      </c>
      <c r="D2054">
        <f t="shared" si="67"/>
        <v>0.81626598465473132</v>
      </c>
      <c r="E2054">
        <v>3.390979993218008E-3</v>
      </c>
      <c r="G2054">
        <v>2052</v>
      </c>
      <c r="H2054">
        <f t="shared" ca="1" si="68"/>
        <v>-1.1724946169596665E-2</v>
      </c>
    </row>
    <row r="2055" spans="2:8" x14ac:dyDescent="0.3">
      <c r="B2055" s="113">
        <v>40347</v>
      </c>
      <c r="C2055">
        <v>97.75</v>
      </c>
      <c r="D2055">
        <f t="shared" si="67"/>
        <v>-0.63348331458567675</v>
      </c>
      <c r="E2055">
        <v>3.3873947854649793E-3</v>
      </c>
      <c r="G2055">
        <v>2053</v>
      </c>
      <c r="H2055">
        <f t="shared" ca="1" si="68"/>
        <v>-1.4858522354459896E-2</v>
      </c>
    </row>
    <row r="2056" spans="2:8" x14ac:dyDescent="0.3">
      <c r="B2056" s="113">
        <v>43200</v>
      </c>
      <c r="C2056">
        <v>266.7</v>
      </c>
      <c r="D2056">
        <f t="shared" si="67"/>
        <v>8.3881980004876802E-2</v>
      </c>
      <c r="E2056">
        <v>3.3860045146726007E-3</v>
      </c>
      <c r="G2056">
        <v>2054</v>
      </c>
      <c r="H2056">
        <f t="shared" ca="1" si="68"/>
        <v>2.3961881404307469E-3</v>
      </c>
    </row>
    <row r="2057" spans="2:8" x14ac:dyDescent="0.3">
      <c r="B2057" s="113">
        <v>42046</v>
      </c>
      <c r="C2057">
        <v>246.06</v>
      </c>
      <c r="D2057">
        <f t="shared" si="67"/>
        <v>0.39981795426100808</v>
      </c>
      <c r="E2057">
        <v>3.3845777433430353E-3</v>
      </c>
      <c r="G2057">
        <v>2055</v>
      </c>
      <c r="H2057">
        <f t="shared" ca="1" si="68"/>
        <v>-2.7784024039808716E-2</v>
      </c>
    </row>
    <row r="2058" spans="2:8" x14ac:dyDescent="0.3">
      <c r="B2058" s="113">
        <v>41145</v>
      </c>
      <c r="C2058">
        <v>175.78</v>
      </c>
      <c r="D2058">
        <f t="shared" si="67"/>
        <v>-0.22642256744267919</v>
      </c>
      <c r="E2058">
        <v>3.36777213311264E-3</v>
      </c>
      <c r="G2058">
        <v>2056</v>
      </c>
      <c r="H2058">
        <f t="shared" ca="1" si="68"/>
        <v>-1.299726819549531E-2</v>
      </c>
    </row>
    <row r="2059" spans="2:8" x14ac:dyDescent="0.3">
      <c r="B2059" s="113">
        <v>41571</v>
      </c>
      <c r="C2059">
        <v>227.23</v>
      </c>
      <c r="D2059">
        <f t="shared" si="67"/>
        <v>8.225376262145162E-2</v>
      </c>
      <c r="E2059">
        <v>3.3558528723450828E-3</v>
      </c>
      <c r="G2059">
        <v>2057</v>
      </c>
      <c r="H2059">
        <f t="shared" ca="1" si="68"/>
        <v>2.1341019526217739E-2</v>
      </c>
    </row>
    <row r="2060" spans="2:8" x14ac:dyDescent="0.3">
      <c r="B2060" s="113">
        <v>41646</v>
      </c>
      <c r="C2060">
        <v>209.96</v>
      </c>
      <c r="D2060">
        <f t="shared" si="67"/>
        <v>7.744689712619742</v>
      </c>
      <c r="E2060">
        <v>3.3451209022269763E-3</v>
      </c>
      <c r="G2060">
        <v>2058</v>
      </c>
      <c r="H2060">
        <f t="shared" ca="1" si="68"/>
        <v>-5.7038706658789334E-3</v>
      </c>
    </row>
    <row r="2061" spans="2:8" x14ac:dyDescent="0.3">
      <c r="B2061" s="113">
        <v>38079</v>
      </c>
      <c r="C2061">
        <v>24.01</v>
      </c>
      <c r="D2061">
        <f t="shared" si="67"/>
        <v>-0.89042033681712385</v>
      </c>
      <c r="E2061">
        <v>3.3430839949854514E-3</v>
      </c>
      <c r="G2061">
        <v>2059</v>
      </c>
      <c r="H2061">
        <f t="shared" ca="1" si="68"/>
        <v>1.504392640258451E-2</v>
      </c>
    </row>
    <row r="2062" spans="2:8" x14ac:dyDescent="0.3">
      <c r="B2062" s="113">
        <v>42507</v>
      </c>
      <c r="C2062">
        <v>219.11</v>
      </c>
      <c r="D2062">
        <f t="shared" si="67"/>
        <v>-8.7611909223402007E-2</v>
      </c>
      <c r="E2062">
        <v>3.3427969594286024E-3</v>
      </c>
      <c r="G2062">
        <v>2060</v>
      </c>
      <c r="H2062">
        <f t="shared" ca="1" si="68"/>
        <v>5.8080963823847883E-3</v>
      </c>
    </row>
    <row r="2063" spans="2:8" x14ac:dyDescent="0.3">
      <c r="B2063" s="113">
        <v>42664</v>
      </c>
      <c r="C2063">
        <v>240.15</v>
      </c>
      <c r="D2063">
        <f t="shared" si="67"/>
        <v>0.59716679968076603</v>
      </c>
      <c r="E2063">
        <v>3.3423856277418483E-3</v>
      </c>
      <c r="G2063">
        <v>2061</v>
      </c>
      <c r="H2063">
        <f t="shared" ca="1" si="68"/>
        <v>-2.3096959236485061E-2</v>
      </c>
    </row>
    <row r="2064" spans="2:8" x14ac:dyDescent="0.3">
      <c r="B2064" s="113">
        <v>40996</v>
      </c>
      <c r="C2064">
        <v>150.36000000000001</v>
      </c>
      <c r="D2064">
        <f t="shared" si="67"/>
        <v>5.2415940224159403</v>
      </c>
      <c r="E2064">
        <v>3.3364473508608033E-3</v>
      </c>
      <c r="G2064">
        <v>2062</v>
      </c>
      <c r="H2064">
        <f t="shared" ca="1" si="68"/>
        <v>-1.2281057177518633E-4</v>
      </c>
    </row>
    <row r="2065" spans="2:8" x14ac:dyDescent="0.3">
      <c r="B2065" s="113">
        <v>38082</v>
      </c>
      <c r="C2065">
        <v>24.09</v>
      </c>
      <c r="D2065">
        <f t="shared" si="67"/>
        <v>-0.55561704482567797</v>
      </c>
      <c r="E2065">
        <v>3.3319450229070506E-3</v>
      </c>
      <c r="G2065">
        <v>2063</v>
      </c>
      <c r="H2065">
        <f t="shared" ca="1" si="68"/>
        <v>-2.8734053791338889E-2</v>
      </c>
    </row>
    <row r="2066" spans="2:8" x14ac:dyDescent="0.3">
      <c r="B2066" s="113">
        <v>38762</v>
      </c>
      <c r="C2066">
        <v>54.21</v>
      </c>
      <c r="D2066">
        <f t="shared" si="67"/>
        <v>-0.81851963442804054</v>
      </c>
      <c r="E2066">
        <v>3.3314825097168189E-3</v>
      </c>
      <c r="G2066">
        <v>2064</v>
      </c>
      <c r="H2066">
        <f t="shared" ca="1" si="68"/>
        <v>-1.2979463948775163E-2</v>
      </c>
    </row>
    <row r="2067" spans="2:8" x14ac:dyDescent="0.3">
      <c r="B2067" s="113">
        <v>44764</v>
      </c>
      <c r="C2067">
        <v>298.70999999999998</v>
      </c>
      <c r="D2067">
        <f t="shared" si="67"/>
        <v>0.49819440264820936</v>
      </c>
      <c r="E2067">
        <v>3.3252720677144705E-3</v>
      </c>
      <c r="G2067">
        <v>2065</v>
      </c>
      <c r="H2067">
        <f t="shared" ca="1" si="68"/>
        <v>2.2277394411696391E-2</v>
      </c>
    </row>
    <row r="2068" spans="2:8" x14ac:dyDescent="0.3">
      <c r="B2068" s="113">
        <v>41302</v>
      </c>
      <c r="C2068">
        <v>199.38</v>
      </c>
      <c r="D2068">
        <f t="shared" si="67"/>
        <v>-0.17784833615108653</v>
      </c>
      <c r="E2068">
        <v>3.3212560386473257E-3</v>
      </c>
      <c r="G2068">
        <v>2066</v>
      </c>
      <c r="H2068">
        <f t="shared" ca="1" si="68"/>
        <v>-1.3365584454534963E-2</v>
      </c>
    </row>
    <row r="2069" spans="2:8" x14ac:dyDescent="0.3">
      <c r="B2069" s="113">
        <v>41975</v>
      </c>
      <c r="C2069">
        <v>242.51</v>
      </c>
      <c r="D2069">
        <f t="shared" si="67"/>
        <v>2.9945643221874483</v>
      </c>
      <c r="E2069">
        <v>3.3097513549293902E-3</v>
      </c>
      <c r="G2069">
        <v>2067</v>
      </c>
      <c r="H2069">
        <f t="shared" ca="1" si="68"/>
        <v>-2.902886230212073E-2</v>
      </c>
    </row>
    <row r="2070" spans="2:8" x14ac:dyDescent="0.3">
      <c r="B2070" s="113">
        <v>39853</v>
      </c>
      <c r="C2070">
        <v>60.71</v>
      </c>
      <c r="D2070">
        <f t="shared" si="67"/>
        <v>0.99769661072721294</v>
      </c>
      <c r="E2070">
        <v>3.3052388035036003E-3</v>
      </c>
      <c r="G2070">
        <v>2068</v>
      </c>
      <c r="H2070">
        <f t="shared" ca="1" si="68"/>
        <v>5.3426580999989953E-5</v>
      </c>
    </row>
    <row r="2071" spans="2:8" x14ac:dyDescent="0.3">
      <c r="B2071" s="113">
        <v>38449</v>
      </c>
      <c r="C2071">
        <v>30.39</v>
      </c>
      <c r="D2071">
        <f t="shared" si="67"/>
        <v>-0.88890513617254618</v>
      </c>
      <c r="E2071">
        <v>3.301419610432533E-3</v>
      </c>
      <c r="G2071">
        <v>2069</v>
      </c>
      <c r="H2071">
        <f t="shared" ca="1" si="68"/>
        <v>-1.1558679159352249E-3</v>
      </c>
    </row>
    <row r="2072" spans="2:8" x14ac:dyDescent="0.3">
      <c r="B2072" s="113">
        <v>42835</v>
      </c>
      <c r="C2072">
        <v>273.55</v>
      </c>
      <c r="D2072">
        <f t="shared" si="67"/>
        <v>2.8873099332101746</v>
      </c>
      <c r="E2072">
        <v>3.3009352649918731E-3</v>
      </c>
      <c r="G2072">
        <v>2070</v>
      </c>
      <c r="H2072">
        <f t="shared" ca="1" si="68"/>
        <v>8.9855045769285918E-3</v>
      </c>
    </row>
    <row r="2073" spans="2:8" x14ac:dyDescent="0.3">
      <c r="B2073" s="113">
        <v>39567</v>
      </c>
      <c r="C2073">
        <v>70.37</v>
      </c>
      <c r="D2073">
        <f t="shared" si="67"/>
        <v>-0.72976190476190472</v>
      </c>
      <c r="E2073">
        <v>3.2791559737668091E-3</v>
      </c>
      <c r="G2073">
        <v>2071</v>
      </c>
      <c r="H2073">
        <f t="shared" ca="1" si="68"/>
        <v>-1.244412664722343E-3</v>
      </c>
    </row>
    <row r="2074" spans="2:8" x14ac:dyDescent="0.3">
      <c r="B2074" s="113">
        <v>44672</v>
      </c>
      <c r="C2074">
        <v>260.39999999999998</v>
      </c>
      <c r="D2074">
        <f t="shared" si="67"/>
        <v>2.1403762662807519</v>
      </c>
      <c r="E2074">
        <v>3.2748988634173216E-3</v>
      </c>
      <c r="G2074">
        <v>2072</v>
      </c>
      <c r="H2074">
        <f t="shared" ca="1" si="68"/>
        <v>1.616558074877273E-2</v>
      </c>
    </row>
    <row r="2075" spans="2:8" x14ac:dyDescent="0.3">
      <c r="B2075" s="113">
        <v>40225</v>
      </c>
      <c r="C2075">
        <v>82.92</v>
      </c>
      <c r="D2075">
        <f t="shared" si="67"/>
        <v>-0.25236678387882061</v>
      </c>
      <c r="E2075">
        <v>3.2667876588021293E-3</v>
      </c>
      <c r="G2075">
        <v>2073</v>
      </c>
      <c r="H2075">
        <f t="shared" ca="1" si="68"/>
        <v>-7.0528296239176416E-3</v>
      </c>
    </row>
    <row r="2076" spans="2:8" x14ac:dyDescent="0.3">
      <c r="B2076" s="113">
        <v>40521</v>
      </c>
      <c r="C2076">
        <v>110.91</v>
      </c>
      <c r="D2076">
        <f t="shared" si="67"/>
        <v>-0.62140296979006659</v>
      </c>
      <c r="E2076">
        <v>3.2564450474898187E-3</v>
      </c>
      <c r="G2076">
        <v>2074</v>
      </c>
      <c r="H2076">
        <f t="shared" ca="1" si="68"/>
        <v>-2.8429488473783515E-2</v>
      </c>
    </row>
    <row r="2077" spans="2:8" x14ac:dyDescent="0.3">
      <c r="B2077" s="113">
        <v>43535</v>
      </c>
      <c r="C2077">
        <v>292.95</v>
      </c>
      <c r="D2077">
        <f t="shared" si="67"/>
        <v>0.30020860148240197</v>
      </c>
      <c r="E2077">
        <v>3.2534246575342076E-3</v>
      </c>
      <c r="G2077">
        <v>2075</v>
      </c>
      <c r="H2077">
        <f t="shared" ca="1" si="68"/>
        <v>2.6711357334442725E-2</v>
      </c>
    </row>
    <row r="2078" spans="2:8" x14ac:dyDescent="0.3">
      <c r="B2078" s="113">
        <v>41551</v>
      </c>
      <c r="C2078">
        <v>225.31</v>
      </c>
      <c r="D2078">
        <f t="shared" si="67"/>
        <v>0.97069885419399993</v>
      </c>
      <c r="E2078">
        <v>3.2505120669694084E-3</v>
      </c>
      <c r="G2078">
        <v>2076</v>
      </c>
      <c r="H2078">
        <f t="shared" ca="1" si="68"/>
        <v>1.1486187375960378E-2</v>
      </c>
    </row>
    <row r="2079" spans="2:8" x14ac:dyDescent="0.3">
      <c r="B2079" s="113">
        <v>40459</v>
      </c>
      <c r="C2079">
        <v>114.33</v>
      </c>
      <c r="D2079">
        <f t="shared" si="67"/>
        <v>-0.47555045871559631</v>
      </c>
      <c r="E2079">
        <v>3.2467532467532869E-3</v>
      </c>
      <c r="G2079">
        <v>2077</v>
      </c>
      <c r="H2079">
        <f t="shared" ca="1" si="68"/>
        <v>-1.3996709233349818E-3</v>
      </c>
    </row>
    <row r="2080" spans="2:8" x14ac:dyDescent="0.3">
      <c r="B2080" s="113">
        <v>44554</v>
      </c>
      <c r="C2080">
        <v>218</v>
      </c>
      <c r="D2080">
        <f t="shared" si="67"/>
        <v>5.9782330345710628</v>
      </c>
      <c r="E2080">
        <v>3.2213529682466112E-3</v>
      </c>
      <c r="G2080">
        <v>2078</v>
      </c>
      <c r="H2080">
        <f t="shared" ca="1" si="68"/>
        <v>1.2606897705967053E-2</v>
      </c>
    </row>
    <row r="2081" spans="2:8" x14ac:dyDescent="0.3">
      <c r="B2081" s="113">
        <v>38475</v>
      </c>
      <c r="C2081">
        <v>31.24</v>
      </c>
      <c r="D2081">
        <f t="shared" si="67"/>
        <v>-0.44531250000000006</v>
      </c>
      <c r="E2081">
        <v>3.2113037893384028E-3</v>
      </c>
      <c r="G2081">
        <v>2079</v>
      </c>
      <c r="H2081">
        <f t="shared" ca="1" si="68"/>
        <v>1.2572199666984779E-2</v>
      </c>
    </row>
    <row r="2082" spans="2:8" x14ac:dyDescent="0.3">
      <c r="B2082" s="113">
        <v>39790</v>
      </c>
      <c r="C2082">
        <v>56.32</v>
      </c>
      <c r="D2082">
        <f t="shared" si="67"/>
        <v>-0.45473908413205538</v>
      </c>
      <c r="E2082">
        <v>3.2062700391877396E-3</v>
      </c>
      <c r="G2082">
        <v>2080</v>
      </c>
      <c r="H2082">
        <f t="shared" ca="1" si="68"/>
        <v>-9.7366331885477674E-3</v>
      </c>
    </row>
    <row r="2083" spans="2:8" x14ac:dyDescent="0.3">
      <c r="B2083" s="113">
        <v>40395</v>
      </c>
      <c r="C2083">
        <v>103.29</v>
      </c>
      <c r="D2083">
        <f t="shared" si="67"/>
        <v>-0.47804335742078924</v>
      </c>
      <c r="E2083">
        <v>3.2051282051283269E-3</v>
      </c>
      <c r="G2083">
        <v>2081</v>
      </c>
      <c r="H2083">
        <f t="shared" ca="1" si="68"/>
        <v>-1.2577743220858358E-2</v>
      </c>
    </row>
    <row r="2084" spans="2:8" x14ac:dyDescent="0.3">
      <c r="B2084" s="113">
        <v>42170</v>
      </c>
      <c r="C2084">
        <v>197.89</v>
      </c>
      <c r="D2084">
        <f t="shared" si="67"/>
        <v>1.3327832134857951</v>
      </c>
      <c r="E2084">
        <v>3.1937544357700269E-3</v>
      </c>
      <c r="G2084">
        <v>2082</v>
      </c>
      <c r="H2084">
        <f t="shared" ca="1" si="68"/>
        <v>8.8351699213881935E-3</v>
      </c>
    </row>
    <row r="2085" spans="2:8" x14ac:dyDescent="0.3">
      <c r="B2085" s="113">
        <v>40205</v>
      </c>
      <c r="C2085">
        <v>84.83</v>
      </c>
      <c r="D2085">
        <f t="shared" si="67"/>
        <v>-0.6832928878103417</v>
      </c>
      <c r="E2085">
        <v>3.1929990539261593E-3</v>
      </c>
      <c r="G2085">
        <v>2083</v>
      </c>
      <c r="H2085">
        <f t="shared" ca="1" si="68"/>
        <v>3.594530765870281E-2</v>
      </c>
    </row>
    <row r="2086" spans="2:8" x14ac:dyDescent="0.3">
      <c r="B2086" s="113">
        <v>42997</v>
      </c>
      <c r="C2086">
        <v>267.85000000000002</v>
      </c>
      <c r="D2086">
        <f t="shared" si="67"/>
        <v>3.2495636998254804</v>
      </c>
      <c r="E2086">
        <v>3.1835205992510216E-3</v>
      </c>
      <c r="G2086">
        <v>2084</v>
      </c>
      <c r="H2086">
        <f t="shared" ca="1" si="68"/>
        <v>5.4933682280776039E-3</v>
      </c>
    </row>
    <row r="2087" spans="2:8" x14ac:dyDescent="0.3">
      <c r="B2087" s="113">
        <v>38964</v>
      </c>
      <c r="C2087">
        <v>63.03</v>
      </c>
      <c r="D2087">
        <f t="shared" si="67"/>
        <v>0.11066079295154187</v>
      </c>
      <c r="E2087">
        <v>3.1831927423205926E-3</v>
      </c>
      <c r="G2087">
        <v>2085</v>
      </c>
      <c r="H2087">
        <f t="shared" ca="1" si="68"/>
        <v>-2.5095413371763787E-2</v>
      </c>
    </row>
    <row r="2088" spans="2:8" x14ac:dyDescent="0.3">
      <c r="B2088" s="113">
        <v>39811</v>
      </c>
      <c r="C2088">
        <v>56.75</v>
      </c>
      <c r="D2088">
        <f t="shared" si="67"/>
        <v>-0.72330570453437348</v>
      </c>
      <c r="E2088">
        <v>3.1818985327912272E-3</v>
      </c>
      <c r="G2088">
        <v>2086</v>
      </c>
      <c r="H2088">
        <f t="shared" ca="1" si="68"/>
        <v>-2.4166408260495192E-2</v>
      </c>
    </row>
    <row r="2089" spans="2:8" x14ac:dyDescent="0.3">
      <c r="B2089" s="113">
        <v>44369</v>
      </c>
      <c r="C2089">
        <v>205.1</v>
      </c>
      <c r="D2089">
        <f t="shared" si="67"/>
        <v>-0.16001146742023997</v>
      </c>
      <c r="E2089">
        <v>3.1792614331132584E-3</v>
      </c>
      <c r="G2089">
        <v>2087</v>
      </c>
      <c r="H2089">
        <f t="shared" ca="1" si="68"/>
        <v>-1.1855604231772931E-2</v>
      </c>
    </row>
    <row r="2090" spans="2:8" x14ac:dyDescent="0.3">
      <c r="B2090" s="113">
        <v>42006</v>
      </c>
      <c r="C2090">
        <v>244.17</v>
      </c>
      <c r="D2090">
        <f t="shared" si="67"/>
        <v>0.18299418604651155</v>
      </c>
      <c r="E2090">
        <v>3.1635168447000073E-3</v>
      </c>
      <c r="G2090">
        <v>2088</v>
      </c>
      <c r="H2090">
        <f t="shared" ca="1" si="68"/>
        <v>-8.1249854205755704E-3</v>
      </c>
    </row>
    <row r="2091" spans="2:8" x14ac:dyDescent="0.3">
      <c r="B2091" s="113">
        <v>44433</v>
      </c>
      <c r="C2091">
        <v>206.4</v>
      </c>
      <c r="D2091">
        <f t="shared" si="67"/>
        <v>2.2386631099952932</v>
      </c>
      <c r="E2091">
        <v>3.1591737545565283E-3</v>
      </c>
      <c r="G2091">
        <v>2089</v>
      </c>
      <c r="H2091">
        <f t="shared" ca="1" si="68"/>
        <v>1.297496487010451E-2</v>
      </c>
    </row>
    <row r="2092" spans="2:8" x14ac:dyDescent="0.3">
      <c r="B2092" s="113">
        <v>39420</v>
      </c>
      <c r="C2092">
        <v>63.73</v>
      </c>
      <c r="D2092">
        <f t="shared" si="67"/>
        <v>9.8982583204000593E-2</v>
      </c>
      <c r="E2092">
        <v>3.1481189988980911E-3</v>
      </c>
      <c r="G2092">
        <v>2090</v>
      </c>
      <c r="H2092">
        <f t="shared" ca="1" si="68"/>
        <v>3.2136679898009383E-2</v>
      </c>
    </row>
    <row r="2093" spans="2:8" x14ac:dyDescent="0.3">
      <c r="B2093" s="113">
        <v>39896</v>
      </c>
      <c r="C2093">
        <v>57.99</v>
      </c>
      <c r="D2093">
        <f t="shared" si="67"/>
        <v>-0.40160974099680113</v>
      </c>
      <c r="E2093">
        <v>3.1136481577581682E-3</v>
      </c>
      <c r="G2093">
        <v>2091</v>
      </c>
      <c r="H2093">
        <f t="shared" ca="1" si="68"/>
        <v>-1.4951861023122353E-2</v>
      </c>
    </row>
    <row r="2094" spans="2:8" x14ac:dyDescent="0.3">
      <c r="B2094" s="113">
        <v>40380</v>
      </c>
      <c r="C2094">
        <v>96.91</v>
      </c>
      <c r="D2094">
        <f t="shared" si="67"/>
        <v>4.9931972789115635</v>
      </c>
      <c r="E2094">
        <v>3.1052686057343667E-3</v>
      </c>
      <c r="G2094">
        <v>2092</v>
      </c>
      <c r="H2094">
        <f t="shared" ca="1" si="68"/>
        <v>2.3871771019213381E-2</v>
      </c>
    </row>
    <row r="2095" spans="2:8" x14ac:dyDescent="0.3">
      <c r="B2095" s="113">
        <v>37838</v>
      </c>
      <c r="C2095">
        <v>16.170000000000002</v>
      </c>
      <c r="D2095">
        <f t="shared" si="67"/>
        <v>-0.91073695832183277</v>
      </c>
      <c r="E2095">
        <v>3.1017369727047587E-3</v>
      </c>
      <c r="G2095">
        <v>2093</v>
      </c>
      <c r="H2095">
        <f t="shared" ca="1" si="68"/>
        <v>5.1260417281883356E-3</v>
      </c>
    </row>
    <row r="2096" spans="2:8" x14ac:dyDescent="0.3">
      <c r="B2096" s="113">
        <v>41183</v>
      </c>
      <c r="C2096">
        <v>181.15</v>
      </c>
      <c r="D2096">
        <f t="shared" si="67"/>
        <v>-0.3003089996137504</v>
      </c>
      <c r="E2096">
        <v>3.1009468962844137E-3</v>
      </c>
      <c r="G2096">
        <v>2094</v>
      </c>
      <c r="H2096">
        <f t="shared" ca="1" si="68"/>
        <v>2.0273586784597866E-2</v>
      </c>
    </row>
    <row r="2097" spans="2:8" x14ac:dyDescent="0.3">
      <c r="B2097" s="113">
        <v>43186</v>
      </c>
      <c r="C2097">
        <v>258.89999999999998</v>
      </c>
      <c r="D2097">
        <f t="shared" si="67"/>
        <v>1.9494190020505806</v>
      </c>
      <c r="E2097">
        <v>3.0995738086011409E-3</v>
      </c>
      <c r="G2097">
        <v>2095</v>
      </c>
      <c r="H2097">
        <f t="shared" ca="1" si="68"/>
        <v>1.8398074131303073E-2</v>
      </c>
    </row>
    <row r="2098" spans="2:8" x14ac:dyDescent="0.3">
      <c r="B2098" s="113">
        <v>40273</v>
      </c>
      <c r="C2098">
        <v>87.78</v>
      </c>
      <c r="D2098">
        <f t="shared" si="67"/>
        <v>-0.6401721664275466</v>
      </c>
      <c r="E2098">
        <v>3.0853616729516172E-3</v>
      </c>
      <c r="G2098">
        <v>2096</v>
      </c>
      <c r="H2098">
        <f t="shared" ca="1" si="68"/>
        <v>1.0001264196319467E-2</v>
      </c>
    </row>
    <row r="2099" spans="2:8" x14ac:dyDescent="0.3">
      <c r="B2099" s="113">
        <v>43749</v>
      </c>
      <c r="C2099">
        <v>243.95</v>
      </c>
      <c r="D2099">
        <f t="shared" si="67"/>
        <v>7.3032675289312454</v>
      </c>
      <c r="E2099">
        <v>3.0838815789473685E-3</v>
      </c>
      <c r="G2099">
        <v>2097</v>
      </c>
      <c r="H2099">
        <f t="shared" ca="1" si="68"/>
        <v>1.6753517056277232E-2</v>
      </c>
    </row>
    <row r="2100" spans="2:8" x14ac:dyDescent="0.3">
      <c r="B2100" s="113">
        <v>38386</v>
      </c>
      <c r="C2100">
        <v>29.38</v>
      </c>
      <c r="D2100">
        <f t="shared" si="67"/>
        <v>-0.65524524759446146</v>
      </c>
      <c r="E2100">
        <v>3.0727210652099646E-3</v>
      </c>
      <c r="G2100">
        <v>2098</v>
      </c>
      <c r="H2100">
        <f t="shared" ca="1" si="68"/>
        <v>1.9534519476188447E-2</v>
      </c>
    </row>
    <row r="2101" spans="2:8" x14ac:dyDescent="0.3">
      <c r="B2101" s="113">
        <v>40147</v>
      </c>
      <c r="C2101">
        <v>85.22</v>
      </c>
      <c r="D2101">
        <f t="shared" si="67"/>
        <v>-0.39551709462335077</v>
      </c>
      <c r="E2101">
        <v>3.060263653484053E-3</v>
      </c>
      <c r="G2101">
        <v>2099</v>
      </c>
      <c r="H2101">
        <f t="shared" ca="1" si="68"/>
        <v>-1.0053288405663467E-2</v>
      </c>
    </row>
    <row r="2102" spans="2:8" x14ac:dyDescent="0.3">
      <c r="B2102" s="113">
        <v>40858</v>
      </c>
      <c r="C2102">
        <v>140.97999999999999</v>
      </c>
      <c r="D2102">
        <f t="shared" si="67"/>
        <v>-0.14183102020939867</v>
      </c>
      <c r="E2102">
        <v>3.0594094628244636E-3</v>
      </c>
      <c r="G2102">
        <v>2100</v>
      </c>
      <c r="H2102">
        <f t="shared" ca="1" si="68"/>
        <v>1.0158834647676248E-2</v>
      </c>
    </row>
    <row r="2103" spans="2:8" x14ac:dyDescent="0.3">
      <c r="B2103" s="113">
        <v>41087</v>
      </c>
      <c r="C2103">
        <v>164.28</v>
      </c>
      <c r="D2103">
        <f t="shared" si="67"/>
        <v>-0.37732630860781557</v>
      </c>
      <c r="E2103">
        <v>3.0528758090120896E-3</v>
      </c>
      <c r="G2103">
        <v>2101</v>
      </c>
      <c r="H2103">
        <f t="shared" ca="1" si="68"/>
        <v>1.4015724304919099E-2</v>
      </c>
    </row>
    <row r="2104" spans="2:8" x14ac:dyDescent="0.3">
      <c r="B2104" s="113">
        <v>44726</v>
      </c>
      <c r="C2104">
        <v>263.83</v>
      </c>
      <c r="D2104">
        <f t="shared" si="67"/>
        <v>1.2202305815029875</v>
      </c>
      <c r="E2104">
        <v>3.0414781583850184E-3</v>
      </c>
      <c r="G2104">
        <v>2102</v>
      </c>
      <c r="H2104">
        <f t="shared" ca="1" si="68"/>
        <v>1.6289946191129293E-3</v>
      </c>
    </row>
    <row r="2105" spans="2:8" x14ac:dyDescent="0.3">
      <c r="B2105" s="113">
        <v>40631</v>
      </c>
      <c r="C2105">
        <v>118.83</v>
      </c>
      <c r="D2105">
        <f t="shared" si="67"/>
        <v>-0.48691709844559583</v>
      </c>
      <c r="E2105">
        <v>3.0387439858191902E-3</v>
      </c>
      <c r="G2105">
        <v>2103</v>
      </c>
      <c r="H2105">
        <f t="shared" ca="1" si="68"/>
        <v>1.2236317410747759E-2</v>
      </c>
    </row>
    <row r="2106" spans="2:8" x14ac:dyDescent="0.3">
      <c r="B2106" s="113">
        <v>44523</v>
      </c>
      <c r="C2106">
        <v>231.6</v>
      </c>
      <c r="D2106">
        <f t="shared" si="67"/>
        <v>-0.12587280618984711</v>
      </c>
      <c r="E2106">
        <v>3.0316154179297903E-3</v>
      </c>
      <c r="G2106">
        <v>2104</v>
      </c>
      <c r="H2106">
        <f t="shared" ca="1" si="68"/>
        <v>-3.7840944116015733E-2</v>
      </c>
    </row>
    <row r="2107" spans="2:8" x14ac:dyDescent="0.3">
      <c r="B2107" s="113">
        <v>42803</v>
      </c>
      <c r="C2107">
        <v>264.95</v>
      </c>
      <c r="D2107">
        <f t="shared" si="67"/>
        <v>0.33194248944299221</v>
      </c>
      <c r="E2107">
        <v>3.0285822449366323E-3</v>
      </c>
      <c r="G2107">
        <v>2105</v>
      </c>
      <c r="H2107">
        <f t="shared" ca="1" si="68"/>
        <v>1.6647924905635984E-2</v>
      </c>
    </row>
    <row r="2108" spans="2:8" x14ac:dyDescent="0.3">
      <c r="B2108" s="113">
        <v>41317</v>
      </c>
      <c r="C2108">
        <v>198.92</v>
      </c>
      <c r="D2108">
        <f t="shared" si="67"/>
        <v>0.19874653489212962</v>
      </c>
      <c r="E2108">
        <v>3.0254134731746386E-3</v>
      </c>
      <c r="G2108">
        <v>2106</v>
      </c>
      <c r="H2108">
        <f t="shared" ca="1" si="68"/>
        <v>-4.1175101483622275E-3</v>
      </c>
    </row>
    <row r="2109" spans="2:8" x14ac:dyDescent="0.3">
      <c r="B2109" s="113">
        <v>41114</v>
      </c>
      <c r="C2109">
        <v>165.94</v>
      </c>
      <c r="D2109">
        <f t="shared" si="67"/>
        <v>-0.36779945138677239</v>
      </c>
      <c r="E2109">
        <v>3.0222437137330757E-3</v>
      </c>
      <c r="G2109">
        <v>2107</v>
      </c>
      <c r="H2109">
        <f t="shared" ca="1" si="68"/>
        <v>-1.1298238445922541E-2</v>
      </c>
    </row>
    <row r="2110" spans="2:8" x14ac:dyDescent="0.3">
      <c r="B2110" s="113">
        <v>44732</v>
      </c>
      <c r="C2110">
        <v>262.48</v>
      </c>
      <c r="D2110">
        <f t="shared" si="67"/>
        <v>2.1491301739652076</v>
      </c>
      <c r="E2110">
        <v>3.018839084412933E-3</v>
      </c>
      <c r="G2110">
        <v>2108</v>
      </c>
      <c r="H2110">
        <f t="shared" ca="1" si="68"/>
        <v>1.7189759654972207E-2</v>
      </c>
    </row>
    <row r="2111" spans="2:8" x14ac:dyDescent="0.3">
      <c r="B2111" s="113">
        <v>40162</v>
      </c>
      <c r="C2111">
        <v>83.35</v>
      </c>
      <c r="D2111">
        <f t="shared" si="67"/>
        <v>-7.5017861395571522E-3</v>
      </c>
      <c r="E2111">
        <v>3.0084235860409147E-3</v>
      </c>
      <c r="G2111">
        <v>2109</v>
      </c>
      <c r="H2111">
        <f t="shared" ca="1" si="68"/>
        <v>1.6552000216159962E-2</v>
      </c>
    </row>
    <row r="2112" spans="2:8" x14ac:dyDescent="0.3">
      <c r="B2112" s="113">
        <v>40213</v>
      </c>
      <c r="C2112">
        <v>83.98</v>
      </c>
      <c r="D2112">
        <f t="shared" si="67"/>
        <v>0.78339350180505407</v>
      </c>
      <c r="E2112">
        <v>2.9857876507822763E-3</v>
      </c>
      <c r="G2112">
        <v>2110</v>
      </c>
      <c r="H2112">
        <f t="shared" ca="1" si="68"/>
        <v>2.5643486193858166E-2</v>
      </c>
    </row>
    <row r="2113" spans="2:8" x14ac:dyDescent="0.3">
      <c r="B2113" s="113">
        <v>38708</v>
      </c>
      <c r="C2113">
        <v>47.09</v>
      </c>
      <c r="D2113">
        <f t="shared" si="67"/>
        <v>-0.6503564003564003</v>
      </c>
      <c r="E2113">
        <v>2.9818956336528342E-3</v>
      </c>
      <c r="G2113">
        <v>2111</v>
      </c>
      <c r="H2113">
        <f t="shared" ca="1" si="68"/>
        <v>-7.9356497918830378E-3</v>
      </c>
    </row>
    <row r="2114" spans="2:8" x14ac:dyDescent="0.3">
      <c r="B2114" s="113">
        <v>40954</v>
      </c>
      <c r="C2114">
        <v>134.68</v>
      </c>
      <c r="D2114">
        <f t="shared" si="67"/>
        <v>-0.42956374417619647</v>
      </c>
      <c r="E2114">
        <v>2.9788501638368012E-3</v>
      </c>
      <c r="G2114">
        <v>2112</v>
      </c>
      <c r="H2114">
        <f t="shared" ca="1" si="68"/>
        <v>-3.5765731762353024E-3</v>
      </c>
    </row>
    <row r="2115" spans="2:8" x14ac:dyDescent="0.3">
      <c r="B2115" s="113">
        <v>44540</v>
      </c>
      <c r="C2115">
        <v>236.1</v>
      </c>
      <c r="D2115">
        <f t="shared" ref="D2115:D2178" si="69">(C2115-C2116)/C2116</f>
        <v>6.0551612613421929E-2</v>
      </c>
      <c r="E2115">
        <v>2.9736618521664765E-3</v>
      </c>
      <c r="G2115">
        <v>2113</v>
      </c>
      <c r="H2115">
        <f t="shared" ca="1" si="68"/>
        <v>-1.7136742418129736E-2</v>
      </c>
    </row>
    <row r="2116" spans="2:8" x14ac:dyDescent="0.3">
      <c r="B2116" s="113">
        <v>41828</v>
      </c>
      <c r="C2116">
        <v>222.62</v>
      </c>
      <c r="D2116">
        <f t="shared" si="69"/>
        <v>9.3096337032308796E-2</v>
      </c>
      <c r="E2116">
        <v>2.9735087403135545E-3</v>
      </c>
      <c r="G2116">
        <v>2114</v>
      </c>
      <c r="H2116">
        <f t="shared" ref="H2116:H2179" ca="1" si="70">_xlfn.NORM.INV(RAND(),$L$4,$L$6)</f>
        <v>2.1766497005741039E-2</v>
      </c>
    </row>
    <row r="2117" spans="2:8" x14ac:dyDescent="0.3">
      <c r="B2117" s="113">
        <v>41353</v>
      </c>
      <c r="C2117">
        <v>203.66</v>
      </c>
      <c r="D2117">
        <f t="shared" si="69"/>
        <v>7.5392033542976939</v>
      </c>
      <c r="E2117">
        <v>2.9547916871860255E-3</v>
      </c>
      <c r="G2117">
        <v>2115</v>
      </c>
      <c r="H2117">
        <f t="shared" ca="1" si="70"/>
        <v>-1.3096442761033149E-2</v>
      </c>
    </row>
    <row r="2118" spans="2:8" x14ac:dyDescent="0.3">
      <c r="B2118" s="113">
        <v>38098</v>
      </c>
      <c r="C2118">
        <v>23.85</v>
      </c>
      <c r="D2118">
        <f t="shared" si="69"/>
        <v>-0.53399765533411481</v>
      </c>
      <c r="E2118">
        <v>2.9436501261564459E-3</v>
      </c>
      <c r="G2118">
        <v>2116</v>
      </c>
      <c r="H2118">
        <f t="shared" ca="1" si="70"/>
        <v>-1.2888617774534785E-2</v>
      </c>
    </row>
    <row r="2119" spans="2:8" x14ac:dyDescent="0.3">
      <c r="B2119" s="113">
        <v>39283</v>
      </c>
      <c r="C2119">
        <v>51.18</v>
      </c>
      <c r="D2119">
        <f t="shared" si="69"/>
        <v>-0.72783834086679078</v>
      </c>
      <c r="E2119">
        <v>2.9394473838918003E-3</v>
      </c>
      <c r="G2119">
        <v>2117</v>
      </c>
      <c r="H2119">
        <f t="shared" ca="1" si="70"/>
        <v>-1.786930224079971E-2</v>
      </c>
    </row>
    <row r="2120" spans="2:8" x14ac:dyDescent="0.3">
      <c r="B2120" s="113">
        <v>43895</v>
      </c>
      <c r="C2120">
        <v>188.05</v>
      </c>
      <c r="D2120">
        <f t="shared" si="69"/>
        <v>0.40914200074934454</v>
      </c>
      <c r="E2120">
        <v>2.9333333333333941E-3</v>
      </c>
      <c r="G2120">
        <v>2118</v>
      </c>
      <c r="H2120">
        <f t="shared" ca="1" si="70"/>
        <v>-2.5837419195690131E-2</v>
      </c>
    </row>
    <row r="2121" spans="2:8" x14ac:dyDescent="0.3">
      <c r="B2121" s="113">
        <v>40907</v>
      </c>
      <c r="C2121">
        <v>133.44999999999999</v>
      </c>
      <c r="D2121">
        <f t="shared" si="69"/>
        <v>1.1639370844819197</v>
      </c>
      <c r="E2121">
        <v>2.9310085675634027E-3</v>
      </c>
      <c r="G2121">
        <v>2119</v>
      </c>
      <c r="H2121">
        <f t="shared" ca="1" si="70"/>
        <v>4.5489596947221558E-2</v>
      </c>
    </row>
    <row r="2122" spans="2:8" x14ac:dyDescent="0.3">
      <c r="B2122" s="113">
        <v>39002</v>
      </c>
      <c r="C2122">
        <v>61.67</v>
      </c>
      <c r="D2122">
        <f t="shared" si="69"/>
        <v>-0.74368246051537823</v>
      </c>
      <c r="E2122">
        <v>2.9273052528866433E-3</v>
      </c>
      <c r="G2122">
        <v>2120</v>
      </c>
      <c r="H2122">
        <f t="shared" ca="1" si="70"/>
        <v>1.1160069005956303E-2</v>
      </c>
    </row>
    <row r="2123" spans="2:8" x14ac:dyDescent="0.3">
      <c r="B2123" s="113">
        <v>42660</v>
      </c>
      <c r="C2123">
        <v>240.6</v>
      </c>
      <c r="D2123">
        <f t="shared" si="69"/>
        <v>1.0983778126635269</v>
      </c>
      <c r="E2123">
        <v>2.9178824510212114E-3</v>
      </c>
      <c r="G2123">
        <v>2121</v>
      </c>
      <c r="H2123">
        <f t="shared" ca="1" si="70"/>
        <v>7.9416700073675593E-3</v>
      </c>
    </row>
    <row r="2124" spans="2:8" x14ac:dyDescent="0.3">
      <c r="B2124" s="113">
        <v>40462</v>
      </c>
      <c r="C2124">
        <v>114.66</v>
      </c>
      <c r="D2124">
        <f t="shared" si="69"/>
        <v>0.5691802381278227</v>
      </c>
      <c r="E2124">
        <v>2.8863815271582111E-3</v>
      </c>
      <c r="G2124">
        <v>2122</v>
      </c>
      <c r="H2124">
        <f t="shared" ca="1" si="70"/>
        <v>1.337927057688078E-2</v>
      </c>
    </row>
    <row r="2125" spans="2:8" x14ac:dyDescent="0.3">
      <c r="B2125" s="113">
        <v>39458</v>
      </c>
      <c r="C2125">
        <v>73.069999999999993</v>
      </c>
      <c r="D2125">
        <f t="shared" si="69"/>
        <v>-0.67810572687224668</v>
      </c>
      <c r="E2125">
        <v>2.8822399121602215E-3</v>
      </c>
      <c r="G2125">
        <v>2123</v>
      </c>
      <c r="H2125">
        <f t="shared" ca="1" si="70"/>
        <v>4.0739448241312495E-2</v>
      </c>
    </row>
    <row r="2126" spans="2:8" x14ac:dyDescent="0.3">
      <c r="B2126" s="113">
        <v>42723</v>
      </c>
      <c r="C2126">
        <v>227</v>
      </c>
      <c r="D2126">
        <f t="shared" si="69"/>
        <v>-0.18783542039355994</v>
      </c>
      <c r="E2126">
        <v>2.8716589352772506E-3</v>
      </c>
      <c r="G2126">
        <v>2124</v>
      </c>
      <c r="H2126">
        <f t="shared" ca="1" si="70"/>
        <v>-1.3261913390382131E-2</v>
      </c>
    </row>
    <row r="2127" spans="2:8" x14ac:dyDescent="0.3">
      <c r="B2127" s="113">
        <v>42845</v>
      </c>
      <c r="C2127">
        <v>279.5</v>
      </c>
      <c r="D2127">
        <f t="shared" si="69"/>
        <v>-1.7857142857142857E-3</v>
      </c>
      <c r="E2127">
        <v>2.870470039469004E-3</v>
      </c>
      <c r="G2127">
        <v>2125</v>
      </c>
      <c r="H2127">
        <f t="shared" ca="1" si="70"/>
        <v>-2.6887321280483729E-2</v>
      </c>
    </row>
    <row r="2128" spans="2:8" x14ac:dyDescent="0.3">
      <c r="B2128" s="113">
        <v>42964</v>
      </c>
      <c r="C2128">
        <v>280</v>
      </c>
      <c r="D2128">
        <f t="shared" si="69"/>
        <v>0.19255504919289582</v>
      </c>
      <c r="E2128">
        <v>2.8653295128940235E-3</v>
      </c>
      <c r="G2128">
        <v>2126</v>
      </c>
      <c r="H2128">
        <f t="shared" ca="1" si="70"/>
        <v>-7.2777824693861098E-3</v>
      </c>
    </row>
    <row r="2129" spans="2:8" x14ac:dyDescent="0.3">
      <c r="B2129" s="113">
        <v>41405</v>
      </c>
      <c r="C2129">
        <v>234.79</v>
      </c>
      <c r="D2129">
        <f t="shared" si="69"/>
        <v>2.7173844205193163</v>
      </c>
      <c r="E2129">
        <v>2.8617802836151864E-3</v>
      </c>
      <c r="G2129">
        <v>2127</v>
      </c>
      <c r="H2129">
        <f t="shared" ca="1" si="70"/>
        <v>-9.6640267336508944E-3</v>
      </c>
    </row>
    <row r="2130" spans="2:8" x14ac:dyDescent="0.3">
      <c r="B2130" s="113">
        <v>39927</v>
      </c>
      <c r="C2130">
        <v>63.16</v>
      </c>
      <c r="D2130">
        <f t="shared" si="69"/>
        <v>-3.9425958050780634E-3</v>
      </c>
      <c r="E2130">
        <v>2.8580501746586174E-3</v>
      </c>
      <c r="G2130">
        <v>2128</v>
      </c>
      <c r="H2130">
        <f t="shared" ca="1" si="70"/>
        <v>4.675416256438132E-3</v>
      </c>
    </row>
    <row r="2131" spans="2:8" x14ac:dyDescent="0.3">
      <c r="B2131" s="113">
        <v>39995</v>
      </c>
      <c r="C2131">
        <v>63.41</v>
      </c>
      <c r="D2131">
        <f t="shared" si="69"/>
        <v>-0.40015135748746572</v>
      </c>
      <c r="E2131">
        <v>2.8467499604618017E-3</v>
      </c>
      <c r="G2131">
        <v>2129</v>
      </c>
      <c r="H2131">
        <f t="shared" ca="1" si="70"/>
        <v>-1.5067891076465714E-2</v>
      </c>
    </row>
    <row r="2132" spans="2:8" x14ac:dyDescent="0.3">
      <c r="B2132" s="113">
        <v>40577</v>
      </c>
      <c r="C2132">
        <v>105.71</v>
      </c>
      <c r="D2132">
        <f t="shared" si="69"/>
        <v>6.4653954802259888</v>
      </c>
      <c r="E2132">
        <v>2.8460297884450921E-3</v>
      </c>
      <c r="G2132">
        <v>2130</v>
      </c>
      <c r="H2132">
        <f t="shared" ca="1" si="70"/>
        <v>6.6048270574334293E-3</v>
      </c>
    </row>
    <row r="2133" spans="2:8" x14ac:dyDescent="0.3">
      <c r="B2133" s="113">
        <v>37679</v>
      </c>
      <c r="C2133">
        <v>14.16</v>
      </c>
      <c r="D2133">
        <f t="shared" si="69"/>
        <v>-0.93233298289209598</v>
      </c>
      <c r="E2133">
        <v>2.8328611898017653E-3</v>
      </c>
      <c r="G2133">
        <v>2131</v>
      </c>
      <c r="H2133">
        <f t="shared" ca="1" si="70"/>
        <v>-4.3119430692404193E-3</v>
      </c>
    </row>
    <row r="2134" spans="2:8" x14ac:dyDescent="0.3">
      <c r="B2134" s="113">
        <v>41645</v>
      </c>
      <c r="C2134">
        <v>209.26</v>
      </c>
      <c r="D2134">
        <f t="shared" si="69"/>
        <v>13.736619718309861</v>
      </c>
      <c r="E2134">
        <v>2.8274308717113309E-3</v>
      </c>
      <c r="G2134">
        <v>2132</v>
      </c>
      <c r="H2134">
        <f t="shared" ca="1" si="70"/>
        <v>-1.7405804059907439E-4</v>
      </c>
    </row>
    <row r="2135" spans="2:8" x14ac:dyDescent="0.3">
      <c r="B2135" s="113">
        <v>37691</v>
      </c>
      <c r="C2135">
        <v>14.2</v>
      </c>
      <c r="D2135">
        <f t="shared" si="69"/>
        <v>-0.43063352044907782</v>
      </c>
      <c r="E2135">
        <v>2.8248587570620866E-3</v>
      </c>
      <c r="G2135">
        <v>2133</v>
      </c>
      <c r="H2135">
        <f t="shared" ca="1" si="70"/>
        <v>1.8894996423900433E-2</v>
      </c>
    </row>
    <row r="2136" spans="2:8" x14ac:dyDescent="0.3">
      <c r="B2136" s="113">
        <v>38300</v>
      </c>
      <c r="C2136">
        <v>24.94</v>
      </c>
      <c r="D2136">
        <f t="shared" si="69"/>
        <v>0.74283717679944095</v>
      </c>
      <c r="E2136">
        <v>2.814636107760365E-3</v>
      </c>
      <c r="G2136">
        <v>2134</v>
      </c>
      <c r="H2136">
        <f t="shared" ca="1" si="70"/>
        <v>-1.7375680869661323E-3</v>
      </c>
    </row>
    <row r="2137" spans="2:8" x14ac:dyDescent="0.3">
      <c r="B2137" s="113">
        <v>37552</v>
      </c>
      <c r="C2137">
        <v>14.31</v>
      </c>
      <c r="D2137">
        <f t="shared" si="69"/>
        <v>-0.92010050251256281</v>
      </c>
      <c r="E2137">
        <v>2.8030833917309689E-3</v>
      </c>
      <c r="G2137">
        <v>2135</v>
      </c>
      <c r="H2137">
        <f t="shared" ca="1" si="70"/>
        <v>1.2526189589189055E-2</v>
      </c>
    </row>
    <row r="2138" spans="2:8" x14ac:dyDescent="0.3">
      <c r="B2138" s="113">
        <v>44092</v>
      </c>
      <c r="C2138">
        <v>179.1</v>
      </c>
      <c r="D2138">
        <f t="shared" si="69"/>
        <v>-0.41326781326781331</v>
      </c>
      <c r="E2138">
        <v>2.7995520716685329E-3</v>
      </c>
      <c r="G2138">
        <v>2136</v>
      </c>
      <c r="H2138">
        <f t="shared" ca="1" si="70"/>
        <v>6.7188524799895221E-3</v>
      </c>
    </row>
    <row r="2139" spans="2:8" x14ac:dyDescent="0.3">
      <c r="B2139" s="113">
        <v>42899</v>
      </c>
      <c r="C2139">
        <v>305.25</v>
      </c>
      <c r="D2139">
        <f t="shared" si="69"/>
        <v>0.53353428786736989</v>
      </c>
      <c r="E2139">
        <v>2.7923784494087475E-3</v>
      </c>
      <c r="G2139">
        <v>2137</v>
      </c>
      <c r="H2139">
        <f t="shared" ca="1" si="70"/>
        <v>4.9515355546737409E-3</v>
      </c>
    </row>
    <row r="2140" spans="2:8" x14ac:dyDescent="0.3">
      <c r="B2140" s="113">
        <v>43992</v>
      </c>
      <c r="C2140">
        <v>199.05</v>
      </c>
      <c r="D2140">
        <f t="shared" si="69"/>
        <v>5.1020846106683022</v>
      </c>
      <c r="E2140">
        <v>2.770780856423231E-3</v>
      </c>
      <c r="G2140">
        <v>2138</v>
      </c>
      <c r="H2140">
        <f t="shared" ca="1" si="70"/>
        <v>-3.1545521188889772E-2</v>
      </c>
    </row>
    <row r="2141" spans="2:8" x14ac:dyDescent="0.3">
      <c r="B2141" s="113">
        <v>38483</v>
      </c>
      <c r="C2141">
        <v>32.619999999999997</v>
      </c>
      <c r="D2141">
        <f t="shared" si="69"/>
        <v>-0.83029861616897305</v>
      </c>
      <c r="E2141">
        <v>2.7666769136180849E-3</v>
      </c>
      <c r="G2141">
        <v>2139</v>
      </c>
      <c r="H2141">
        <f t="shared" ca="1" si="70"/>
        <v>5.6852352166066808E-3</v>
      </c>
    </row>
    <row r="2142" spans="2:8" x14ac:dyDescent="0.3">
      <c r="B2142" s="113">
        <v>41220</v>
      </c>
      <c r="C2142">
        <v>192.22</v>
      </c>
      <c r="D2142">
        <f t="shared" si="69"/>
        <v>-0.11671721349140707</v>
      </c>
      <c r="E2142">
        <v>2.7648807971203566E-3</v>
      </c>
      <c r="G2142">
        <v>2140</v>
      </c>
      <c r="H2142">
        <f t="shared" ca="1" si="70"/>
        <v>2.5978140031542297E-2</v>
      </c>
    </row>
    <row r="2143" spans="2:8" x14ac:dyDescent="0.3">
      <c r="B2143" s="113">
        <v>42460</v>
      </c>
      <c r="C2143">
        <v>217.62</v>
      </c>
      <c r="D2143">
        <f t="shared" si="69"/>
        <v>2.3098098859315592</v>
      </c>
      <c r="E2143">
        <v>2.7647221454243586E-3</v>
      </c>
      <c r="G2143">
        <v>2141</v>
      </c>
      <c r="H2143">
        <f t="shared" ca="1" si="70"/>
        <v>-9.0647727751787845E-3</v>
      </c>
    </row>
    <row r="2144" spans="2:8" x14ac:dyDescent="0.3">
      <c r="B2144" s="113">
        <v>38826</v>
      </c>
      <c r="C2144">
        <v>65.75</v>
      </c>
      <c r="D2144">
        <f t="shared" si="69"/>
        <v>-0.73210283991362102</v>
      </c>
      <c r="E2144">
        <v>2.7451578465762824E-3</v>
      </c>
      <c r="G2144">
        <v>2142</v>
      </c>
      <c r="H2144">
        <f t="shared" ca="1" si="70"/>
        <v>3.1234264614424346E-2</v>
      </c>
    </row>
    <row r="2145" spans="2:8" x14ac:dyDescent="0.3">
      <c r="B2145" s="113">
        <v>41960</v>
      </c>
      <c r="C2145">
        <v>245.43</v>
      </c>
      <c r="D2145">
        <f t="shared" si="69"/>
        <v>0.45638499881319722</v>
      </c>
      <c r="E2145">
        <v>2.7373753881353813E-3</v>
      </c>
      <c r="G2145">
        <v>2143</v>
      </c>
      <c r="H2145">
        <f t="shared" ca="1" si="70"/>
        <v>-4.1607085824328489E-2</v>
      </c>
    </row>
    <row r="2146" spans="2:8" x14ac:dyDescent="0.3">
      <c r="B2146" s="113">
        <v>41170</v>
      </c>
      <c r="C2146">
        <v>168.52</v>
      </c>
      <c r="D2146">
        <f t="shared" si="69"/>
        <v>10.48738922972052</v>
      </c>
      <c r="E2146">
        <v>2.7371176960609778E-3</v>
      </c>
      <c r="G2146">
        <v>2144</v>
      </c>
      <c r="H2146">
        <f t="shared" ca="1" si="70"/>
        <v>5.014332760412867E-3</v>
      </c>
    </row>
    <row r="2147" spans="2:8" x14ac:dyDescent="0.3">
      <c r="B2147" s="113">
        <v>37750</v>
      </c>
      <c r="C2147">
        <v>14.67</v>
      </c>
      <c r="D2147">
        <f t="shared" si="69"/>
        <v>-0.50119007140428429</v>
      </c>
      <c r="E2147">
        <v>2.7341079972658337E-3</v>
      </c>
      <c r="G2147">
        <v>2145</v>
      </c>
      <c r="H2147">
        <f t="shared" ca="1" si="70"/>
        <v>6.5621028527470355E-3</v>
      </c>
    </row>
    <row r="2148" spans="2:8" x14ac:dyDescent="0.3">
      <c r="B2148" s="113">
        <v>38393</v>
      </c>
      <c r="C2148">
        <v>29.41</v>
      </c>
      <c r="D2148">
        <f t="shared" si="69"/>
        <v>-0.81871417123836532</v>
      </c>
      <c r="E2148">
        <v>2.7275826798500461E-3</v>
      </c>
      <c r="G2148">
        <v>2146</v>
      </c>
      <c r="H2148">
        <f t="shared" ca="1" si="70"/>
        <v>-5.8121829355301281E-3</v>
      </c>
    </row>
    <row r="2149" spans="2:8" x14ac:dyDescent="0.3">
      <c r="B2149" s="113">
        <v>41074</v>
      </c>
      <c r="C2149">
        <v>162.22999999999999</v>
      </c>
      <c r="D2149">
        <f t="shared" si="69"/>
        <v>1.9235898360064871</v>
      </c>
      <c r="E2149">
        <v>2.7195747574015562E-3</v>
      </c>
      <c r="G2149">
        <v>2147</v>
      </c>
      <c r="H2149">
        <f t="shared" ca="1" si="70"/>
        <v>-2.6920967569005053E-4</v>
      </c>
    </row>
    <row r="2150" spans="2:8" x14ac:dyDescent="0.3">
      <c r="B2150" s="113">
        <v>39302</v>
      </c>
      <c r="C2150">
        <v>55.49</v>
      </c>
      <c r="D2150">
        <f t="shared" si="69"/>
        <v>0.49407646742057082</v>
      </c>
      <c r="E2150">
        <v>2.7105168052041664E-3</v>
      </c>
      <c r="G2150">
        <v>2148</v>
      </c>
      <c r="H2150">
        <f t="shared" ca="1" si="70"/>
        <v>2.9490347168709885E-3</v>
      </c>
    </row>
    <row r="2151" spans="2:8" x14ac:dyDescent="0.3">
      <c r="B2151" s="113">
        <v>38540</v>
      </c>
      <c r="C2151">
        <v>37.14</v>
      </c>
      <c r="D2151">
        <f t="shared" si="69"/>
        <v>-0.85775564917656077</v>
      </c>
      <c r="E2151">
        <v>2.6997840172786561E-3</v>
      </c>
      <c r="G2151">
        <v>2149</v>
      </c>
      <c r="H2151">
        <f t="shared" ca="1" si="70"/>
        <v>-2.9244590682160241E-4</v>
      </c>
    </row>
    <row r="2152" spans="2:8" x14ac:dyDescent="0.3">
      <c r="B2152" s="113">
        <v>44673</v>
      </c>
      <c r="C2152">
        <v>261.10000000000002</v>
      </c>
      <c r="D2152">
        <f t="shared" si="69"/>
        <v>0.17602017836230974</v>
      </c>
      <c r="E2152">
        <v>2.6881720430109277E-3</v>
      </c>
      <c r="G2152">
        <v>2150</v>
      </c>
      <c r="H2152">
        <f t="shared" ca="1" si="70"/>
        <v>-1.0515706243537331E-2</v>
      </c>
    </row>
    <row r="2153" spans="2:8" x14ac:dyDescent="0.3">
      <c r="B2153" s="113">
        <v>41431</v>
      </c>
      <c r="C2153">
        <v>222.02</v>
      </c>
      <c r="D2153">
        <f t="shared" si="69"/>
        <v>2.931645121303347</v>
      </c>
      <c r="E2153">
        <v>2.6644989387165398E-3</v>
      </c>
      <c r="G2153">
        <v>2151</v>
      </c>
      <c r="H2153">
        <f t="shared" ca="1" si="70"/>
        <v>-8.5267740222301058E-3</v>
      </c>
    </row>
    <row r="2154" spans="2:8" x14ac:dyDescent="0.3">
      <c r="B2154" s="113">
        <v>39792</v>
      </c>
      <c r="C2154">
        <v>56.47</v>
      </c>
      <c r="D2154">
        <f t="shared" si="69"/>
        <v>-0.76197099983139438</v>
      </c>
      <c r="E2154">
        <v>2.6633522727272474E-3</v>
      </c>
      <c r="G2154">
        <v>2152</v>
      </c>
      <c r="H2154">
        <f t="shared" ca="1" si="70"/>
        <v>1.4211969012604464E-2</v>
      </c>
    </row>
    <row r="2155" spans="2:8" x14ac:dyDescent="0.3">
      <c r="B2155" s="113">
        <v>42016</v>
      </c>
      <c r="C2155">
        <v>237.24</v>
      </c>
      <c r="D2155">
        <f t="shared" si="69"/>
        <v>0.18531101673744693</v>
      </c>
      <c r="E2155">
        <v>2.6626093571700074E-3</v>
      </c>
      <c r="G2155">
        <v>2153</v>
      </c>
      <c r="H2155">
        <f t="shared" ca="1" si="70"/>
        <v>1.3016947369549553E-2</v>
      </c>
    </row>
    <row r="2156" spans="2:8" x14ac:dyDescent="0.3">
      <c r="B2156" s="113">
        <v>42173</v>
      </c>
      <c r="C2156">
        <v>200.15</v>
      </c>
      <c r="D2156">
        <f t="shared" si="69"/>
        <v>0.46737536656891493</v>
      </c>
      <c r="E2156">
        <v>2.6550445847109564E-3</v>
      </c>
      <c r="G2156">
        <v>2154</v>
      </c>
      <c r="H2156">
        <f t="shared" ca="1" si="70"/>
        <v>1.1855967924387607E-2</v>
      </c>
    </row>
    <row r="2157" spans="2:8" x14ac:dyDescent="0.3">
      <c r="B2157" s="113">
        <v>40833</v>
      </c>
      <c r="C2157">
        <v>136.4</v>
      </c>
      <c r="D2157">
        <f t="shared" si="69"/>
        <v>6.1978891820580477</v>
      </c>
      <c r="E2157">
        <v>2.6462805057337084E-3</v>
      </c>
      <c r="G2157">
        <v>2155</v>
      </c>
      <c r="H2157">
        <f t="shared" ca="1" si="70"/>
        <v>-2.1194642515896252E-2</v>
      </c>
    </row>
    <row r="2158" spans="2:8" x14ac:dyDescent="0.3">
      <c r="B2158" s="113">
        <v>37953</v>
      </c>
      <c r="C2158">
        <v>18.95</v>
      </c>
      <c r="D2158">
        <f t="shared" si="69"/>
        <v>-0.92312373225152133</v>
      </c>
      <c r="E2158">
        <v>2.6455026455026831E-3</v>
      </c>
      <c r="G2158">
        <v>2156</v>
      </c>
      <c r="H2158">
        <f t="shared" ca="1" si="70"/>
        <v>-2.4159581195333051E-2</v>
      </c>
    </row>
    <row r="2159" spans="2:8" x14ac:dyDescent="0.3">
      <c r="B2159" s="113">
        <v>43756</v>
      </c>
      <c r="C2159">
        <v>246.5</v>
      </c>
      <c r="D2159">
        <f t="shared" si="69"/>
        <v>-4.0551500405512701E-4</v>
      </c>
      <c r="E2159">
        <v>2.6438885499288417E-3</v>
      </c>
      <c r="G2159">
        <v>2157</v>
      </c>
      <c r="H2159">
        <f t="shared" ca="1" si="70"/>
        <v>1.5882241931518642E-2</v>
      </c>
    </row>
    <row r="2160" spans="2:8" x14ac:dyDescent="0.3">
      <c r="B2160" s="113">
        <v>44489</v>
      </c>
      <c r="C2160">
        <v>246.6</v>
      </c>
      <c r="D2160">
        <f t="shared" si="69"/>
        <v>11.965299684542586</v>
      </c>
      <c r="E2160">
        <v>2.6428135799959574E-3</v>
      </c>
      <c r="G2160">
        <v>2158</v>
      </c>
      <c r="H2160">
        <f t="shared" ca="1" si="70"/>
        <v>-2.4088663699026458E-2</v>
      </c>
    </row>
    <row r="2161" spans="2:8" x14ac:dyDescent="0.3">
      <c r="B2161" s="113">
        <v>38160</v>
      </c>
      <c r="C2161">
        <v>19.02</v>
      </c>
      <c r="D2161">
        <f t="shared" si="69"/>
        <v>-0.91735824462307192</v>
      </c>
      <c r="E2161">
        <v>2.6357406431207547E-3</v>
      </c>
      <c r="G2161">
        <v>2159</v>
      </c>
      <c r="H2161">
        <f t="shared" ca="1" si="70"/>
        <v>8.538591622646443E-3</v>
      </c>
    </row>
    <row r="2162" spans="2:8" x14ac:dyDescent="0.3">
      <c r="B2162" s="113">
        <v>42103</v>
      </c>
      <c r="C2162">
        <v>230.15</v>
      </c>
      <c r="D2162">
        <f t="shared" si="69"/>
        <v>8.9983424106085716E-2</v>
      </c>
      <c r="E2162">
        <v>2.613809627532103E-3</v>
      </c>
      <c r="G2162">
        <v>2160</v>
      </c>
      <c r="H2162">
        <f t="shared" ca="1" si="70"/>
        <v>-1.7226841113696916E-2</v>
      </c>
    </row>
    <row r="2163" spans="2:8" x14ac:dyDescent="0.3">
      <c r="B2163" s="113">
        <v>44343</v>
      </c>
      <c r="C2163">
        <v>211.15</v>
      </c>
      <c r="D2163">
        <f t="shared" si="69"/>
        <v>0.5246588201314174</v>
      </c>
      <c r="E2163">
        <v>2.6115859449193325E-3</v>
      </c>
      <c r="G2163">
        <v>2161</v>
      </c>
      <c r="H2163">
        <f t="shared" ca="1" si="70"/>
        <v>1.4464474309574739E-2</v>
      </c>
    </row>
    <row r="2164" spans="2:8" x14ac:dyDescent="0.3">
      <c r="B2164" s="113">
        <v>40756</v>
      </c>
      <c r="C2164">
        <v>138.49</v>
      </c>
      <c r="D2164">
        <f t="shared" si="69"/>
        <v>-0.40177105831533472</v>
      </c>
      <c r="E2164">
        <v>2.6062404980816164E-3</v>
      </c>
      <c r="G2164">
        <v>2162</v>
      </c>
      <c r="H2164">
        <f t="shared" ca="1" si="70"/>
        <v>-2.202744886923166E-2</v>
      </c>
    </row>
    <row r="2165" spans="2:8" x14ac:dyDescent="0.3">
      <c r="B2165" s="113">
        <v>42691</v>
      </c>
      <c r="C2165">
        <v>231.5</v>
      </c>
      <c r="D2165">
        <f t="shared" si="69"/>
        <v>0.8154015056461732</v>
      </c>
      <c r="E2165">
        <v>2.5985275010826951E-3</v>
      </c>
      <c r="G2165">
        <v>2163</v>
      </c>
      <c r="H2165">
        <f t="shared" ca="1" si="70"/>
        <v>6.3348367175063876E-3</v>
      </c>
    </row>
    <row r="2166" spans="2:8" x14ac:dyDescent="0.3">
      <c r="B2166" s="113">
        <v>40662</v>
      </c>
      <c r="C2166">
        <v>127.52</v>
      </c>
      <c r="D2166">
        <f t="shared" si="69"/>
        <v>-7.7036806474203951E-3</v>
      </c>
      <c r="E2166">
        <v>2.5945435961946561E-3</v>
      </c>
      <c r="G2166">
        <v>2164</v>
      </c>
      <c r="H2166">
        <f t="shared" ca="1" si="70"/>
        <v>-8.4627095927946351E-3</v>
      </c>
    </row>
    <row r="2167" spans="2:8" x14ac:dyDescent="0.3">
      <c r="B2167" s="113">
        <v>40695</v>
      </c>
      <c r="C2167">
        <v>128.51</v>
      </c>
      <c r="D2167">
        <f t="shared" si="69"/>
        <v>-0.53098540145985407</v>
      </c>
      <c r="E2167">
        <v>2.5745046029020447E-3</v>
      </c>
      <c r="G2167">
        <v>2165</v>
      </c>
      <c r="H2167">
        <f t="shared" ca="1" si="70"/>
        <v>3.5097656476290512E-2</v>
      </c>
    </row>
    <row r="2168" spans="2:8" x14ac:dyDescent="0.3">
      <c r="B2168" s="113">
        <v>43301</v>
      </c>
      <c r="C2168">
        <v>274</v>
      </c>
      <c r="D2168">
        <f t="shared" si="69"/>
        <v>0.18578785649370325</v>
      </c>
      <c r="E2168">
        <v>2.5612879619465369E-3</v>
      </c>
      <c r="G2168">
        <v>2166</v>
      </c>
      <c r="H2168">
        <f t="shared" ca="1" si="70"/>
        <v>1.4995620639624521E-2</v>
      </c>
    </row>
    <row r="2169" spans="2:8" x14ac:dyDescent="0.3">
      <c r="B2169" s="113">
        <v>41556</v>
      </c>
      <c r="C2169">
        <v>231.07</v>
      </c>
      <c r="D2169">
        <f t="shared" si="69"/>
        <v>2.9250891795481571</v>
      </c>
      <c r="E2169">
        <v>2.5598750433877275E-3</v>
      </c>
      <c r="G2169">
        <v>2167</v>
      </c>
      <c r="H2169">
        <f t="shared" ca="1" si="70"/>
        <v>-6.9367380973038148E-3</v>
      </c>
    </row>
    <row r="2170" spans="2:8" x14ac:dyDescent="0.3">
      <c r="B2170" s="113">
        <v>39118</v>
      </c>
      <c r="C2170">
        <v>58.87</v>
      </c>
      <c r="D2170">
        <f t="shared" si="69"/>
        <v>-0.12408867728016659</v>
      </c>
      <c r="E2170">
        <v>2.5544959128065152E-3</v>
      </c>
      <c r="G2170">
        <v>2168</v>
      </c>
      <c r="H2170">
        <f t="shared" ca="1" si="70"/>
        <v>-1.3084418835186571E-2</v>
      </c>
    </row>
    <row r="2171" spans="2:8" x14ac:dyDescent="0.3">
      <c r="B2171" s="113">
        <v>39507</v>
      </c>
      <c r="C2171">
        <v>67.209999999999994</v>
      </c>
      <c r="D2171">
        <f t="shared" si="69"/>
        <v>-0.69800044933722771</v>
      </c>
      <c r="E2171">
        <v>2.5357995226728443E-3</v>
      </c>
      <c r="G2171">
        <v>2169</v>
      </c>
      <c r="H2171">
        <f t="shared" ca="1" si="70"/>
        <v>1.0541171952800204E-2</v>
      </c>
    </row>
    <row r="2172" spans="2:8" x14ac:dyDescent="0.3">
      <c r="B2172" s="113">
        <v>42312</v>
      </c>
      <c r="C2172">
        <v>222.55</v>
      </c>
      <c r="D2172">
        <f t="shared" si="69"/>
        <v>-0.2030438675022381</v>
      </c>
      <c r="E2172">
        <v>2.5226361547817573E-3</v>
      </c>
      <c r="G2172">
        <v>2170</v>
      </c>
      <c r="H2172">
        <f t="shared" ca="1" si="70"/>
        <v>-6.3871520221630881E-2</v>
      </c>
    </row>
    <row r="2173" spans="2:8" x14ac:dyDescent="0.3">
      <c r="B2173" s="113">
        <v>43620</v>
      </c>
      <c r="C2173">
        <v>279.25</v>
      </c>
      <c r="D2173">
        <f t="shared" si="69"/>
        <v>-8.5212142730338274E-3</v>
      </c>
      <c r="E2173">
        <v>2.513013821575978E-3</v>
      </c>
      <c r="G2173">
        <v>2171</v>
      </c>
      <c r="H2173">
        <f t="shared" ca="1" si="70"/>
        <v>-2.3720550476050096E-4</v>
      </c>
    </row>
    <row r="2174" spans="2:8" x14ac:dyDescent="0.3">
      <c r="B2174" s="113">
        <v>43472</v>
      </c>
      <c r="C2174">
        <v>281.64999999999998</v>
      </c>
      <c r="D2174">
        <f t="shared" si="69"/>
        <v>12.95688800792864</v>
      </c>
      <c r="E2174">
        <v>2.4915465385299471E-3</v>
      </c>
      <c r="G2174">
        <v>2172</v>
      </c>
      <c r="H2174">
        <f t="shared" ca="1" si="70"/>
        <v>1.0062603584233316E-2</v>
      </c>
    </row>
    <row r="2175" spans="2:8" x14ac:dyDescent="0.3">
      <c r="B2175" s="113">
        <v>37963</v>
      </c>
      <c r="C2175">
        <v>20.18</v>
      </c>
      <c r="D2175">
        <f t="shared" si="69"/>
        <v>-0.64358883786647825</v>
      </c>
      <c r="E2175">
        <v>2.4838549428713719E-3</v>
      </c>
      <c r="G2175">
        <v>2173</v>
      </c>
      <c r="H2175">
        <f t="shared" ca="1" si="70"/>
        <v>5.1896057709354786E-3</v>
      </c>
    </row>
    <row r="2176" spans="2:8" x14ac:dyDescent="0.3">
      <c r="B2176" s="113">
        <v>39840</v>
      </c>
      <c r="C2176">
        <v>56.62</v>
      </c>
      <c r="D2176">
        <f t="shared" si="69"/>
        <v>-0.79110865154030618</v>
      </c>
      <c r="E2176">
        <v>2.4787535410764976E-3</v>
      </c>
      <c r="G2176">
        <v>2174</v>
      </c>
      <c r="H2176">
        <f t="shared" ca="1" si="70"/>
        <v>6.170401365188068E-3</v>
      </c>
    </row>
    <row r="2177" spans="2:8" x14ac:dyDescent="0.3">
      <c r="B2177" s="113">
        <v>43258</v>
      </c>
      <c r="C2177">
        <v>271.05</v>
      </c>
      <c r="D2177">
        <f t="shared" si="69"/>
        <v>0.22375728023838548</v>
      </c>
      <c r="E2177">
        <v>2.4038461538462802E-3</v>
      </c>
      <c r="G2177">
        <v>2175</v>
      </c>
      <c r="H2177">
        <f t="shared" ca="1" si="70"/>
        <v>7.8063839436059764E-3</v>
      </c>
    </row>
    <row r="2178" spans="2:8" x14ac:dyDescent="0.3">
      <c r="B2178" s="113">
        <v>41802</v>
      </c>
      <c r="C2178">
        <v>221.49</v>
      </c>
      <c r="D2178">
        <f t="shared" si="69"/>
        <v>1.2060756972111553</v>
      </c>
      <c r="E2178">
        <v>2.3986241853729234E-3</v>
      </c>
      <c r="G2178">
        <v>2176</v>
      </c>
      <c r="H2178">
        <f t="shared" ca="1" si="70"/>
        <v>-4.2335543904285018E-2</v>
      </c>
    </row>
    <row r="2179" spans="2:8" x14ac:dyDescent="0.3">
      <c r="B2179" s="113">
        <v>40365</v>
      </c>
      <c r="C2179">
        <v>100.4</v>
      </c>
      <c r="D2179">
        <f t="shared" ref="D2179:D2242" si="71">(C2179-C2180)/C2180</f>
        <v>-0.5792120704107292</v>
      </c>
      <c r="E2179">
        <v>2.3961661341853945E-3</v>
      </c>
      <c r="G2179">
        <v>2177</v>
      </c>
      <c r="H2179">
        <f t="shared" ca="1" si="70"/>
        <v>2.0751533541858401E-2</v>
      </c>
    </row>
    <row r="2180" spans="2:8" x14ac:dyDescent="0.3">
      <c r="B2180" s="113">
        <v>41725</v>
      </c>
      <c r="C2180">
        <v>238.6</v>
      </c>
      <c r="D2180">
        <f t="shared" si="71"/>
        <v>7.0936227951153326</v>
      </c>
      <c r="E2180">
        <v>2.3946561357811756E-3</v>
      </c>
      <c r="G2180">
        <v>2178</v>
      </c>
      <c r="H2180">
        <f t="shared" ref="H2180:H2243" ca="1" si="72">_xlfn.NORM.INV(RAND(),$L$4,$L$6)</f>
        <v>-2.305099991591157E-3</v>
      </c>
    </row>
    <row r="2181" spans="2:8" x14ac:dyDescent="0.3">
      <c r="B2181" s="113">
        <v>38394</v>
      </c>
      <c r="C2181">
        <v>29.48</v>
      </c>
      <c r="D2181">
        <f t="shared" si="71"/>
        <v>-0.87554354709334237</v>
      </c>
      <c r="E2181">
        <v>2.3801428085685238E-3</v>
      </c>
      <c r="G2181">
        <v>2179</v>
      </c>
      <c r="H2181">
        <f t="shared" ca="1" si="72"/>
        <v>1.8750708455611186E-2</v>
      </c>
    </row>
    <row r="2182" spans="2:8" x14ac:dyDescent="0.3">
      <c r="B2182" s="113">
        <v>41845</v>
      </c>
      <c r="C2182">
        <v>236.87</v>
      </c>
      <c r="D2182">
        <f t="shared" si="71"/>
        <v>1.1498457070248682</v>
      </c>
      <c r="E2182">
        <v>2.3697685243959303E-3</v>
      </c>
      <c r="G2182">
        <v>2180</v>
      </c>
      <c r="H2182">
        <f t="shared" ca="1" si="72"/>
        <v>1.0571895185975986E-2</v>
      </c>
    </row>
    <row r="2183" spans="2:8" x14ac:dyDescent="0.3">
      <c r="B2183" s="113">
        <v>40428</v>
      </c>
      <c r="C2183">
        <v>110.18</v>
      </c>
      <c r="D2183">
        <f t="shared" si="71"/>
        <v>0.29455998120079907</v>
      </c>
      <c r="E2183">
        <v>2.365356622998591E-3</v>
      </c>
      <c r="G2183">
        <v>2181</v>
      </c>
      <c r="H2183">
        <f t="shared" ca="1" si="72"/>
        <v>4.9782505695834166E-2</v>
      </c>
    </row>
    <row r="2184" spans="2:8" x14ac:dyDescent="0.3">
      <c r="B2184" s="113">
        <v>40184</v>
      </c>
      <c r="C2184">
        <v>85.11</v>
      </c>
      <c r="D2184">
        <f t="shared" si="71"/>
        <v>-0.69235496114223738</v>
      </c>
      <c r="E2184">
        <v>2.3554351666470715E-3</v>
      </c>
      <c r="G2184">
        <v>2182</v>
      </c>
      <c r="H2184">
        <f t="shared" ca="1" si="72"/>
        <v>-1.4130161672173502E-4</v>
      </c>
    </row>
    <row r="2185" spans="2:8" x14ac:dyDescent="0.3">
      <c r="B2185" s="113">
        <v>43460</v>
      </c>
      <c r="C2185">
        <v>276.64999999999998</v>
      </c>
      <c r="D2185">
        <f t="shared" si="71"/>
        <v>3.330776455854727</v>
      </c>
      <c r="E2185">
        <v>2.3550724637680337E-3</v>
      </c>
      <c r="G2185">
        <v>2183</v>
      </c>
      <c r="H2185">
        <f t="shared" ca="1" si="72"/>
        <v>-4.1109676326615795E-3</v>
      </c>
    </row>
    <row r="2186" spans="2:8" x14ac:dyDescent="0.3">
      <c r="B2186" s="113">
        <v>39421</v>
      </c>
      <c r="C2186">
        <v>63.88</v>
      </c>
      <c r="D2186">
        <f t="shared" si="71"/>
        <v>-0.67441386340468912</v>
      </c>
      <c r="E2186">
        <v>2.3536795857524821E-3</v>
      </c>
      <c r="G2186">
        <v>2184</v>
      </c>
      <c r="H2186">
        <f t="shared" ca="1" si="72"/>
        <v>-2.3104082639989844E-2</v>
      </c>
    </row>
    <row r="2187" spans="2:8" x14ac:dyDescent="0.3">
      <c r="B2187" s="113">
        <v>41257</v>
      </c>
      <c r="C2187">
        <v>196.2</v>
      </c>
      <c r="D2187">
        <f t="shared" si="71"/>
        <v>2.1077283372365248E-2</v>
      </c>
      <c r="E2187">
        <v>2.3500561969959106E-3</v>
      </c>
      <c r="G2187">
        <v>2185</v>
      </c>
      <c r="H2187">
        <f t="shared" ca="1" si="72"/>
        <v>-1.1299264957076333E-2</v>
      </c>
    </row>
    <row r="2188" spans="2:8" x14ac:dyDescent="0.3">
      <c r="B2188" s="113">
        <v>43978</v>
      </c>
      <c r="C2188">
        <v>192.15</v>
      </c>
      <c r="D2188">
        <f t="shared" si="71"/>
        <v>3.9973992197659292</v>
      </c>
      <c r="E2188">
        <v>2.3474178403756758E-3</v>
      </c>
      <c r="G2188">
        <v>2186</v>
      </c>
      <c r="H2188">
        <f t="shared" ca="1" si="72"/>
        <v>9.2025413113953503E-3</v>
      </c>
    </row>
    <row r="2189" spans="2:8" x14ac:dyDescent="0.3">
      <c r="B2189" s="113">
        <v>38569</v>
      </c>
      <c r="C2189">
        <v>38.450000000000003</v>
      </c>
      <c r="D2189">
        <f t="shared" si="71"/>
        <v>-0.83024282560706408</v>
      </c>
      <c r="E2189">
        <v>2.3461939520334572E-3</v>
      </c>
      <c r="G2189">
        <v>2187</v>
      </c>
      <c r="H2189">
        <f t="shared" ca="1" si="72"/>
        <v>9.1555178950536373E-3</v>
      </c>
    </row>
    <row r="2190" spans="2:8" x14ac:dyDescent="0.3">
      <c r="B2190" s="113">
        <v>41780</v>
      </c>
      <c r="C2190">
        <v>226.5</v>
      </c>
      <c r="D2190">
        <f t="shared" si="71"/>
        <v>-4.025423728813559E-2</v>
      </c>
      <c r="E2190">
        <v>2.3454440854980799E-3</v>
      </c>
      <c r="G2190">
        <v>2188</v>
      </c>
      <c r="H2190">
        <f t="shared" ca="1" si="72"/>
        <v>6.53516721244522E-3</v>
      </c>
    </row>
    <row r="2191" spans="2:8" x14ac:dyDescent="0.3">
      <c r="B2191" s="113">
        <v>42733</v>
      </c>
      <c r="C2191">
        <v>236</v>
      </c>
      <c r="D2191">
        <f t="shared" si="71"/>
        <v>2.9267886855241265</v>
      </c>
      <c r="E2191">
        <v>2.3359524315141704E-3</v>
      </c>
      <c r="G2191">
        <v>2189</v>
      </c>
      <c r="H2191">
        <f t="shared" ca="1" si="72"/>
        <v>7.1473236296266873E-3</v>
      </c>
    </row>
    <row r="2192" spans="2:8" x14ac:dyDescent="0.3">
      <c r="B2192" s="113">
        <v>39849</v>
      </c>
      <c r="C2192">
        <v>60.1</v>
      </c>
      <c r="D2192">
        <f t="shared" si="71"/>
        <v>1.3213595983005022</v>
      </c>
      <c r="E2192">
        <v>2.3348899266177545E-3</v>
      </c>
      <c r="G2192">
        <v>2190</v>
      </c>
      <c r="H2192">
        <f t="shared" ca="1" si="72"/>
        <v>5.4943700771993365E-3</v>
      </c>
    </row>
    <row r="2193" spans="2:8" x14ac:dyDescent="0.3">
      <c r="B2193" s="113">
        <v>38056</v>
      </c>
      <c r="C2193">
        <v>25.89</v>
      </c>
      <c r="D2193">
        <f t="shared" si="71"/>
        <v>-0.90773342836778337</v>
      </c>
      <c r="E2193">
        <v>2.3228803716609475E-3</v>
      </c>
      <c r="G2193">
        <v>2191</v>
      </c>
      <c r="H2193">
        <f t="shared" ca="1" si="72"/>
        <v>-1.5115129696166138E-2</v>
      </c>
    </row>
    <row r="2194" spans="2:8" x14ac:dyDescent="0.3">
      <c r="B2194" s="113">
        <v>43629</v>
      </c>
      <c r="C2194">
        <v>280.60000000000002</v>
      </c>
      <c r="D2194">
        <f t="shared" si="71"/>
        <v>-4.6115643845333612E-3</v>
      </c>
      <c r="E2194">
        <v>2.3218431862833868E-3</v>
      </c>
      <c r="G2194">
        <v>2192</v>
      </c>
      <c r="H2194">
        <f t="shared" ca="1" si="72"/>
        <v>-4.7458934900987973E-2</v>
      </c>
    </row>
    <row r="2195" spans="2:8" x14ac:dyDescent="0.3">
      <c r="B2195" s="113">
        <v>42814</v>
      </c>
      <c r="C2195">
        <v>281.89999999999998</v>
      </c>
      <c r="D2195">
        <f t="shared" si="71"/>
        <v>3.0613744417230944</v>
      </c>
      <c r="E2195">
        <v>2.3111111111110303E-3</v>
      </c>
      <c r="G2195">
        <v>2193</v>
      </c>
      <c r="H2195">
        <f t="shared" ca="1" si="72"/>
        <v>-1.7799391940102015E-2</v>
      </c>
    </row>
    <row r="2196" spans="2:8" x14ac:dyDescent="0.3">
      <c r="B2196" s="113">
        <v>38841</v>
      </c>
      <c r="C2196">
        <v>69.41</v>
      </c>
      <c r="D2196">
        <f t="shared" si="71"/>
        <v>-0.60244000229108197</v>
      </c>
      <c r="E2196">
        <v>2.3104693140793731E-3</v>
      </c>
      <c r="G2196">
        <v>2194</v>
      </c>
      <c r="H2196">
        <f t="shared" ca="1" si="72"/>
        <v>-7.6388923586793497E-3</v>
      </c>
    </row>
    <row r="2197" spans="2:8" x14ac:dyDescent="0.3">
      <c r="B2197" s="113">
        <v>41160</v>
      </c>
      <c r="C2197">
        <v>174.59</v>
      </c>
      <c r="D2197">
        <f t="shared" si="71"/>
        <v>0.53742514970059885</v>
      </c>
      <c r="E2197">
        <v>2.2963430736552366E-3</v>
      </c>
      <c r="G2197">
        <v>2195</v>
      </c>
      <c r="H2197">
        <f t="shared" ca="1" si="72"/>
        <v>-1.4957751319143965E-2</v>
      </c>
    </row>
    <row r="2198" spans="2:8" x14ac:dyDescent="0.3">
      <c r="B2198" s="113">
        <v>40515</v>
      </c>
      <c r="C2198">
        <v>113.56</v>
      </c>
      <c r="D2198">
        <f t="shared" si="71"/>
        <v>-0.53603529988560217</v>
      </c>
      <c r="E2198">
        <v>2.2947925860547671E-3</v>
      </c>
      <c r="G2198">
        <v>2196</v>
      </c>
      <c r="H2198">
        <f t="shared" ca="1" si="72"/>
        <v>1.7229285407038868E-2</v>
      </c>
    </row>
    <row r="2199" spans="2:8" x14ac:dyDescent="0.3">
      <c r="B2199" s="113">
        <v>41957</v>
      </c>
      <c r="C2199">
        <v>244.76</v>
      </c>
      <c r="D2199">
        <f t="shared" si="71"/>
        <v>0.53995218321379135</v>
      </c>
      <c r="E2199">
        <v>2.2932022932023025E-3</v>
      </c>
      <c r="G2199">
        <v>2197</v>
      </c>
      <c r="H2199">
        <f t="shared" ca="1" si="72"/>
        <v>1.209428727825633E-2</v>
      </c>
    </row>
    <row r="2200" spans="2:8" x14ac:dyDescent="0.3">
      <c r="B2200" s="113">
        <v>41071</v>
      </c>
      <c r="C2200">
        <v>158.94</v>
      </c>
      <c r="D2200">
        <f t="shared" si="71"/>
        <v>1.3980084490042244</v>
      </c>
      <c r="E2200">
        <v>2.2701475595912801E-3</v>
      </c>
      <c r="G2200">
        <v>2198</v>
      </c>
      <c r="H2200">
        <f t="shared" ca="1" si="72"/>
        <v>4.8303930627620209E-3</v>
      </c>
    </row>
    <row r="2201" spans="2:8" x14ac:dyDescent="0.3">
      <c r="B2201" s="113">
        <v>39611</v>
      </c>
      <c r="C2201">
        <v>66.28</v>
      </c>
      <c r="D2201">
        <f t="shared" si="71"/>
        <v>-0.16859006522829903</v>
      </c>
      <c r="E2201">
        <v>2.2682594888856146E-3</v>
      </c>
      <c r="G2201">
        <v>2199</v>
      </c>
      <c r="H2201">
        <f t="shared" ca="1" si="72"/>
        <v>-3.709155303788398E-2</v>
      </c>
    </row>
    <row r="2202" spans="2:8" x14ac:dyDescent="0.3">
      <c r="B2202" s="113">
        <v>40050</v>
      </c>
      <c r="C2202">
        <v>79.72</v>
      </c>
      <c r="D2202">
        <f t="shared" si="71"/>
        <v>-0.63504852591100536</v>
      </c>
      <c r="E2202">
        <v>2.2630123208447648E-3</v>
      </c>
      <c r="G2202">
        <v>2200</v>
      </c>
      <c r="H2202">
        <f t="shared" ca="1" si="72"/>
        <v>1.5889414194725653E-2</v>
      </c>
    </row>
    <row r="2203" spans="2:8" x14ac:dyDescent="0.3">
      <c r="B2203" s="113">
        <v>42282</v>
      </c>
      <c r="C2203">
        <v>218.44</v>
      </c>
      <c r="D2203">
        <f t="shared" si="71"/>
        <v>0.80543846598892477</v>
      </c>
      <c r="E2203">
        <v>2.2482220692819871E-3</v>
      </c>
      <c r="G2203">
        <v>2201</v>
      </c>
      <c r="H2203">
        <f t="shared" ca="1" si="72"/>
        <v>3.1593657006945233E-2</v>
      </c>
    </row>
    <row r="2204" spans="2:8" x14ac:dyDescent="0.3">
      <c r="B2204" s="113">
        <v>40634</v>
      </c>
      <c r="C2204">
        <v>120.99</v>
      </c>
      <c r="D2204">
        <f t="shared" si="71"/>
        <v>1.4506785497265549</v>
      </c>
      <c r="E2204">
        <v>2.2365805168985753E-3</v>
      </c>
      <c r="G2204">
        <v>2202</v>
      </c>
      <c r="H2204">
        <f t="shared" ca="1" si="72"/>
        <v>3.8712193902103388E-3</v>
      </c>
    </row>
    <row r="2205" spans="2:8" x14ac:dyDescent="0.3">
      <c r="B2205" s="113">
        <v>39154</v>
      </c>
      <c r="C2205">
        <v>49.37</v>
      </c>
      <c r="D2205">
        <f t="shared" si="71"/>
        <v>-0.7455285810009793</v>
      </c>
      <c r="E2205">
        <v>2.2330491270807842E-3</v>
      </c>
      <c r="G2205">
        <v>2203</v>
      </c>
      <c r="H2205">
        <f t="shared" ca="1" si="72"/>
        <v>1.2674580906168558E-2</v>
      </c>
    </row>
    <row r="2206" spans="2:8" x14ac:dyDescent="0.3">
      <c r="B2206" s="113">
        <v>41330</v>
      </c>
      <c r="C2206">
        <v>194.01</v>
      </c>
      <c r="D2206">
        <f t="shared" si="71"/>
        <v>-4.6165191740413052E-2</v>
      </c>
      <c r="E2206">
        <v>2.2213038537037834E-3</v>
      </c>
      <c r="G2206">
        <v>2204</v>
      </c>
      <c r="H2206">
        <f t="shared" ca="1" si="72"/>
        <v>-1.7130514051149088E-2</v>
      </c>
    </row>
    <row r="2207" spans="2:8" x14ac:dyDescent="0.3">
      <c r="B2207" s="113">
        <v>44187</v>
      </c>
      <c r="C2207">
        <v>203.4</v>
      </c>
      <c r="D2207">
        <f t="shared" si="71"/>
        <v>13.988946204863671</v>
      </c>
      <c r="E2207">
        <v>2.2172949002218136E-3</v>
      </c>
      <c r="G2207">
        <v>2205</v>
      </c>
      <c r="H2207">
        <f t="shared" ca="1" si="72"/>
        <v>-2.0736504835534089E-2</v>
      </c>
    </row>
    <row r="2208" spans="2:8" x14ac:dyDescent="0.3">
      <c r="B2208" s="113">
        <v>37560</v>
      </c>
      <c r="C2208">
        <v>13.57</v>
      </c>
      <c r="D2208">
        <f t="shared" si="71"/>
        <v>-0.77204770703846803</v>
      </c>
      <c r="E2208">
        <v>2.2156573116692128E-3</v>
      </c>
      <c r="G2208">
        <v>2206</v>
      </c>
      <c r="H2208">
        <f t="shared" ca="1" si="72"/>
        <v>-3.2494940026929438E-2</v>
      </c>
    </row>
    <row r="2209" spans="2:8" x14ac:dyDescent="0.3">
      <c r="B2209" s="113">
        <v>39045</v>
      </c>
      <c r="C2209">
        <v>59.53</v>
      </c>
      <c r="D2209">
        <f t="shared" si="71"/>
        <v>-0.80016784155756959</v>
      </c>
      <c r="E2209">
        <v>2.1885521885522318E-3</v>
      </c>
      <c r="G2209">
        <v>2207</v>
      </c>
      <c r="H2209">
        <f t="shared" ca="1" si="72"/>
        <v>1.2514042030449158E-2</v>
      </c>
    </row>
    <row r="2210" spans="2:8" x14ac:dyDescent="0.3">
      <c r="B2210" s="113">
        <v>43557</v>
      </c>
      <c r="C2210">
        <v>297.89999999999998</v>
      </c>
      <c r="D2210">
        <f t="shared" si="71"/>
        <v>3.9766120948880714</v>
      </c>
      <c r="E2210">
        <v>2.18671152228756E-3</v>
      </c>
      <c r="G2210">
        <v>2208</v>
      </c>
      <c r="H2210">
        <f t="shared" ca="1" si="72"/>
        <v>-1.000170322960907E-2</v>
      </c>
    </row>
    <row r="2211" spans="2:8" x14ac:dyDescent="0.3">
      <c r="B2211" s="113">
        <v>39868</v>
      </c>
      <c r="C2211">
        <v>59.86</v>
      </c>
      <c r="D2211">
        <f t="shared" si="71"/>
        <v>0.18113654301499604</v>
      </c>
      <c r="E2211">
        <v>2.1764607399966944E-3</v>
      </c>
      <c r="G2211">
        <v>2209</v>
      </c>
      <c r="H2211">
        <f t="shared" ca="1" si="72"/>
        <v>1.7503544872962077E-2</v>
      </c>
    </row>
    <row r="2212" spans="2:8" x14ac:dyDescent="0.3">
      <c r="B2212" s="113">
        <v>39275</v>
      </c>
      <c r="C2212">
        <v>50.68</v>
      </c>
      <c r="D2212">
        <f t="shared" si="71"/>
        <v>-0.52175143908653387</v>
      </c>
      <c r="E2212">
        <v>2.1752026893414956E-3</v>
      </c>
      <c r="G2212">
        <v>2210</v>
      </c>
      <c r="H2212">
        <f t="shared" ca="1" si="72"/>
        <v>1.3980300810673859E-2</v>
      </c>
    </row>
    <row r="2213" spans="2:8" x14ac:dyDescent="0.3">
      <c r="B2213" s="113">
        <v>40414</v>
      </c>
      <c r="C2213">
        <v>105.97</v>
      </c>
      <c r="D2213">
        <f t="shared" si="71"/>
        <v>0.63913379737045617</v>
      </c>
      <c r="E2213">
        <v>2.1751465859656135E-3</v>
      </c>
      <c r="G2213">
        <v>2211</v>
      </c>
      <c r="H2213">
        <f t="shared" ca="1" si="72"/>
        <v>-1.9215273329805573E-3</v>
      </c>
    </row>
    <row r="2214" spans="2:8" x14ac:dyDescent="0.3">
      <c r="B2214" s="113">
        <v>39701</v>
      </c>
      <c r="C2214">
        <v>64.650000000000006</v>
      </c>
      <c r="D2214">
        <f t="shared" si="71"/>
        <v>3.6510791366906479</v>
      </c>
      <c r="E2214">
        <v>2.1702061695861195E-3</v>
      </c>
      <c r="G2214">
        <v>2212</v>
      </c>
      <c r="H2214">
        <f t="shared" ca="1" si="72"/>
        <v>2.5151256425086189E-2</v>
      </c>
    </row>
    <row r="2215" spans="2:8" x14ac:dyDescent="0.3">
      <c r="B2215" s="113">
        <v>37433</v>
      </c>
      <c r="C2215">
        <v>13.9</v>
      </c>
      <c r="D2215">
        <f t="shared" si="71"/>
        <v>-0.87531395766056685</v>
      </c>
      <c r="E2215">
        <v>2.1629416005768667E-3</v>
      </c>
      <c r="G2215">
        <v>2213</v>
      </c>
      <c r="H2215">
        <f t="shared" ca="1" si="72"/>
        <v>6.1842066322849755E-3</v>
      </c>
    </row>
    <row r="2216" spans="2:8" x14ac:dyDescent="0.3">
      <c r="B2216" s="113">
        <v>40571</v>
      </c>
      <c r="C2216">
        <v>111.48</v>
      </c>
      <c r="D2216">
        <f t="shared" si="71"/>
        <v>-0.46685796269727398</v>
      </c>
      <c r="E2216">
        <v>2.1574973031284529E-3</v>
      </c>
      <c r="G2216">
        <v>2214</v>
      </c>
      <c r="H2216">
        <f t="shared" ca="1" si="72"/>
        <v>1.6483530597274385E-3</v>
      </c>
    </row>
    <row r="2217" spans="2:8" x14ac:dyDescent="0.3">
      <c r="B2217" s="113">
        <v>44405</v>
      </c>
      <c r="C2217">
        <v>209.1</v>
      </c>
      <c r="D2217">
        <f t="shared" si="71"/>
        <v>13.967788117394417</v>
      </c>
      <c r="E2217">
        <v>2.1567217828899529E-3</v>
      </c>
      <c r="G2217">
        <v>2215</v>
      </c>
      <c r="H2217">
        <f t="shared" ca="1" si="72"/>
        <v>8.1548310797643474E-3</v>
      </c>
    </row>
    <row r="2218" spans="2:8" x14ac:dyDescent="0.3">
      <c r="B2218" s="113">
        <v>37663</v>
      </c>
      <c r="C2218">
        <v>13.97</v>
      </c>
      <c r="D2218">
        <f t="shared" si="71"/>
        <v>-0.40017174753112922</v>
      </c>
      <c r="E2218">
        <v>2.1520803443329365E-3</v>
      </c>
      <c r="G2218">
        <v>2216</v>
      </c>
      <c r="H2218">
        <f t="shared" ca="1" si="72"/>
        <v>-5.7412965338958901E-3</v>
      </c>
    </row>
    <row r="2219" spans="2:8" x14ac:dyDescent="0.3">
      <c r="B2219" s="113">
        <v>38180</v>
      </c>
      <c r="C2219">
        <v>23.29</v>
      </c>
      <c r="D2219">
        <f t="shared" si="71"/>
        <v>-0.83334525939177106</v>
      </c>
      <c r="E2219">
        <v>2.1514629948365194E-3</v>
      </c>
      <c r="G2219">
        <v>2217</v>
      </c>
      <c r="H2219">
        <f t="shared" ca="1" si="72"/>
        <v>-1.168253647618574E-3</v>
      </c>
    </row>
    <row r="2220" spans="2:8" x14ac:dyDescent="0.3">
      <c r="B2220" s="113">
        <v>40855</v>
      </c>
      <c r="C2220">
        <v>139.75</v>
      </c>
      <c r="D2220">
        <f t="shared" si="71"/>
        <v>2.7266666666666666</v>
      </c>
      <c r="E2220">
        <v>2.1513087128003684E-3</v>
      </c>
      <c r="G2220">
        <v>2218</v>
      </c>
      <c r="H2220">
        <f t="shared" ca="1" si="72"/>
        <v>1.7977706509440972E-2</v>
      </c>
    </row>
    <row r="2221" spans="2:8" x14ac:dyDescent="0.3">
      <c r="B2221" s="113">
        <v>38588</v>
      </c>
      <c r="C2221">
        <v>37.5</v>
      </c>
      <c r="D2221">
        <f t="shared" si="71"/>
        <v>-0.86683238636363635</v>
      </c>
      <c r="E2221">
        <v>2.1378941742383295E-3</v>
      </c>
      <c r="G2221">
        <v>2219</v>
      </c>
      <c r="H2221">
        <f t="shared" ca="1" si="72"/>
        <v>2.7594429221826896E-3</v>
      </c>
    </row>
    <row r="2222" spans="2:8" x14ac:dyDescent="0.3">
      <c r="B2222" s="113">
        <v>42821</v>
      </c>
      <c r="C2222">
        <v>281.60000000000002</v>
      </c>
      <c r="D2222">
        <f t="shared" si="71"/>
        <v>0.2225405921680994</v>
      </c>
      <c r="E2222">
        <v>2.1352313167260595E-3</v>
      </c>
      <c r="G2222">
        <v>2220</v>
      </c>
      <c r="H2222">
        <f t="shared" ca="1" si="72"/>
        <v>-2.2799715194869039E-2</v>
      </c>
    </row>
    <row r="2223" spans="2:8" x14ac:dyDescent="0.3">
      <c r="B2223" s="113">
        <v>41464</v>
      </c>
      <c r="C2223">
        <v>230.34</v>
      </c>
      <c r="D2223">
        <f t="shared" si="71"/>
        <v>3.0696113074204949</v>
      </c>
      <c r="E2223">
        <v>2.1318251033282973E-3</v>
      </c>
      <c r="G2223">
        <v>2221</v>
      </c>
      <c r="H2223">
        <f t="shared" ca="1" si="72"/>
        <v>5.4442514712904361E-3</v>
      </c>
    </row>
    <row r="2224" spans="2:8" x14ac:dyDescent="0.3">
      <c r="B2224" s="113">
        <v>39072</v>
      </c>
      <c r="C2224">
        <v>56.6</v>
      </c>
      <c r="D2224">
        <f t="shared" si="71"/>
        <v>-0.33427428840272871</v>
      </c>
      <c r="E2224">
        <v>2.1246458923513552E-3</v>
      </c>
      <c r="G2224">
        <v>2222</v>
      </c>
      <c r="H2224">
        <f t="shared" ca="1" si="72"/>
        <v>-5.5435183269109461E-3</v>
      </c>
    </row>
    <row r="2225" spans="2:8" x14ac:dyDescent="0.3">
      <c r="B2225" s="113">
        <v>40186</v>
      </c>
      <c r="C2225">
        <v>85.02</v>
      </c>
      <c r="D2225">
        <f t="shared" si="71"/>
        <v>-0.48597339782345833</v>
      </c>
      <c r="E2225">
        <v>2.1216407355020344E-3</v>
      </c>
      <c r="G2225">
        <v>2223</v>
      </c>
      <c r="H2225">
        <f t="shared" ca="1" si="72"/>
        <v>-1.1833169345553283E-3</v>
      </c>
    </row>
    <row r="2226" spans="2:8" x14ac:dyDescent="0.3">
      <c r="B2226" s="113">
        <v>43964</v>
      </c>
      <c r="C2226">
        <v>165.4</v>
      </c>
      <c r="D2226">
        <f t="shared" si="71"/>
        <v>1.6898682712636199</v>
      </c>
      <c r="E2226">
        <v>2.1205695243865148E-3</v>
      </c>
      <c r="G2226">
        <v>2224</v>
      </c>
      <c r="H2226">
        <f t="shared" ca="1" si="72"/>
        <v>-1.4080007245229073E-2</v>
      </c>
    </row>
    <row r="2227" spans="2:8" x14ac:dyDescent="0.3">
      <c r="B2227" s="113">
        <v>39001</v>
      </c>
      <c r="C2227">
        <v>61.49</v>
      </c>
      <c r="D2227">
        <f t="shared" si="71"/>
        <v>1.5978031263202366</v>
      </c>
      <c r="E2227">
        <v>2.1186440677966518E-3</v>
      </c>
      <c r="G2227">
        <v>2225</v>
      </c>
      <c r="H2227">
        <f t="shared" ca="1" si="72"/>
        <v>1.3867808977645847E-2</v>
      </c>
    </row>
    <row r="2228" spans="2:8" x14ac:dyDescent="0.3">
      <c r="B2228" s="113">
        <v>38072</v>
      </c>
      <c r="C2228">
        <v>23.67</v>
      </c>
      <c r="D2228">
        <f t="shared" si="71"/>
        <v>-0.88889931940858946</v>
      </c>
      <c r="E2228">
        <v>2.1168501270110375E-3</v>
      </c>
      <c r="G2228">
        <v>2226</v>
      </c>
      <c r="H2228">
        <f t="shared" ca="1" si="72"/>
        <v>9.1754637484915604E-3</v>
      </c>
    </row>
    <row r="2229" spans="2:8" x14ac:dyDescent="0.3">
      <c r="B2229" s="113">
        <v>43873</v>
      </c>
      <c r="C2229">
        <v>213.05</v>
      </c>
      <c r="D2229">
        <f t="shared" si="71"/>
        <v>7.9894514767932501</v>
      </c>
      <c r="E2229">
        <v>2.1166509877705414E-3</v>
      </c>
      <c r="G2229">
        <v>2227</v>
      </c>
      <c r="H2229">
        <f t="shared" ca="1" si="72"/>
        <v>6.6620083727515662E-3</v>
      </c>
    </row>
    <row r="2230" spans="2:8" x14ac:dyDescent="0.3">
      <c r="B2230" s="113">
        <v>38068</v>
      </c>
      <c r="C2230">
        <v>23.7</v>
      </c>
      <c r="D2230">
        <f t="shared" si="71"/>
        <v>-0.88925233644859814</v>
      </c>
      <c r="E2230">
        <v>2.1141649048626093E-3</v>
      </c>
      <c r="G2230">
        <v>2228</v>
      </c>
      <c r="H2230">
        <f t="shared" ca="1" si="72"/>
        <v>2.2498068086578438E-3</v>
      </c>
    </row>
    <row r="2231" spans="2:8" x14ac:dyDescent="0.3">
      <c r="B2231" s="113">
        <v>44181</v>
      </c>
      <c r="C2231">
        <v>214</v>
      </c>
      <c r="D2231">
        <f t="shared" si="71"/>
        <v>4.3291731669266746E-2</v>
      </c>
      <c r="E2231">
        <v>2.1072348396159618E-3</v>
      </c>
      <c r="G2231">
        <v>2229</v>
      </c>
      <c r="H2231">
        <f t="shared" ca="1" si="72"/>
        <v>1.1204722865224172E-2</v>
      </c>
    </row>
    <row r="2232" spans="2:8" x14ac:dyDescent="0.3">
      <c r="B2232" s="113">
        <v>42394</v>
      </c>
      <c r="C2232">
        <v>205.12</v>
      </c>
      <c r="D2232">
        <f t="shared" si="71"/>
        <v>-0.33885576148267527</v>
      </c>
      <c r="E2232">
        <v>2.1007377009136098E-3</v>
      </c>
      <c r="G2232">
        <v>2230</v>
      </c>
      <c r="H2232">
        <f t="shared" ca="1" si="72"/>
        <v>-2.5057201759275744E-2</v>
      </c>
    </row>
    <row r="2233" spans="2:8" x14ac:dyDescent="0.3">
      <c r="B2233" s="113">
        <v>43348</v>
      </c>
      <c r="C2233">
        <v>310.25</v>
      </c>
      <c r="D2233">
        <f t="shared" si="71"/>
        <v>0.32330987417359786</v>
      </c>
      <c r="E2233">
        <v>2.0994832041342933E-3</v>
      </c>
      <c r="G2233">
        <v>2231</v>
      </c>
      <c r="H2233">
        <f t="shared" ca="1" si="72"/>
        <v>4.4178752503198759E-3</v>
      </c>
    </row>
    <row r="2234" spans="2:8" x14ac:dyDescent="0.3">
      <c r="B2234" s="113">
        <v>41843</v>
      </c>
      <c r="C2234">
        <v>234.45</v>
      </c>
      <c r="D2234">
        <f t="shared" si="71"/>
        <v>-0.11761385020700038</v>
      </c>
      <c r="E2234">
        <v>2.0943751068557902E-3</v>
      </c>
      <c r="G2234">
        <v>2232</v>
      </c>
      <c r="H2234">
        <f t="shared" ca="1" si="72"/>
        <v>5.7702997311286763E-3</v>
      </c>
    </row>
    <row r="2235" spans="2:8" x14ac:dyDescent="0.3">
      <c r="B2235" s="113">
        <v>43039</v>
      </c>
      <c r="C2235">
        <v>265.7</v>
      </c>
      <c r="D2235">
        <f t="shared" si="71"/>
        <v>17.198630136986303</v>
      </c>
      <c r="E2235">
        <v>2.0742975674147139E-3</v>
      </c>
      <c r="G2235">
        <v>2233</v>
      </c>
      <c r="H2235">
        <f t="shared" ca="1" si="72"/>
        <v>5.588801114593713E-3</v>
      </c>
    </row>
    <row r="2236" spans="2:8" x14ac:dyDescent="0.3">
      <c r="B2236" s="113">
        <v>37623</v>
      </c>
      <c r="C2236">
        <v>14.6</v>
      </c>
      <c r="D2236">
        <f t="shared" si="71"/>
        <v>-0.50034223134839151</v>
      </c>
      <c r="E2236">
        <v>2.0590253946464899E-3</v>
      </c>
      <c r="G2236">
        <v>2234</v>
      </c>
      <c r="H2236">
        <f t="shared" ca="1" si="72"/>
        <v>3.1055337605593026E-2</v>
      </c>
    </row>
    <row r="2237" spans="2:8" x14ac:dyDescent="0.3">
      <c r="B2237" s="113">
        <v>38350</v>
      </c>
      <c r="C2237">
        <v>29.22</v>
      </c>
      <c r="D2237">
        <f t="shared" si="71"/>
        <v>-0.87241288970395603</v>
      </c>
      <c r="E2237">
        <v>2.0576131687242358E-3</v>
      </c>
      <c r="G2237">
        <v>2235</v>
      </c>
      <c r="H2237">
        <f t="shared" ca="1" si="72"/>
        <v>-2.8933496951057156E-2</v>
      </c>
    </row>
    <row r="2238" spans="2:8" x14ac:dyDescent="0.3">
      <c r="B2238" s="113">
        <v>41736</v>
      </c>
      <c r="C2238">
        <v>229.02</v>
      </c>
      <c r="D2238">
        <f t="shared" si="71"/>
        <v>2.607182233422586</v>
      </c>
      <c r="E2238">
        <v>2.056442791511699E-3</v>
      </c>
      <c r="G2238">
        <v>2236</v>
      </c>
      <c r="H2238">
        <f t="shared" ca="1" si="72"/>
        <v>-7.6422645509890003E-3</v>
      </c>
    </row>
    <row r="2239" spans="2:8" x14ac:dyDescent="0.3">
      <c r="B2239" s="113">
        <v>39532</v>
      </c>
      <c r="C2239">
        <v>63.49</v>
      </c>
      <c r="D2239">
        <f t="shared" si="71"/>
        <v>-7.8690588605598299E-4</v>
      </c>
      <c r="E2239">
        <v>2.0517676767677173E-3</v>
      </c>
      <c r="G2239">
        <v>2237</v>
      </c>
      <c r="H2239">
        <f t="shared" ca="1" si="72"/>
        <v>1.91525803547811E-3</v>
      </c>
    </row>
    <row r="2240" spans="2:8" x14ac:dyDescent="0.3">
      <c r="B2240" s="113">
        <v>39996</v>
      </c>
      <c r="C2240">
        <v>63.54</v>
      </c>
      <c r="D2240">
        <f t="shared" si="71"/>
        <v>2.2484662576687122</v>
      </c>
      <c r="E2240">
        <v>2.0501498186406334E-3</v>
      </c>
      <c r="G2240">
        <v>2238</v>
      </c>
      <c r="H2240">
        <f t="shared" ca="1" si="72"/>
        <v>2.0710928355459221E-2</v>
      </c>
    </row>
    <row r="2241" spans="2:8" x14ac:dyDescent="0.3">
      <c r="B2241" s="113">
        <v>38154</v>
      </c>
      <c r="C2241">
        <v>19.559999999999999</v>
      </c>
      <c r="D2241">
        <f t="shared" si="71"/>
        <v>-0.69442274644586777</v>
      </c>
      <c r="E2241">
        <v>2.0491803278688088E-3</v>
      </c>
      <c r="G2241">
        <v>2239</v>
      </c>
      <c r="H2241">
        <f t="shared" ca="1" si="72"/>
        <v>-2.6947510668762935E-2</v>
      </c>
    </row>
    <row r="2242" spans="2:8" x14ac:dyDescent="0.3">
      <c r="B2242" s="113">
        <v>39422</v>
      </c>
      <c r="C2242">
        <v>64.010000000000005</v>
      </c>
      <c r="D2242">
        <f t="shared" si="71"/>
        <v>-0.7833840947546532</v>
      </c>
      <c r="E2242">
        <v>2.0350657482780614E-3</v>
      </c>
      <c r="G2242">
        <v>2240</v>
      </c>
      <c r="H2242">
        <f t="shared" ca="1" si="72"/>
        <v>2.8381132624527182E-3</v>
      </c>
    </row>
    <row r="2243" spans="2:8" x14ac:dyDescent="0.3">
      <c r="B2243" s="113">
        <v>43538</v>
      </c>
      <c r="C2243">
        <v>295.5</v>
      </c>
      <c r="D2243">
        <f t="shared" ref="D2243:D2306" si="73">(C2243-C2244)/C2244</f>
        <v>1.2027581065970927</v>
      </c>
      <c r="E2243">
        <v>2.0345879959309011E-3</v>
      </c>
      <c r="G2243">
        <v>2241</v>
      </c>
      <c r="H2243">
        <f t="shared" ca="1" si="72"/>
        <v>-1.3472305431821026E-2</v>
      </c>
    </row>
    <row r="2244" spans="2:8" x14ac:dyDescent="0.3">
      <c r="B2244" s="113">
        <v>40780</v>
      </c>
      <c r="C2244">
        <v>134.15</v>
      </c>
      <c r="D2244">
        <f t="shared" si="73"/>
        <v>7.9973172367538572</v>
      </c>
      <c r="E2244">
        <v>2.0167314012549315E-3</v>
      </c>
      <c r="G2244">
        <v>2242</v>
      </c>
      <c r="H2244">
        <f t="shared" ref="H2244:H2307" ca="1" si="74">_xlfn.NORM.INV(RAND(),$L$4,$L$6)</f>
        <v>1.3907081938089323E-2</v>
      </c>
    </row>
    <row r="2245" spans="2:8" x14ac:dyDescent="0.3">
      <c r="B2245" s="113">
        <v>37722</v>
      </c>
      <c r="C2245">
        <v>14.91</v>
      </c>
      <c r="D2245">
        <f t="shared" si="73"/>
        <v>-9.3023255813953869E-3</v>
      </c>
      <c r="E2245">
        <v>2.0161290322580215E-3</v>
      </c>
      <c r="G2245">
        <v>2243</v>
      </c>
      <c r="H2245">
        <f t="shared" ca="1" si="74"/>
        <v>1.04998947571176E-2</v>
      </c>
    </row>
    <row r="2246" spans="2:8" x14ac:dyDescent="0.3">
      <c r="B2246" s="113">
        <v>37747</v>
      </c>
      <c r="C2246">
        <v>15.05</v>
      </c>
      <c r="D2246">
        <f t="shared" si="73"/>
        <v>-0.86994469408918085</v>
      </c>
      <c r="E2246">
        <v>1.9973368841545366E-3</v>
      </c>
      <c r="G2246">
        <v>2244</v>
      </c>
      <c r="H2246">
        <f t="shared" ca="1" si="74"/>
        <v>-3.3349185327744696E-2</v>
      </c>
    </row>
    <row r="2247" spans="2:8" x14ac:dyDescent="0.3">
      <c r="B2247" s="113">
        <v>40542</v>
      </c>
      <c r="C2247">
        <v>115.72</v>
      </c>
      <c r="D2247">
        <f t="shared" si="73"/>
        <v>6.6483807005948448</v>
      </c>
      <c r="E2247">
        <v>1.9915144168326606E-3</v>
      </c>
      <c r="G2247">
        <v>2245</v>
      </c>
      <c r="H2247">
        <f t="shared" ca="1" si="74"/>
        <v>3.1983333213192786E-2</v>
      </c>
    </row>
    <row r="2248" spans="2:8" x14ac:dyDescent="0.3">
      <c r="B2248" s="113">
        <v>37512</v>
      </c>
      <c r="C2248">
        <v>15.13</v>
      </c>
      <c r="D2248">
        <f t="shared" si="73"/>
        <v>-0.92532082922013825</v>
      </c>
      <c r="E2248">
        <v>1.9867549668874927E-3</v>
      </c>
      <c r="G2248">
        <v>2246</v>
      </c>
      <c r="H2248">
        <f t="shared" ca="1" si="74"/>
        <v>-1.7934361277206445E-2</v>
      </c>
    </row>
    <row r="2249" spans="2:8" x14ac:dyDescent="0.3">
      <c r="B2249" s="113">
        <v>41355</v>
      </c>
      <c r="C2249">
        <v>202.6</v>
      </c>
      <c r="D2249">
        <f t="shared" si="73"/>
        <v>-0.14970411717799142</v>
      </c>
      <c r="E2249">
        <v>1.9782393669634307E-3</v>
      </c>
      <c r="G2249">
        <v>2247</v>
      </c>
      <c r="H2249">
        <f t="shared" ca="1" si="74"/>
        <v>-2.3631737859062531E-4</v>
      </c>
    </row>
    <row r="2250" spans="2:8" x14ac:dyDescent="0.3">
      <c r="B2250" s="113">
        <v>41901</v>
      </c>
      <c r="C2250">
        <v>238.27</v>
      </c>
      <c r="D2250">
        <f t="shared" si="73"/>
        <v>2.8831486310299872</v>
      </c>
      <c r="E2250">
        <v>1.9764507989907436E-3</v>
      </c>
      <c r="G2250">
        <v>2248</v>
      </c>
      <c r="H2250">
        <f t="shared" ca="1" si="74"/>
        <v>-3.1308267657301075E-2</v>
      </c>
    </row>
    <row r="2251" spans="2:8" x14ac:dyDescent="0.3">
      <c r="B2251" s="113">
        <v>39000</v>
      </c>
      <c r="C2251">
        <v>61.36</v>
      </c>
      <c r="D2251">
        <f t="shared" si="73"/>
        <v>-0.48193177980412022</v>
      </c>
      <c r="E2251">
        <v>1.9595035924232108E-3</v>
      </c>
      <c r="G2251">
        <v>2249</v>
      </c>
      <c r="H2251">
        <f t="shared" ca="1" si="74"/>
        <v>-5.3788577681043509E-3</v>
      </c>
    </row>
    <row r="2252" spans="2:8" x14ac:dyDescent="0.3">
      <c r="B2252" s="113">
        <v>40452</v>
      </c>
      <c r="C2252">
        <v>118.44</v>
      </c>
      <c r="D2252">
        <f t="shared" si="73"/>
        <v>-0.46646245326366054</v>
      </c>
      <c r="E2252">
        <v>1.9456898739531681E-3</v>
      </c>
      <c r="G2252">
        <v>2250</v>
      </c>
      <c r="H2252">
        <f t="shared" ca="1" si="74"/>
        <v>-1.6385136288138931E-2</v>
      </c>
    </row>
    <row r="2253" spans="2:8" x14ac:dyDescent="0.3">
      <c r="B2253" s="113">
        <v>41500</v>
      </c>
      <c r="C2253">
        <v>221.99</v>
      </c>
      <c r="D2253">
        <f t="shared" si="73"/>
        <v>6.2661560555289625E-2</v>
      </c>
      <c r="E2253">
        <v>1.9407835349341345E-3</v>
      </c>
      <c r="G2253">
        <v>2251</v>
      </c>
      <c r="H2253">
        <f t="shared" ca="1" si="74"/>
        <v>3.6400353596240625E-3</v>
      </c>
    </row>
    <row r="2254" spans="2:8" x14ac:dyDescent="0.3">
      <c r="B2254" s="113">
        <v>42208</v>
      </c>
      <c r="C2254">
        <v>208.9</v>
      </c>
      <c r="D2254">
        <f t="shared" si="73"/>
        <v>-2.0541728371471207E-3</v>
      </c>
      <c r="E2254">
        <v>1.9184652278177732E-3</v>
      </c>
      <c r="G2254">
        <v>2252</v>
      </c>
      <c r="H2254">
        <f t="shared" ca="1" si="74"/>
        <v>-1.6968527133028384E-2</v>
      </c>
    </row>
    <row r="2255" spans="2:8" x14ac:dyDescent="0.3">
      <c r="B2255" s="113">
        <v>42382</v>
      </c>
      <c r="C2255">
        <v>209.33</v>
      </c>
      <c r="D2255">
        <f t="shared" si="73"/>
        <v>-0.27479646630867821</v>
      </c>
      <c r="E2255">
        <v>1.9145168238166165E-3</v>
      </c>
      <c r="G2255">
        <v>2253</v>
      </c>
      <c r="H2255">
        <f t="shared" ca="1" si="74"/>
        <v>1.0615730149117236E-2</v>
      </c>
    </row>
    <row r="2256" spans="2:8" x14ac:dyDescent="0.3">
      <c r="B2256" s="113">
        <v>43615</v>
      </c>
      <c r="C2256">
        <v>288.64999999999998</v>
      </c>
      <c r="D2256">
        <f t="shared" si="73"/>
        <v>0.27253890578847578</v>
      </c>
      <c r="E2256">
        <v>1.9090593543906785E-3</v>
      </c>
      <c r="G2256">
        <v>2254</v>
      </c>
      <c r="H2256">
        <f t="shared" ca="1" si="74"/>
        <v>1.7324863356977346E-2</v>
      </c>
    </row>
    <row r="2257" spans="2:8" x14ac:dyDescent="0.3">
      <c r="B2257" s="113">
        <v>41830</v>
      </c>
      <c r="C2257">
        <v>226.83</v>
      </c>
      <c r="D2257">
        <f t="shared" si="73"/>
        <v>0.84745072487375805</v>
      </c>
      <c r="E2257">
        <v>1.8992932862191114E-3</v>
      </c>
      <c r="G2257">
        <v>2255</v>
      </c>
      <c r="H2257">
        <f t="shared" ca="1" si="74"/>
        <v>4.5999483855459411E-3</v>
      </c>
    </row>
    <row r="2258" spans="2:8" x14ac:dyDescent="0.3">
      <c r="B2258" s="113">
        <v>40716</v>
      </c>
      <c r="C2258">
        <v>122.78</v>
      </c>
      <c r="D2258">
        <f t="shared" si="73"/>
        <v>2.281133083912346</v>
      </c>
      <c r="E2258">
        <v>1.8767849857201468E-3</v>
      </c>
      <c r="G2258">
        <v>2256</v>
      </c>
      <c r="H2258">
        <f t="shared" ca="1" si="74"/>
        <v>1.077422739215308E-2</v>
      </c>
    </row>
    <row r="2259" spans="2:8" x14ac:dyDescent="0.3">
      <c r="B2259" s="113">
        <v>38587</v>
      </c>
      <c r="C2259">
        <v>37.42</v>
      </c>
      <c r="D2259">
        <f t="shared" si="73"/>
        <v>-0.82227499406316784</v>
      </c>
      <c r="E2259">
        <v>1.87416331994646E-3</v>
      </c>
      <c r="G2259">
        <v>2257</v>
      </c>
      <c r="H2259">
        <f t="shared" ca="1" si="74"/>
        <v>-1.6667094311976749E-3</v>
      </c>
    </row>
    <row r="2260" spans="2:8" x14ac:dyDescent="0.3">
      <c r="B2260" s="113">
        <v>41387</v>
      </c>
      <c r="C2260">
        <v>210.55</v>
      </c>
      <c r="D2260">
        <f t="shared" si="73"/>
        <v>-0.22591911764705877</v>
      </c>
      <c r="E2260">
        <v>1.8557289684050951E-3</v>
      </c>
      <c r="G2260">
        <v>2258</v>
      </c>
      <c r="H2260">
        <f t="shared" ca="1" si="74"/>
        <v>-3.520464627493898E-2</v>
      </c>
    </row>
    <row r="2261" spans="2:8" x14ac:dyDescent="0.3">
      <c r="B2261" s="113">
        <v>42992</v>
      </c>
      <c r="C2261">
        <v>272</v>
      </c>
      <c r="D2261">
        <f t="shared" si="73"/>
        <v>-9.1091358684755708E-2</v>
      </c>
      <c r="E2261">
        <v>1.841620626151013E-3</v>
      </c>
      <c r="G2261">
        <v>2259</v>
      </c>
      <c r="H2261">
        <f t="shared" ca="1" si="74"/>
        <v>-6.5008796237461558E-4</v>
      </c>
    </row>
    <row r="2262" spans="2:8" x14ac:dyDescent="0.3">
      <c r="B2262" s="113">
        <v>44767</v>
      </c>
      <c r="C2262">
        <v>299.26</v>
      </c>
      <c r="D2262">
        <f t="shared" si="73"/>
        <v>0.21675137223012808</v>
      </c>
      <c r="E2262">
        <v>1.8412507113923584E-3</v>
      </c>
      <c r="G2262">
        <v>2260</v>
      </c>
      <c r="H2262">
        <f t="shared" ca="1" si="74"/>
        <v>-1.6527841238786631E-2</v>
      </c>
    </row>
    <row r="2263" spans="2:8" x14ac:dyDescent="0.3">
      <c r="B2263" s="113">
        <v>43705</v>
      </c>
      <c r="C2263">
        <v>245.95</v>
      </c>
      <c r="D2263">
        <f t="shared" si="73"/>
        <v>-0.10887681159420294</v>
      </c>
      <c r="E2263">
        <v>1.8329938900203202E-3</v>
      </c>
      <c r="G2263">
        <v>2261</v>
      </c>
      <c r="H2263">
        <f t="shared" ca="1" si="74"/>
        <v>6.3825483047382581E-3</v>
      </c>
    </row>
    <row r="2264" spans="2:8" x14ac:dyDescent="0.3">
      <c r="B2264" s="113">
        <v>43214</v>
      </c>
      <c r="C2264">
        <v>276</v>
      </c>
      <c r="D2264">
        <f t="shared" si="73"/>
        <v>9.2852900415759207E-2</v>
      </c>
      <c r="E2264">
        <v>1.8148820326678765E-3</v>
      </c>
      <c r="G2264">
        <v>2262</v>
      </c>
      <c r="H2264">
        <f t="shared" ca="1" si="74"/>
        <v>2.7881638950186728E-2</v>
      </c>
    </row>
    <row r="2265" spans="2:8" x14ac:dyDescent="0.3">
      <c r="B2265" s="113">
        <v>42587</v>
      </c>
      <c r="C2265">
        <v>252.55</v>
      </c>
      <c r="D2265">
        <f t="shared" si="73"/>
        <v>-0.18741956241956242</v>
      </c>
      <c r="E2265">
        <v>1.7850059500199012E-3</v>
      </c>
      <c r="G2265">
        <v>2263</v>
      </c>
      <c r="H2265">
        <f t="shared" ca="1" si="74"/>
        <v>-4.8177910978255811E-3</v>
      </c>
    </row>
    <row r="2266" spans="2:8" x14ac:dyDescent="0.3">
      <c r="B2266" s="113">
        <v>43349</v>
      </c>
      <c r="C2266">
        <v>310.8</v>
      </c>
      <c r="D2266">
        <f t="shared" si="73"/>
        <v>0.48544663767146218</v>
      </c>
      <c r="E2266">
        <v>1.7727639000806169E-3</v>
      </c>
      <c r="G2266">
        <v>2264</v>
      </c>
      <c r="H2266">
        <f t="shared" ca="1" si="74"/>
        <v>1.3442848512944422E-2</v>
      </c>
    </row>
    <row r="2267" spans="2:8" x14ac:dyDescent="0.3">
      <c r="B2267" s="113">
        <v>42188</v>
      </c>
      <c r="C2267">
        <v>209.23</v>
      </c>
      <c r="D2267">
        <f t="shared" si="73"/>
        <v>2.3029532564052314E-2</v>
      </c>
      <c r="E2267">
        <v>1.7715215934117404E-3</v>
      </c>
      <c r="G2267">
        <v>2265</v>
      </c>
      <c r="H2267">
        <f t="shared" ca="1" si="74"/>
        <v>3.4624938350565908E-3</v>
      </c>
    </row>
    <row r="2268" spans="2:8" x14ac:dyDescent="0.3">
      <c r="B2268" s="113">
        <v>41509</v>
      </c>
      <c r="C2268">
        <v>204.52</v>
      </c>
      <c r="D2268">
        <f t="shared" si="73"/>
        <v>2.9789883268482491</v>
      </c>
      <c r="E2268">
        <v>1.7633228840126061E-3</v>
      </c>
      <c r="G2268">
        <v>2266</v>
      </c>
      <c r="H2268">
        <f t="shared" ca="1" si="74"/>
        <v>9.5067377969697579E-4</v>
      </c>
    </row>
    <row r="2269" spans="2:8" x14ac:dyDescent="0.3">
      <c r="B2269" s="113">
        <v>38749</v>
      </c>
      <c r="C2269">
        <v>51.4</v>
      </c>
      <c r="D2269">
        <f t="shared" si="73"/>
        <v>-0.82037392975712031</v>
      </c>
      <c r="E2269">
        <v>1.7540440459948607E-3</v>
      </c>
      <c r="G2269">
        <v>2267</v>
      </c>
      <c r="H2269">
        <f t="shared" ca="1" si="74"/>
        <v>8.0863722329507382E-3</v>
      </c>
    </row>
    <row r="2270" spans="2:8" x14ac:dyDescent="0.3">
      <c r="B2270" s="113">
        <v>43306</v>
      </c>
      <c r="C2270">
        <v>286.14999999999998</v>
      </c>
      <c r="D2270">
        <f t="shared" si="73"/>
        <v>2.3226892707849509</v>
      </c>
      <c r="E2270">
        <v>1.7503938386136883E-3</v>
      </c>
      <c r="G2270">
        <v>2268</v>
      </c>
      <c r="H2270">
        <f t="shared" ca="1" si="74"/>
        <v>6.0925307572082688E-3</v>
      </c>
    </row>
    <row r="2271" spans="2:8" x14ac:dyDescent="0.3">
      <c r="B2271" s="113">
        <v>40253</v>
      </c>
      <c r="C2271">
        <v>86.12</v>
      </c>
      <c r="D2271">
        <f t="shared" si="73"/>
        <v>-0.54752272369043242</v>
      </c>
      <c r="E2271">
        <v>1.7447946958241908E-3</v>
      </c>
      <c r="G2271">
        <v>2269</v>
      </c>
      <c r="H2271">
        <f t="shared" ca="1" si="74"/>
        <v>3.5669824227362597E-2</v>
      </c>
    </row>
    <row r="2272" spans="2:8" x14ac:dyDescent="0.3">
      <c r="B2272" s="113">
        <v>41239</v>
      </c>
      <c r="C2272">
        <v>190.33</v>
      </c>
      <c r="D2272">
        <f t="shared" si="73"/>
        <v>2.2951869806094187</v>
      </c>
      <c r="E2272">
        <v>1.7368421052632236E-3</v>
      </c>
      <c r="G2272">
        <v>2270</v>
      </c>
      <c r="H2272">
        <f t="shared" ca="1" si="74"/>
        <v>2.5844725071684668E-2</v>
      </c>
    </row>
    <row r="2273" spans="2:8" x14ac:dyDescent="0.3">
      <c r="B2273" s="113">
        <v>39128</v>
      </c>
      <c r="C2273">
        <v>57.76</v>
      </c>
      <c r="D2273">
        <f t="shared" si="73"/>
        <v>-0.72976513521100406</v>
      </c>
      <c r="E2273">
        <v>1.7343045438779298E-3</v>
      </c>
      <c r="G2273">
        <v>2271</v>
      </c>
      <c r="H2273">
        <f t="shared" ca="1" si="74"/>
        <v>-2.2867046322192372E-2</v>
      </c>
    </row>
    <row r="2274" spans="2:8" x14ac:dyDescent="0.3">
      <c r="B2274" s="113">
        <v>41640</v>
      </c>
      <c r="C2274">
        <v>213.74</v>
      </c>
      <c r="D2274">
        <f t="shared" si="73"/>
        <v>-7.5319056889465705E-2</v>
      </c>
      <c r="E2274">
        <v>1.7340769555232907E-3</v>
      </c>
      <c r="G2274">
        <v>2272</v>
      </c>
      <c r="H2274">
        <f t="shared" ca="1" si="74"/>
        <v>-2.5473981705138652E-2</v>
      </c>
    </row>
    <row r="2275" spans="2:8" x14ac:dyDescent="0.3">
      <c r="B2275" s="113">
        <v>44456</v>
      </c>
      <c r="C2275">
        <v>231.15</v>
      </c>
      <c r="D2275">
        <f t="shared" si="73"/>
        <v>6.9651964162646447</v>
      </c>
      <c r="E2275">
        <v>1.7334777898158427E-3</v>
      </c>
      <c r="G2275">
        <v>2273</v>
      </c>
      <c r="H2275">
        <f t="shared" ca="1" si="74"/>
        <v>2.4072291925297286E-2</v>
      </c>
    </row>
    <row r="2276" spans="2:8" x14ac:dyDescent="0.3">
      <c r="B2276" s="113">
        <v>38355</v>
      </c>
      <c r="C2276">
        <v>29.02</v>
      </c>
      <c r="D2276">
        <f t="shared" si="73"/>
        <v>-0.8486097344671083</v>
      </c>
      <c r="E2276">
        <v>1.7259233690024409E-3</v>
      </c>
      <c r="G2276">
        <v>2274</v>
      </c>
      <c r="H2276">
        <f t="shared" ca="1" si="74"/>
        <v>-4.6410684727423358E-2</v>
      </c>
    </row>
    <row r="2277" spans="2:8" x14ac:dyDescent="0.3">
      <c r="B2277" s="113">
        <v>41219</v>
      </c>
      <c r="C2277">
        <v>191.69</v>
      </c>
      <c r="D2277">
        <f t="shared" si="73"/>
        <v>0.43137694145758676</v>
      </c>
      <c r="E2277">
        <v>1.724498327759114E-3</v>
      </c>
      <c r="G2277">
        <v>2275</v>
      </c>
      <c r="H2277">
        <f t="shared" ca="1" si="74"/>
        <v>1.2486805623291117E-2</v>
      </c>
    </row>
    <row r="2278" spans="2:8" x14ac:dyDescent="0.3">
      <c r="B2278" s="113">
        <v>40917</v>
      </c>
      <c r="C2278">
        <v>133.91999999999999</v>
      </c>
      <c r="D2278">
        <f t="shared" si="73"/>
        <v>-0.12074059483947222</v>
      </c>
      <c r="E2278">
        <v>1.7203979355224009E-3</v>
      </c>
      <c r="G2278">
        <v>2276</v>
      </c>
      <c r="H2278">
        <f t="shared" ca="1" si="74"/>
        <v>3.4215454801876426E-2</v>
      </c>
    </row>
    <row r="2279" spans="2:8" x14ac:dyDescent="0.3">
      <c r="B2279" s="113">
        <v>41010</v>
      </c>
      <c r="C2279">
        <v>152.31</v>
      </c>
      <c r="D2279">
        <f t="shared" si="73"/>
        <v>-0.23700030057108507</v>
      </c>
      <c r="E2279">
        <v>1.7099638276882004E-3</v>
      </c>
      <c r="G2279">
        <v>2277</v>
      </c>
      <c r="H2279">
        <f t="shared" ca="1" si="74"/>
        <v>-2.8580817235834988E-3</v>
      </c>
    </row>
    <row r="2280" spans="2:8" x14ac:dyDescent="0.3">
      <c r="B2280" s="113">
        <v>42165</v>
      </c>
      <c r="C2280">
        <v>199.62</v>
      </c>
      <c r="D2280">
        <f t="shared" si="73"/>
        <v>7.4513124470787462</v>
      </c>
      <c r="E2280">
        <v>1.7061421116017835E-3</v>
      </c>
      <c r="G2280">
        <v>2278</v>
      </c>
      <c r="H2280">
        <f t="shared" ca="1" si="74"/>
        <v>4.4176804289355245E-3</v>
      </c>
    </row>
    <row r="2281" spans="2:8" x14ac:dyDescent="0.3">
      <c r="B2281" s="113">
        <v>38071</v>
      </c>
      <c r="C2281">
        <v>23.62</v>
      </c>
      <c r="D2281">
        <f t="shared" si="73"/>
        <v>-0.73352888086642598</v>
      </c>
      <c r="E2281">
        <v>1.696352841391124E-3</v>
      </c>
      <c r="G2281">
        <v>2279</v>
      </c>
      <c r="H2281">
        <f t="shared" ca="1" si="74"/>
        <v>5.7328463280898485E-3</v>
      </c>
    </row>
    <row r="2282" spans="2:8" x14ac:dyDescent="0.3">
      <c r="B2282" s="113">
        <v>40294</v>
      </c>
      <c r="C2282">
        <v>88.64</v>
      </c>
      <c r="D2282">
        <f t="shared" si="73"/>
        <v>1.9915626054674318</v>
      </c>
      <c r="E2282">
        <v>1.6951067917279432E-3</v>
      </c>
      <c r="G2282">
        <v>2280</v>
      </c>
      <c r="H2282">
        <f t="shared" ca="1" si="74"/>
        <v>4.9853215325108106E-3</v>
      </c>
    </row>
    <row r="2283" spans="2:8" x14ac:dyDescent="0.3">
      <c r="B2283" s="113">
        <v>38413</v>
      </c>
      <c r="C2283">
        <v>29.63</v>
      </c>
      <c r="D2283">
        <f t="shared" si="73"/>
        <v>-0.87235600740964114</v>
      </c>
      <c r="E2283">
        <v>1.6903313049357915E-3</v>
      </c>
      <c r="G2283">
        <v>2281</v>
      </c>
      <c r="H2283">
        <f t="shared" ca="1" si="74"/>
        <v>-9.194911733583222E-3</v>
      </c>
    </row>
    <row r="2284" spans="2:8" x14ac:dyDescent="0.3">
      <c r="B2284" s="113">
        <v>41940</v>
      </c>
      <c r="C2284">
        <v>232.13</v>
      </c>
      <c r="D2284">
        <f t="shared" si="73"/>
        <v>-2.5073498530029395E-2</v>
      </c>
      <c r="E2284">
        <v>1.6829205143694933E-3</v>
      </c>
      <c r="G2284">
        <v>2282</v>
      </c>
      <c r="H2284">
        <f t="shared" ca="1" si="74"/>
        <v>-9.8038222453285129E-3</v>
      </c>
    </row>
    <row r="2285" spans="2:8" x14ac:dyDescent="0.3">
      <c r="B2285" s="113">
        <v>43831</v>
      </c>
      <c r="C2285">
        <v>238.1</v>
      </c>
      <c r="D2285">
        <f t="shared" si="73"/>
        <v>0.14005266937993777</v>
      </c>
      <c r="E2285">
        <v>1.6827934371056192E-3</v>
      </c>
      <c r="G2285">
        <v>2283</v>
      </c>
      <c r="H2285">
        <f t="shared" ca="1" si="74"/>
        <v>-8.6292152392644997E-3</v>
      </c>
    </row>
    <row r="2286" spans="2:8" x14ac:dyDescent="0.3">
      <c r="B2286" s="113">
        <v>44251</v>
      </c>
      <c r="C2286">
        <v>208.85</v>
      </c>
      <c r="D2286">
        <f t="shared" si="73"/>
        <v>5.8754942715198238E-2</v>
      </c>
      <c r="E2286">
        <v>1.6786570743405004E-3</v>
      </c>
      <c r="G2286">
        <v>2284</v>
      </c>
      <c r="H2286">
        <f t="shared" ca="1" si="74"/>
        <v>-7.6627574990358969E-3</v>
      </c>
    </row>
    <row r="2287" spans="2:8" x14ac:dyDescent="0.3">
      <c r="B2287" s="113">
        <v>42167</v>
      </c>
      <c r="C2287">
        <v>197.26</v>
      </c>
      <c r="D2287">
        <f t="shared" si="73"/>
        <v>-3.1835868411743671E-3</v>
      </c>
      <c r="E2287">
        <v>1.6757223378864778E-3</v>
      </c>
      <c r="G2287">
        <v>2285</v>
      </c>
      <c r="H2287">
        <f t="shared" ca="1" si="74"/>
        <v>-1.2756937117106644E-3</v>
      </c>
    </row>
    <row r="2288" spans="2:8" x14ac:dyDescent="0.3">
      <c r="B2288" s="113">
        <v>41243</v>
      </c>
      <c r="C2288">
        <v>197.89</v>
      </c>
      <c r="D2288">
        <f t="shared" si="73"/>
        <v>7.2316971713810316</v>
      </c>
      <c r="E2288">
        <v>1.6703786191535942E-3</v>
      </c>
      <c r="G2288">
        <v>2286</v>
      </c>
      <c r="H2288">
        <f t="shared" ca="1" si="74"/>
        <v>-7.2656410936808701E-3</v>
      </c>
    </row>
    <row r="2289" spans="2:8" x14ac:dyDescent="0.3">
      <c r="B2289" s="113">
        <v>38289</v>
      </c>
      <c r="C2289">
        <v>24.04</v>
      </c>
      <c r="D2289">
        <f t="shared" si="73"/>
        <v>0</v>
      </c>
      <c r="E2289">
        <v>1.6666666666666312E-3</v>
      </c>
      <c r="G2289">
        <v>2287</v>
      </c>
      <c r="H2289">
        <f t="shared" ca="1" si="74"/>
        <v>1.0585503990574098E-2</v>
      </c>
    </row>
    <row r="2290" spans="2:8" x14ac:dyDescent="0.3">
      <c r="B2290" s="113">
        <v>38092</v>
      </c>
      <c r="C2290">
        <v>24.04</v>
      </c>
      <c r="D2290">
        <f t="shared" si="73"/>
        <v>-0.88692380056444031</v>
      </c>
      <c r="E2290">
        <v>1.6666666666666312E-3</v>
      </c>
      <c r="G2290">
        <v>2288</v>
      </c>
      <c r="H2290">
        <f t="shared" ca="1" si="74"/>
        <v>-4.0847503522684486E-2</v>
      </c>
    </row>
    <row r="2291" spans="2:8" x14ac:dyDescent="0.3">
      <c r="B2291" s="113">
        <v>44333</v>
      </c>
      <c r="C2291">
        <v>212.6</v>
      </c>
      <c r="D2291">
        <f t="shared" si="73"/>
        <v>-0.18814679039217935</v>
      </c>
      <c r="E2291">
        <v>1.6489988221436718E-3</v>
      </c>
      <c r="G2291">
        <v>2289</v>
      </c>
      <c r="H2291">
        <f t="shared" ca="1" si="74"/>
        <v>3.8277438923319477E-3</v>
      </c>
    </row>
    <row r="2292" spans="2:8" x14ac:dyDescent="0.3">
      <c r="B2292" s="113">
        <v>41983</v>
      </c>
      <c r="C2292">
        <v>261.87</v>
      </c>
      <c r="D2292">
        <f t="shared" si="73"/>
        <v>7.5915354330708666</v>
      </c>
      <c r="E2292">
        <v>1.6447368421052893E-3</v>
      </c>
      <c r="G2292">
        <v>2290</v>
      </c>
      <c r="H2292">
        <f t="shared" ca="1" si="74"/>
        <v>8.3780365016033129E-3</v>
      </c>
    </row>
    <row r="2293" spans="2:8" x14ac:dyDescent="0.3">
      <c r="B2293" s="113">
        <v>38460</v>
      </c>
      <c r="C2293">
        <v>30.48</v>
      </c>
      <c r="D2293">
        <f t="shared" si="73"/>
        <v>-0.88946509519492301</v>
      </c>
      <c r="E2293">
        <v>1.6431153466973615E-3</v>
      </c>
      <c r="G2293">
        <v>2291</v>
      </c>
      <c r="H2293">
        <f t="shared" ca="1" si="74"/>
        <v>1.4025566267497952E-2</v>
      </c>
    </row>
    <row r="2294" spans="2:8" x14ac:dyDescent="0.3">
      <c r="B2294" s="113">
        <v>43448</v>
      </c>
      <c r="C2294">
        <v>275.75</v>
      </c>
      <c r="D2294">
        <f t="shared" si="73"/>
        <v>6.4446544276457889</v>
      </c>
      <c r="E2294">
        <v>1.6345804576824868E-3</v>
      </c>
      <c r="G2294">
        <v>2292</v>
      </c>
      <c r="H2294">
        <f t="shared" ca="1" si="74"/>
        <v>1.0404608197308214E-2</v>
      </c>
    </row>
    <row r="2295" spans="2:8" x14ac:dyDescent="0.3">
      <c r="B2295" s="113">
        <v>38539</v>
      </c>
      <c r="C2295">
        <v>37.04</v>
      </c>
      <c r="D2295">
        <f t="shared" si="73"/>
        <v>-0.4027732989358272</v>
      </c>
      <c r="E2295">
        <v>1.622498647917855E-3</v>
      </c>
      <c r="G2295">
        <v>2293</v>
      </c>
      <c r="H2295">
        <f t="shared" ca="1" si="74"/>
        <v>6.395287871400257E-3</v>
      </c>
    </row>
    <row r="2296" spans="2:8" x14ac:dyDescent="0.3">
      <c r="B2296" s="113">
        <v>39661</v>
      </c>
      <c r="C2296">
        <v>62.02</v>
      </c>
      <c r="D2296">
        <f t="shared" si="73"/>
        <v>-0.77838127568340176</v>
      </c>
      <c r="E2296">
        <v>1.6149870801033821E-3</v>
      </c>
      <c r="G2296">
        <v>2294</v>
      </c>
      <c r="H2296">
        <f t="shared" ca="1" si="74"/>
        <v>1.3454130367185442E-2</v>
      </c>
    </row>
    <row r="2297" spans="2:8" x14ac:dyDescent="0.3">
      <c r="B2297" s="113">
        <v>43627</v>
      </c>
      <c r="C2297">
        <v>279.85000000000002</v>
      </c>
      <c r="D2297">
        <f t="shared" si="73"/>
        <v>0.25000000000000011</v>
      </c>
      <c r="E2297">
        <v>1.6105941302793326E-3</v>
      </c>
      <c r="G2297">
        <v>2295</v>
      </c>
      <c r="H2297">
        <f t="shared" ca="1" si="74"/>
        <v>-3.0551750045916077E-3</v>
      </c>
    </row>
    <row r="2298" spans="2:8" x14ac:dyDescent="0.3">
      <c r="B2298" s="113">
        <v>42314</v>
      </c>
      <c r="C2298">
        <v>223.88</v>
      </c>
      <c r="D2298">
        <f t="shared" si="73"/>
        <v>7.9195219123505973</v>
      </c>
      <c r="E2298">
        <v>1.6105941302791034E-3</v>
      </c>
      <c r="G2298">
        <v>2296</v>
      </c>
      <c r="H2298">
        <f t="shared" ca="1" si="74"/>
        <v>1.8167106386030335E-2</v>
      </c>
    </row>
    <row r="2299" spans="2:8" x14ac:dyDescent="0.3">
      <c r="B2299" s="113">
        <v>38001</v>
      </c>
      <c r="C2299">
        <v>25.1</v>
      </c>
      <c r="D2299">
        <f t="shared" si="73"/>
        <v>-0.91121330031835857</v>
      </c>
      <c r="E2299">
        <v>1.5961691939346649E-3</v>
      </c>
      <c r="G2299">
        <v>2297</v>
      </c>
      <c r="H2299">
        <f t="shared" ca="1" si="74"/>
        <v>1.7310688171898021E-2</v>
      </c>
    </row>
    <row r="2300" spans="2:8" x14ac:dyDescent="0.3">
      <c r="B2300" s="113">
        <v>43228</v>
      </c>
      <c r="C2300">
        <v>282.7</v>
      </c>
      <c r="D2300">
        <f t="shared" si="73"/>
        <v>0.49466004018187593</v>
      </c>
      <c r="E2300">
        <v>1.594331266607577E-3</v>
      </c>
      <c r="G2300">
        <v>2298</v>
      </c>
      <c r="H2300">
        <f t="shared" ca="1" si="74"/>
        <v>-2.2921364601204079E-2</v>
      </c>
    </row>
    <row r="2301" spans="2:8" x14ac:dyDescent="0.3">
      <c r="B2301" s="113">
        <v>41375</v>
      </c>
      <c r="C2301">
        <v>189.14</v>
      </c>
      <c r="D2301">
        <f t="shared" si="73"/>
        <v>6.443526170798898</v>
      </c>
      <c r="E2301">
        <v>1.588646473204739E-3</v>
      </c>
      <c r="G2301">
        <v>2299</v>
      </c>
      <c r="H2301">
        <f t="shared" ca="1" si="74"/>
        <v>-2.5415804006244973E-2</v>
      </c>
    </row>
    <row r="2302" spans="2:8" x14ac:dyDescent="0.3">
      <c r="B2302" s="113">
        <v>38307</v>
      </c>
      <c r="C2302">
        <v>25.41</v>
      </c>
      <c r="D2302">
        <f t="shared" si="73"/>
        <v>-0.55576923076923079</v>
      </c>
      <c r="E2302">
        <v>1.576665352778839E-3</v>
      </c>
      <c r="G2302">
        <v>2300</v>
      </c>
      <c r="H2302">
        <f t="shared" ca="1" si="74"/>
        <v>-1.5298502984756249E-2</v>
      </c>
    </row>
    <row r="2303" spans="2:8" x14ac:dyDescent="0.3">
      <c r="B2303" s="113">
        <v>39763</v>
      </c>
      <c r="C2303">
        <v>57.2</v>
      </c>
      <c r="D2303">
        <f t="shared" si="73"/>
        <v>-0.55559008624038542</v>
      </c>
      <c r="E2303">
        <v>1.5759061460340292E-3</v>
      </c>
      <c r="G2303">
        <v>2301</v>
      </c>
      <c r="H2303">
        <f t="shared" ca="1" si="74"/>
        <v>1.1312828916794736E-2</v>
      </c>
    </row>
    <row r="2304" spans="2:8" x14ac:dyDescent="0.3">
      <c r="B2304" s="113">
        <v>40709</v>
      </c>
      <c r="C2304">
        <v>128.71</v>
      </c>
      <c r="D2304">
        <f t="shared" si="73"/>
        <v>3.9926299456943366</v>
      </c>
      <c r="E2304">
        <v>1.5562991206911295E-3</v>
      </c>
      <c r="G2304">
        <v>2302</v>
      </c>
      <c r="H2304">
        <f t="shared" ca="1" si="74"/>
        <v>5.9761451002560174E-3</v>
      </c>
    </row>
    <row r="2305" spans="2:8" x14ac:dyDescent="0.3">
      <c r="B2305" s="113">
        <v>38051</v>
      </c>
      <c r="C2305">
        <v>25.78</v>
      </c>
      <c r="D2305">
        <f t="shared" si="73"/>
        <v>-0.90055930568948894</v>
      </c>
      <c r="E2305">
        <v>1.554001554001659E-3</v>
      </c>
      <c r="G2305">
        <v>2303</v>
      </c>
      <c r="H2305">
        <f t="shared" ca="1" si="74"/>
        <v>-2.9278099259881438E-2</v>
      </c>
    </row>
    <row r="2306" spans="2:8" x14ac:dyDescent="0.3">
      <c r="B2306" s="113">
        <v>43168</v>
      </c>
      <c r="C2306">
        <v>259.25</v>
      </c>
      <c r="D2306">
        <f t="shared" si="73"/>
        <v>5.6372247823860722</v>
      </c>
      <c r="E2306">
        <v>1.5452965037665723E-3</v>
      </c>
      <c r="G2306">
        <v>2304</v>
      </c>
      <c r="H2306">
        <f t="shared" ca="1" si="74"/>
        <v>1.412104576655587E-2</v>
      </c>
    </row>
    <row r="2307" spans="2:8" x14ac:dyDescent="0.3">
      <c r="B2307" s="113">
        <v>38548</v>
      </c>
      <c r="C2307">
        <v>39.06</v>
      </c>
      <c r="D2307">
        <f t="shared" ref="D2307:D2370" si="75">(C2307-C2308)/C2308</f>
        <v>-0.64804469273743015</v>
      </c>
      <c r="E2307">
        <v>1.5384615384615968E-3</v>
      </c>
      <c r="G2307">
        <v>2305</v>
      </c>
      <c r="H2307">
        <f t="shared" ca="1" si="74"/>
        <v>-2.473676553464603E-2</v>
      </c>
    </row>
    <row r="2308" spans="2:8" x14ac:dyDescent="0.3">
      <c r="B2308" s="113">
        <v>40534</v>
      </c>
      <c r="C2308">
        <v>110.98</v>
      </c>
      <c r="D2308">
        <f t="shared" si="75"/>
        <v>-0.57503350564809486</v>
      </c>
      <c r="E2308">
        <v>1.5341575670066033E-3</v>
      </c>
      <c r="G2308">
        <v>2306</v>
      </c>
      <c r="H2308">
        <f t="shared" ref="H2308:H2371" ca="1" si="76">_xlfn.NORM.INV(RAND(),$L$4,$L$6)</f>
        <v>1.005660720798408E-2</v>
      </c>
    </row>
    <row r="2309" spans="2:8" x14ac:dyDescent="0.3">
      <c r="B2309" s="113">
        <v>43103</v>
      </c>
      <c r="C2309">
        <v>261.14999999999998</v>
      </c>
      <c r="D2309">
        <f t="shared" si="75"/>
        <v>0.21166426947524694</v>
      </c>
      <c r="E2309">
        <v>1.5340364333652052E-3</v>
      </c>
      <c r="G2309">
        <v>2307</v>
      </c>
      <c r="H2309">
        <f t="shared" ca="1" si="76"/>
        <v>-1.0870382838064019E-2</v>
      </c>
    </row>
    <row r="2310" spans="2:8" x14ac:dyDescent="0.3">
      <c r="B2310" s="113">
        <v>41670</v>
      </c>
      <c r="C2310">
        <v>215.53</v>
      </c>
      <c r="D2310">
        <f t="shared" si="75"/>
        <v>-0.17595106098260374</v>
      </c>
      <c r="E2310">
        <v>1.5334572490706901E-3</v>
      </c>
      <c r="G2310">
        <v>2308</v>
      </c>
      <c r="H2310">
        <f t="shared" ca="1" si="76"/>
        <v>2.8528344848274358E-2</v>
      </c>
    </row>
    <row r="2311" spans="2:8" x14ac:dyDescent="0.3">
      <c r="B2311" s="113">
        <v>43104</v>
      </c>
      <c r="C2311">
        <v>261.55</v>
      </c>
      <c r="D2311">
        <f t="shared" si="75"/>
        <v>0.37347056661240352</v>
      </c>
      <c r="E2311">
        <v>1.5316867700556544E-3</v>
      </c>
      <c r="G2311">
        <v>2309</v>
      </c>
      <c r="H2311">
        <f t="shared" ca="1" si="76"/>
        <v>-1.7226675124454978E-2</v>
      </c>
    </row>
    <row r="2312" spans="2:8" x14ac:dyDescent="0.3">
      <c r="B2312" s="113">
        <v>41275</v>
      </c>
      <c r="C2312">
        <v>190.43</v>
      </c>
      <c r="D2312">
        <f t="shared" si="75"/>
        <v>-3.9154346838891928E-2</v>
      </c>
      <c r="E2312">
        <v>1.5251919638162431E-3</v>
      </c>
      <c r="G2312">
        <v>2310</v>
      </c>
      <c r="H2312">
        <f t="shared" ca="1" si="76"/>
        <v>-1.65722041286855E-2</v>
      </c>
    </row>
    <row r="2313" spans="2:8" x14ac:dyDescent="0.3">
      <c r="B2313" s="113">
        <v>42171</v>
      </c>
      <c r="C2313">
        <v>198.19</v>
      </c>
      <c r="D2313">
        <f t="shared" si="75"/>
        <v>-0.25295891443648705</v>
      </c>
      <c r="E2313">
        <v>1.5159937338926242E-3</v>
      </c>
      <c r="G2313">
        <v>2311</v>
      </c>
      <c r="H2313">
        <f t="shared" ca="1" si="76"/>
        <v>3.852443848813298E-3</v>
      </c>
    </row>
    <row r="2314" spans="2:8" x14ac:dyDescent="0.3">
      <c r="B2314" s="113">
        <v>43046</v>
      </c>
      <c r="C2314">
        <v>265.3</v>
      </c>
      <c r="D2314">
        <f t="shared" si="75"/>
        <v>0.32530722349885105</v>
      </c>
      <c r="E2314">
        <v>1.5100037750095665E-3</v>
      </c>
      <c r="G2314">
        <v>2312</v>
      </c>
      <c r="H2314">
        <f t="shared" ca="1" si="76"/>
        <v>-6.0530445658789388E-3</v>
      </c>
    </row>
    <row r="2315" spans="2:8" x14ac:dyDescent="0.3">
      <c r="B2315" s="113">
        <v>41253</v>
      </c>
      <c r="C2315">
        <v>200.18</v>
      </c>
      <c r="D2315">
        <f t="shared" si="75"/>
        <v>-0.19405749255173521</v>
      </c>
      <c r="E2315">
        <v>1.5009005403242514E-3</v>
      </c>
      <c r="G2315">
        <v>2313</v>
      </c>
      <c r="H2315">
        <f t="shared" ca="1" si="76"/>
        <v>-3.9268661122783224E-2</v>
      </c>
    </row>
    <row r="2316" spans="2:8" x14ac:dyDescent="0.3">
      <c r="B2316" s="113">
        <v>41996</v>
      </c>
      <c r="C2316">
        <v>248.38</v>
      </c>
      <c r="D2316">
        <f t="shared" si="75"/>
        <v>1.170015726017823</v>
      </c>
      <c r="E2316">
        <v>1.4918753276077761E-3</v>
      </c>
      <c r="G2316">
        <v>2314</v>
      </c>
      <c r="H2316">
        <f t="shared" ca="1" si="76"/>
        <v>-2.0192729262131691E-2</v>
      </c>
    </row>
    <row r="2317" spans="2:8" x14ac:dyDescent="0.3">
      <c r="B2317" s="113">
        <v>40609</v>
      </c>
      <c r="C2317">
        <v>114.46</v>
      </c>
      <c r="D2317">
        <f t="shared" si="75"/>
        <v>-0.57575982209043741</v>
      </c>
      <c r="E2317">
        <v>1.487444220841609E-3</v>
      </c>
      <c r="G2317">
        <v>2315</v>
      </c>
      <c r="H2317">
        <f t="shared" ca="1" si="76"/>
        <v>-2.4334754753997143E-2</v>
      </c>
    </row>
    <row r="2318" spans="2:8" x14ac:dyDescent="0.3">
      <c r="B2318" s="113">
        <v>43111</v>
      </c>
      <c r="C2318">
        <v>269.8</v>
      </c>
      <c r="D2318">
        <f t="shared" si="75"/>
        <v>18.970392301998523</v>
      </c>
      <c r="E2318">
        <v>1.4847809948033933E-3</v>
      </c>
      <c r="G2318">
        <v>2316</v>
      </c>
      <c r="H2318">
        <f t="shared" ca="1" si="76"/>
        <v>-6.3814374375718097E-3</v>
      </c>
    </row>
    <row r="2319" spans="2:8" x14ac:dyDescent="0.3">
      <c r="B2319" s="113">
        <v>37574</v>
      </c>
      <c r="C2319">
        <v>13.51</v>
      </c>
      <c r="D2319">
        <f t="shared" si="75"/>
        <v>-0.93344827586206902</v>
      </c>
      <c r="E2319">
        <v>1.4825796886582337E-3</v>
      </c>
      <c r="G2319">
        <v>2317</v>
      </c>
      <c r="H2319">
        <f t="shared" ca="1" si="76"/>
        <v>-9.8671470500671689E-3</v>
      </c>
    </row>
    <row r="2320" spans="2:8" x14ac:dyDescent="0.3">
      <c r="B2320" s="113">
        <v>44378</v>
      </c>
      <c r="C2320">
        <v>203</v>
      </c>
      <c r="D2320">
        <f t="shared" si="75"/>
        <v>-4.560388368557872E-3</v>
      </c>
      <c r="E2320">
        <v>1.480019733596504E-3</v>
      </c>
      <c r="G2320">
        <v>2318</v>
      </c>
      <c r="H2320">
        <f t="shared" ca="1" si="76"/>
        <v>-1.2376278933852554E-2</v>
      </c>
    </row>
    <row r="2321" spans="2:8" x14ac:dyDescent="0.3">
      <c r="B2321" s="113">
        <v>41367</v>
      </c>
      <c r="C2321">
        <v>203.93</v>
      </c>
      <c r="D2321">
        <f t="shared" si="75"/>
        <v>-0.14351112977740441</v>
      </c>
      <c r="E2321">
        <v>1.473260325099501E-3</v>
      </c>
      <c r="G2321">
        <v>2319</v>
      </c>
      <c r="H2321">
        <f t="shared" ca="1" si="76"/>
        <v>3.8595283528080934E-2</v>
      </c>
    </row>
    <row r="2322" spans="2:8" x14ac:dyDescent="0.3">
      <c r="B2322" s="113">
        <v>44468</v>
      </c>
      <c r="C2322">
        <v>238.1</v>
      </c>
      <c r="D2322">
        <f t="shared" si="75"/>
        <v>0.73163636363636364</v>
      </c>
      <c r="E2322">
        <v>1.4721345951629625E-3</v>
      </c>
      <c r="G2322">
        <v>2320</v>
      </c>
      <c r="H2322">
        <f t="shared" ca="1" si="76"/>
        <v>-8.9246373964004949E-3</v>
      </c>
    </row>
    <row r="2323" spans="2:8" x14ac:dyDescent="0.3">
      <c r="B2323" s="113">
        <v>40746</v>
      </c>
      <c r="C2323">
        <v>137.5</v>
      </c>
      <c r="D2323">
        <f t="shared" si="75"/>
        <v>0.5366562360303978</v>
      </c>
      <c r="E2323">
        <v>1.4566642388928522E-3</v>
      </c>
      <c r="G2323">
        <v>2321</v>
      </c>
      <c r="H2323">
        <f t="shared" ca="1" si="76"/>
        <v>1.1659969785145377E-2</v>
      </c>
    </row>
    <row r="2324" spans="2:8" x14ac:dyDescent="0.3">
      <c r="B2324" s="113">
        <v>40296</v>
      </c>
      <c r="C2324">
        <v>89.48</v>
      </c>
      <c r="D2324">
        <f t="shared" si="75"/>
        <v>-0.57217308152043989</v>
      </c>
      <c r="E2324">
        <v>1.4549524342474501E-3</v>
      </c>
      <c r="G2324">
        <v>2322</v>
      </c>
      <c r="H2324">
        <f t="shared" ca="1" si="76"/>
        <v>1.8216381694403937E-2</v>
      </c>
    </row>
    <row r="2325" spans="2:8" x14ac:dyDescent="0.3">
      <c r="B2325" s="113">
        <v>44252</v>
      </c>
      <c r="C2325">
        <v>209.15</v>
      </c>
      <c r="D2325">
        <f t="shared" si="75"/>
        <v>-2.5396085740913274E-2</v>
      </c>
      <c r="E2325">
        <v>1.4364376346660828E-3</v>
      </c>
      <c r="G2325">
        <v>2323</v>
      </c>
      <c r="H2325">
        <f t="shared" ca="1" si="76"/>
        <v>3.0355807273945223E-2</v>
      </c>
    </row>
    <row r="2326" spans="2:8" x14ac:dyDescent="0.3">
      <c r="B2326" s="113">
        <v>44588</v>
      </c>
      <c r="C2326">
        <v>214.6</v>
      </c>
      <c r="D2326">
        <f t="shared" si="75"/>
        <v>-0.14365522745411013</v>
      </c>
      <c r="E2326">
        <v>1.3999066728883946E-3</v>
      </c>
      <c r="G2326">
        <v>2324</v>
      </c>
      <c r="H2326">
        <f t="shared" ca="1" si="76"/>
        <v>-2.4250384356381011E-2</v>
      </c>
    </row>
    <row r="2327" spans="2:8" x14ac:dyDescent="0.3">
      <c r="B2327" s="113">
        <v>42572</v>
      </c>
      <c r="C2327">
        <v>250.6</v>
      </c>
      <c r="D2327">
        <f t="shared" si="75"/>
        <v>16.426981919332405</v>
      </c>
      <c r="E2327">
        <v>1.3986013986013758E-3</v>
      </c>
      <c r="G2327">
        <v>2325</v>
      </c>
      <c r="H2327">
        <f t="shared" ca="1" si="76"/>
        <v>6.8085422230644644E-3</v>
      </c>
    </row>
    <row r="2328" spans="2:8" x14ac:dyDescent="0.3">
      <c r="B2328" s="113">
        <v>37546</v>
      </c>
      <c r="C2328">
        <v>14.38</v>
      </c>
      <c r="D2328">
        <f t="shared" si="75"/>
        <v>-0.33395090319592402</v>
      </c>
      <c r="E2328">
        <v>1.392757660167225E-3</v>
      </c>
      <c r="G2328">
        <v>2326</v>
      </c>
      <c r="H2328">
        <f t="shared" ca="1" si="76"/>
        <v>-1.3646897574597255E-2</v>
      </c>
    </row>
    <row r="2329" spans="2:8" x14ac:dyDescent="0.3">
      <c r="B2329" s="113">
        <v>37979</v>
      </c>
      <c r="C2329">
        <v>21.59</v>
      </c>
      <c r="D2329">
        <f t="shared" si="75"/>
        <v>0.49308437067773159</v>
      </c>
      <c r="E2329">
        <v>1.3914656771800158E-3</v>
      </c>
      <c r="G2329">
        <v>2327</v>
      </c>
      <c r="H2329">
        <f t="shared" ca="1" si="76"/>
        <v>-3.432140087513589E-3</v>
      </c>
    </row>
    <row r="2330" spans="2:8" x14ac:dyDescent="0.3">
      <c r="B2330" s="113">
        <v>37526</v>
      </c>
      <c r="C2330">
        <v>14.46</v>
      </c>
      <c r="D2330">
        <f t="shared" si="75"/>
        <v>-0.75051759834368525</v>
      </c>
      <c r="E2330">
        <v>1.3850415512466309E-3</v>
      </c>
      <c r="G2330">
        <v>2328</v>
      </c>
      <c r="H2330">
        <f t="shared" ca="1" si="76"/>
        <v>1.1157500034998061E-2</v>
      </c>
    </row>
    <row r="2331" spans="2:8" x14ac:dyDescent="0.3">
      <c r="B2331" s="113">
        <v>39114</v>
      </c>
      <c r="C2331">
        <v>57.96</v>
      </c>
      <c r="D2331">
        <f t="shared" si="75"/>
        <v>-0.77163120567375887</v>
      </c>
      <c r="E2331">
        <v>1.3821700069108205E-3</v>
      </c>
      <c r="G2331">
        <v>2329</v>
      </c>
      <c r="H2331">
        <f t="shared" ca="1" si="76"/>
        <v>6.3434443851897735E-3</v>
      </c>
    </row>
    <row r="2332" spans="2:8" x14ac:dyDescent="0.3">
      <c r="B2332" s="113">
        <v>42608</v>
      </c>
      <c r="C2332">
        <v>253.8</v>
      </c>
      <c r="D2332">
        <f t="shared" si="75"/>
        <v>-0.12738525012893248</v>
      </c>
      <c r="E2332">
        <v>1.3809429867824925E-3</v>
      </c>
      <c r="G2332">
        <v>2330</v>
      </c>
      <c r="H2332">
        <f t="shared" ca="1" si="76"/>
        <v>7.5953400665270156E-3</v>
      </c>
    </row>
    <row r="2333" spans="2:8" x14ac:dyDescent="0.3">
      <c r="B2333" s="113">
        <v>43612</v>
      </c>
      <c r="C2333">
        <v>290.85000000000002</v>
      </c>
      <c r="D2333">
        <f t="shared" si="75"/>
        <v>18.989690721649485</v>
      </c>
      <c r="E2333">
        <v>1.3771733516957621E-3</v>
      </c>
      <c r="G2333">
        <v>2331</v>
      </c>
      <c r="H2333">
        <f t="shared" ca="1" si="76"/>
        <v>-3.221264636872835E-3</v>
      </c>
    </row>
    <row r="2334" spans="2:8" x14ac:dyDescent="0.3">
      <c r="B2334" s="113">
        <v>37522</v>
      </c>
      <c r="C2334">
        <v>14.55</v>
      </c>
      <c r="D2334">
        <f t="shared" si="75"/>
        <v>-0.93402856495125819</v>
      </c>
      <c r="E2334">
        <v>1.3764624913972024E-3</v>
      </c>
      <c r="G2334">
        <v>2332</v>
      </c>
      <c r="H2334">
        <f t="shared" ca="1" si="76"/>
        <v>-3.9773924256454986E-3</v>
      </c>
    </row>
    <row r="2335" spans="2:8" x14ac:dyDescent="0.3">
      <c r="B2335" s="113">
        <v>44566</v>
      </c>
      <c r="C2335">
        <v>220.55</v>
      </c>
      <c r="D2335">
        <f t="shared" si="75"/>
        <v>-0.25211936249576117</v>
      </c>
      <c r="E2335">
        <v>1.3620885357548756E-3</v>
      </c>
      <c r="G2335">
        <v>2333</v>
      </c>
      <c r="H2335">
        <f t="shared" ca="1" si="76"/>
        <v>1.6857262911312933E-2</v>
      </c>
    </row>
    <row r="2336" spans="2:8" x14ac:dyDescent="0.3">
      <c r="B2336" s="113">
        <v>43537</v>
      </c>
      <c r="C2336">
        <v>294.89999999999998</v>
      </c>
      <c r="D2336">
        <f t="shared" si="75"/>
        <v>0.64960563852995445</v>
      </c>
      <c r="E2336">
        <v>1.3582342954158821E-3</v>
      </c>
      <c r="G2336">
        <v>2334</v>
      </c>
      <c r="H2336">
        <f t="shared" ca="1" si="76"/>
        <v>-3.1604978401336963E-2</v>
      </c>
    </row>
    <row r="2337" spans="2:8" x14ac:dyDescent="0.3">
      <c r="B2337" s="113">
        <v>41165</v>
      </c>
      <c r="C2337">
        <v>178.77</v>
      </c>
      <c r="D2337">
        <f t="shared" si="75"/>
        <v>-0.20546666666666663</v>
      </c>
      <c r="E2337">
        <v>1.3443118803562937E-3</v>
      </c>
      <c r="G2337">
        <v>2335</v>
      </c>
      <c r="H2337">
        <f t="shared" ca="1" si="76"/>
        <v>-2.0321833522529275E-4</v>
      </c>
    </row>
    <row r="2338" spans="2:8" x14ac:dyDescent="0.3">
      <c r="B2338" s="113">
        <v>42730</v>
      </c>
      <c r="C2338">
        <v>225</v>
      </c>
      <c r="D2338">
        <f t="shared" si="75"/>
        <v>1.1351300056936802</v>
      </c>
      <c r="E2338">
        <v>1.3351134846462456E-3</v>
      </c>
      <c r="G2338">
        <v>2336</v>
      </c>
      <c r="H2338">
        <f t="shared" ca="1" si="76"/>
        <v>1.3477576717999656E-2</v>
      </c>
    </row>
    <row r="2339" spans="2:8" x14ac:dyDescent="0.3">
      <c r="B2339" s="113">
        <v>40399</v>
      </c>
      <c r="C2339">
        <v>105.38</v>
      </c>
      <c r="D2339">
        <f t="shared" si="75"/>
        <v>-0.53351040283311202</v>
      </c>
      <c r="E2339">
        <v>1.3302926643861705E-3</v>
      </c>
      <c r="G2339">
        <v>2337</v>
      </c>
      <c r="H2339">
        <f t="shared" ca="1" si="76"/>
        <v>6.2370579932352994E-3</v>
      </c>
    </row>
    <row r="2340" spans="2:8" x14ac:dyDescent="0.3">
      <c r="B2340" s="113">
        <v>41759</v>
      </c>
      <c r="C2340">
        <v>225.9</v>
      </c>
      <c r="D2340">
        <f t="shared" si="75"/>
        <v>0.49840806579994706</v>
      </c>
      <c r="E2340">
        <v>1.3297872340426037E-3</v>
      </c>
      <c r="G2340">
        <v>2338</v>
      </c>
      <c r="H2340">
        <f t="shared" ca="1" si="76"/>
        <v>2.7980760096365662E-2</v>
      </c>
    </row>
    <row r="2341" spans="2:8" x14ac:dyDescent="0.3">
      <c r="B2341" s="113">
        <v>41003</v>
      </c>
      <c r="C2341">
        <v>150.76</v>
      </c>
      <c r="D2341">
        <f t="shared" si="75"/>
        <v>-0.42941488153811225</v>
      </c>
      <c r="E2341">
        <v>1.3283740701380755E-3</v>
      </c>
      <c r="G2341">
        <v>2339</v>
      </c>
      <c r="H2341">
        <f t="shared" ca="1" si="76"/>
        <v>-2.3084294476855262E-2</v>
      </c>
    </row>
    <row r="2342" spans="2:8" x14ac:dyDescent="0.3">
      <c r="B2342" s="113">
        <v>44736</v>
      </c>
      <c r="C2342">
        <v>264.22000000000003</v>
      </c>
      <c r="D2342">
        <f t="shared" si="75"/>
        <v>-1.4361300075585617E-3</v>
      </c>
      <c r="E2342">
        <v>1.3264107325577849E-3</v>
      </c>
      <c r="G2342">
        <v>2340</v>
      </c>
      <c r="H2342">
        <f t="shared" ca="1" si="76"/>
        <v>-5.2921033279738957E-3</v>
      </c>
    </row>
    <row r="2343" spans="2:8" x14ac:dyDescent="0.3">
      <c r="B2343" s="113">
        <v>43084</v>
      </c>
      <c r="C2343">
        <v>264.60000000000002</v>
      </c>
      <c r="D2343">
        <f t="shared" si="75"/>
        <v>3.3598615916955024</v>
      </c>
      <c r="E2343">
        <v>1.3245033112583642E-3</v>
      </c>
      <c r="G2343">
        <v>2341</v>
      </c>
      <c r="H2343">
        <f t="shared" ca="1" si="76"/>
        <v>1.9666027109612317E-3</v>
      </c>
    </row>
    <row r="2344" spans="2:8" x14ac:dyDescent="0.3">
      <c r="B2344" s="113">
        <v>38974</v>
      </c>
      <c r="C2344">
        <v>60.69</v>
      </c>
      <c r="D2344">
        <f t="shared" si="75"/>
        <v>-0.80072237727795104</v>
      </c>
      <c r="E2344">
        <v>1.3199142055766095E-3</v>
      </c>
      <c r="G2344">
        <v>2342</v>
      </c>
      <c r="H2344">
        <f t="shared" ca="1" si="76"/>
        <v>4.7488398024435254E-2</v>
      </c>
    </row>
    <row r="2345" spans="2:8" x14ac:dyDescent="0.3">
      <c r="B2345" s="113">
        <v>43581</v>
      </c>
      <c r="C2345">
        <v>304.55</v>
      </c>
      <c r="D2345">
        <f t="shared" si="75"/>
        <v>18.931282722513092</v>
      </c>
      <c r="E2345">
        <v>1.315140555646997E-3</v>
      </c>
      <c r="G2345">
        <v>2343</v>
      </c>
      <c r="H2345">
        <f t="shared" ca="1" si="76"/>
        <v>-7.350098992150474E-3</v>
      </c>
    </row>
    <row r="2346" spans="2:8" x14ac:dyDescent="0.3">
      <c r="B2346" s="113">
        <v>37488</v>
      </c>
      <c r="C2346">
        <v>15.28</v>
      </c>
      <c r="D2346">
        <f t="shared" si="75"/>
        <v>-0.92025052192066803</v>
      </c>
      <c r="E2346">
        <v>1.3106159895150441E-3</v>
      </c>
      <c r="G2346">
        <v>2344</v>
      </c>
      <c r="H2346">
        <f t="shared" ca="1" si="76"/>
        <v>-1.1995157139803009E-2</v>
      </c>
    </row>
    <row r="2347" spans="2:8" x14ac:dyDescent="0.3">
      <c r="B2347" s="113">
        <v>44077</v>
      </c>
      <c r="C2347">
        <v>191.6</v>
      </c>
      <c r="D2347">
        <f t="shared" si="75"/>
        <v>-3.9020964991473575E-2</v>
      </c>
      <c r="E2347">
        <v>1.3065064018813694E-3</v>
      </c>
      <c r="G2347">
        <v>2345</v>
      </c>
      <c r="H2347">
        <f t="shared" ca="1" si="76"/>
        <v>1.2636478113117265E-2</v>
      </c>
    </row>
    <row r="2348" spans="2:8" x14ac:dyDescent="0.3">
      <c r="B2348" s="113">
        <v>41319</v>
      </c>
      <c r="C2348">
        <v>199.38</v>
      </c>
      <c r="D2348">
        <f t="shared" si="75"/>
        <v>7.6125269978401731</v>
      </c>
      <c r="E2348">
        <v>1.3057452792285601E-3</v>
      </c>
      <c r="G2348">
        <v>2346</v>
      </c>
      <c r="H2348">
        <f t="shared" ca="1" si="76"/>
        <v>4.7401829457081749E-3</v>
      </c>
    </row>
    <row r="2349" spans="2:8" x14ac:dyDescent="0.3">
      <c r="B2349" s="113">
        <v>38208</v>
      </c>
      <c r="C2349">
        <v>23.15</v>
      </c>
      <c r="D2349">
        <f t="shared" si="75"/>
        <v>-0.72739048516250593</v>
      </c>
      <c r="E2349">
        <v>1.2975778546711757E-3</v>
      </c>
      <c r="G2349">
        <v>2347</v>
      </c>
      <c r="H2349">
        <f t="shared" ca="1" si="76"/>
        <v>3.7498080110199912E-3</v>
      </c>
    </row>
    <row r="2350" spans="2:8" x14ac:dyDescent="0.3">
      <c r="B2350" s="113">
        <v>40176</v>
      </c>
      <c r="C2350">
        <v>84.92</v>
      </c>
      <c r="D2350">
        <f t="shared" si="75"/>
        <v>-0.35890080024158239</v>
      </c>
      <c r="E2350">
        <v>1.2970168612191891E-3</v>
      </c>
      <c r="G2350">
        <v>2348</v>
      </c>
      <c r="H2350">
        <f t="shared" ca="1" si="76"/>
        <v>9.007956424038779E-3</v>
      </c>
    </row>
    <row r="2351" spans="2:8" x14ac:dyDescent="0.3">
      <c r="B2351" s="113">
        <v>40913</v>
      </c>
      <c r="C2351">
        <v>132.46</v>
      </c>
      <c r="D2351">
        <f t="shared" si="75"/>
        <v>0.54472303206997097</v>
      </c>
      <c r="E2351">
        <v>1.285055559755204E-3</v>
      </c>
      <c r="G2351">
        <v>2349</v>
      </c>
      <c r="H2351">
        <f t="shared" ca="1" si="76"/>
        <v>1.8001977016186908E-2</v>
      </c>
    </row>
    <row r="2352" spans="2:8" x14ac:dyDescent="0.3">
      <c r="B2352" s="113">
        <v>40100</v>
      </c>
      <c r="C2352">
        <v>85.75</v>
      </c>
      <c r="D2352">
        <f t="shared" si="75"/>
        <v>-0.68687237538798618</v>
      </c>
      <c r="E2352">
        <v>1.284446520317602E-3</v>
      </c>
      <c r="G2352">
        <v>2350</v>
      </c>
      <c r="H2352">
        <f t="shared" ca="1" si="76"/>
        <v>-1.6293108178172359E-2</v>
      </c>
    </row>
    <row r="2353" spans="2:8" x14ac:dyDescent="0.3">
      <c r="B2353" s="113">
        <v>43644</v>
      </c>
      <c r="C2353">
        <v>273.85000000000002</v>
      </c>
      <c r="D2353">
        <f t="shared" si="75"/>
        <v>0.16393233594015649</v>
      </c>
      <c r="E2353">
        <v>1.2797074954296992E-3</v>
      </c>
      <c r="G2353">
        <v>2351</v>
      </c>
      <c r="H2353">
        <f t="shared" ca="1" si="76"/>
        <v>2.7555122328413485E-2</v>
      </c>
    </row>
    <row r="2354" spans="2:8" x14ac:dyDescent="0.3">
      <c r="B2354" s="113">
        <v>41942</v>
      </c>
      <c r="C2354">
        <v>235.28</v>
      </c>
      <c r="D2354">
        <f t="shared" si="75"/>
        <v>0.19918450560652404</v>
      </c>
      <c r="E2354">
        <v>1.2767044003745484E-3</v>
      </c>
      <c r="G2354">
        <v>2352</v>
      </c>
      <c r="H2354">
        <f t="shared" ca="1" si="76"/>
        <v>8.6874433164739282E-3</v>
      </c>
    </row>
    <row r="2355" spans="2:8" x14ac:dyDescent="0.3">
      <c r="B2355" s="113">
        <v>44168</v>
      </c>
      <c r="C2355">
        <v>196.2</v>
      </c>
      <c r="D2355">
        <f t="shared" si="75"/>
        <v>2.0990364871268361</v>
      </c>
      <c r="E2355">
        <v>1.2758356723653994E-3</v>
      </c>
      <c r="G2355">
        <v>2353</v>
      </c>
      <c r="H2355">
        <f t="shared" ca="1" si="76"/>
        <v>2.5073974612881578E-2</v>
      </c>
    </row>
    <row r="2356" spans="2:8" x14ac:dyDescent="0.3">
      <c r="B2356" s="113">
        <v>39517</v>
      </c>
      <c r="C2356">
        <v>63.31</v>
      </c>
      <c r="D2356">
        <f t="shared" si="75"/>
        <v>-0.60044177974124324</v>
      </c>
      <c r="E2356">
        <v>1.265222204649777E-3</v>
      </c>
      <c r="G2356">
        <v>2354</v>
      </c>
      <c r="H2356">
        <f t="shared" ca="1" si="76"/>
        <v>-1.7243904664620897E-2</v>
      </c>
    </row>
    <row r="2357" spans="2:8" x14ac:dyDescent="0.3">
      <c r="B2357" s="113">
        <v>43962</v>
      </c>
      <c r="C2357">
        <v>158.44999999999999</v>
      </c>
      <c r="D2357">
        <f t="shared" si="75"/>
        <v>-0.13292109007332834</v>
      </c>
      <c r="E2357">
        <v>1.2638230647708602E-3</v>
      </c>
      <c r="G2357">
        <v>2355</v>
      </c>
      <c r="H2357">
        <f t="shared" ca="1" si="76"/>
        <v>1.0816184430254011E-2</v>
      </c>
    </row>
    <row r="2358" spans="2:8" x14ac:dyDescent="0.3">
      <c r="B2358" s="113">
        <v>41187</v>
      </c>
      <c r="C2358">
        <v>182.74</v>
      </c>
      <c r="D2358">
        <f t="shared" si="75"/>
        <v>-0.23539748953974893</v>
      </c>
      <c r="E2358">
        <v>1.2602049202784407E-3</v>
      </c>
      <c r="G2358">
        <v>2356</v>
      </c>
      <c r="H2358">
        <f t="shared" ca="1" si="76"/>
        <v>-1.4887719870578841E-2</v>
      </c>
    </row>
    <row r="2359" spans="2:8" x14ac:dyDescent="0.3">
      <c r="B2359" s="113">
        <v>42542</v>
      </c>
      <c r="C2359">
        <v>239</v>
      </c>
      <c r="D2359">
        <f t="shared" si="75"/>
        <v>3.2816194912217842</v>
      </c>
      <c r="E2359">
        <v>1.2568077084206594E-3</v>
      </c>
      <c r="G2359">
        <v>2357</v>
      </c>
      <c r="H2359">
        <f t="shared" ca="1" si="76"/>
        <v>-1.4285401431984469E-2</v>
      </c>
    </row>
    <row r="2360" spans="2:8" x14ac:dyDescent="0.3">
      <c r="B2360" s="113">
        <v>38936</v>
      </c>
      <c r="C2360">
        <v>55.82</v>
      </c>
      <c r="D2360">
        <f t="shared" si="75"/>
        <v>-0.73163461538461538</v>
      </c>
      <c r="E2360">
        <v>1.2556053811659245E-3</v>
      </c>
      <c r="G2360">
        <v>2358</v>
      </c>
      <c r="H2360">
        <f t="shared" ca="1" si="76"/>
        <v>-3.4482640812036557E-3</v>
      </c>
    </row>
    <row r="2361" spans="2:8" x14ac:dyDescent="0.3">
      <c r="B2361" s="113">
        <v>42258</v>
      </c>
      <c r="C2361">
        <v>208</v>
      </c>
      <c r="D2361">
        <f t="shared" si="75"/>
        <v>0.85532066720185529</v>
      </c>
      <c r="E2361">
        <v>1.2515644555694181E-3</v>
      </c>
      <c r="G2361">
        <v>2359</v>
      </c>
      <c r="H2361">
        <f t="shared" ca="1" si="76"/>
        <v>1.8434812278145248E-2</v>
      </c>
    </row>
    <row r="2362" spans="2:8" x14ac:dyDescent="0.3">
      <c r="B2362" s="113">
        <v>40567</v>
      </c>
      <c r="C2362">
        <v>112.11</v>
      </c>
      <c r="D2362">
        <f t="shared" si="75"/>
        <v>-0.12761652789666167</v>
      </c>
      <c r="E2362">
        <v>1.2503349111369169E-3</v>
      </c>
      <c r="G2362">
        <v>2360</v>
      </c>
      <c r="H2362">
        <f t="shared" ca="1" si="76"/>
        <v>-2.4780127327008683E-2</v>
      </c>
    </row>
    <row r="2363" spans="2:8" x14ac:dyDescent="0.3">
      <c r="B2363" s="113">
        <v>40722</v>
      </c>
      <c r="C2363">
        <v>128.51</v>
      </c>
      <c r="D2363">
        <f t="shared" si="75"/>
        <v>-0.20897451680413651</v>
      </c>
      <c r="E2363">
        <v>1.2465913517724705E-3</v>
      </c>
      <c r="G2363">
        <v>2361</v>
      </c>
      <c r="H2363">
        <f t="shared" ca="1" si="76"/>
        <v>-2.8775412994466225E-2</v>
      </c>
    </row>
    <row r="2364" spans="2:8" x14ac:dyDescent="0.3">
      <c r="B2364" s="113">
        <v>41023</v>
      </c>
      <c r="C2364">
        <v>162.46</v>
      </c>
      <c r="D2364">
        <f t="shared" si="75"/>
        <v>-0.20924799221221702</v>
      </c>
      <c r="E2364">
        <v>1.2325896708986631E-3</v>
      </c>
      <c r="G2364">
        <v>2362</v>
      </c>
      <c r="H2364">
        <f t="shared" ca="1" si="76"/>
        <v>-4.7418378790002238E-3</v>
      </c>
    </row>
    <row r="2365" spans="2:8" x14ac:dyDescent="0.3">
      <c r="B2365" s="113">
        <v>44270</v>
      </c>
      <c r="C2365">
        <v>205.45</v>
      </c>
      <c r="D2365">
        <f t="shared" si="75"/>
        <v>-1.6515078985160445E-2</v>
      </c>
      <c r="E2365">
        <v>1.2183235867446395E-3</v>
      </c>
      <c r="G2365">
        <v>2363</v>
      </c>
      <c r="H2365">
        <f t="shared" ca="1" si="76"/>
        <v>-7.9280168265906531E-3</v>
      </c>
    </row>
    <row r="2366" spans="2:8" x14ac:dyDescent="0.3">
      <c r="B2366" s="113">
        <v>44420</v>
      </c>
      <c r="C2366">
        <v>208.9</v>
      </c>
      <c r="D2366">
        <f t="shared" si="75"/>
        <v>0.24604831494184312</v>
      </c>
      <c r="E2366">
        <v>1.1981787682722263E-3</v>
      </c>
      <c r="G2366">
        <v>2364</v>
      </c>
      <c r="H2366">
        <f t="shared" ca="1" si="76"/>
        <v>-2.1596894776204561E-2</v>
      </c>
    </row>
    <row r="2367" spans="2:8" x14ac:dyDescent="0.3">
      <c r="B2367" s="113">
        <v>44125</v>
      </c>
      <c r="C2367">
        <v>167.65</v>
      </c>
      <c r="D2367">
        <f t="shared" si="75"/>
        <v>-0.200715137067938</v>
      </c>
      <c r="E2367">
        <v>1.1943863839953244E-3</v>
      </c>
      <c r="G2367">
        <v>2365</v>
      </c>
      <c r="H2367">
        <f t="shared" ca="1" si="76"/>
        <v>6.1946380152156635E-3</v>
      </c>
    </row>
    <row r="2368" spans="2:8" x14ac:dyDescent="0.3">
      <c r="B2368" s="113">
        <v>44441</v>
      </c>
      <c r="C2368">
        <v>209.75</v>
      </c>
      <c r="D2368">
        <f t="shared" si="75"/>
        <v>0.55094646554273874</v>
      </c>
      <c r="E2368">
        <v>1.1933174224343676E-3</v>
      </c>
      <c r="G2368">
        <v>2366</v>
      </c>
      <c r="H2368">
        <f t="shared" ca="1" si="76"/>
        <v>-5.7787944522795882E-3</v>
      </c>
    </row>
    <row r="2369" spans="2:8" x14ac:dyDescent="0.3">
      <c r="B2369" s="113">
        <v>40900</v>
      </c>
      <c r="C2369">
        <v>135.24</v>
      </c>
      <c r="D2369">
        <f t="shared" si="75"/>
        <v>0.22046746683512325</v>
      </c>
      <c r="E2369">
        <v>1.1844832691737975E-3</v>
      </c>
      <c r="G2369">
        <v>2367</v>
      </c>
      <c r="H2369">
        <f t="shared" ca="1" si="76"/>
        <v>2.2636511645408247E-3</v>
      </c>
    </row>
    <row r="2370" spans="2:8" x14ac:dyDescent="0.3">
      <c r="B2370" s="113">
        <v>40533</v>
      </c>
      <c r="C2370">
        <v>110.81</v>
      </c>
      <c r="D2370">
        <f t="shared" si="75"/>
        <v>0.84591037814426118</v>
      </c>
      <c r="E2370">
        <v>1.1745572822551087E-3</v>
      </c>
      <c r="G2370">
        <v>2368</v>
      </c>
      <c r="H2370">
        <f t="shared" ca="1" si="76"/>
        <v>-1.5912136609966602E-2</v>
      </c>
    </row>
    <row r="2371" spans="2:8" x14ac:dyDescent="0.3">
      <c r="B2371" s="113">
        <v>38946</v>
      </c>
      <c r="C2371">
        <v>60.03</v>
      </c>
      <c r="D2371">
        <f t="shared" ref="D2371:D2434" si="77">(C2371-C2372)/C2372</f>
        <v>-0.74188416390764067</v>
      </c>
      <c r="E2371">
        <v>1.1674449633088772E-3</v>
      </c>
      <c r="G2371">
        <v>2369</v>
      </c>
      <c r="H2371">
        <f t="shared" ca="1" si="76"/>
        <v>-1.177836135687955E-2</v>
      </c>
    </row>
    <row r="2372" spans="2:8" x14ac:dyDescent="0.3">
      <c r="B2372" s="113">
        <v>41887</v>
      </c>
      <c r="C2372">
        <v>232.57</v>
      </c>
      <c r="D2372">
        <f t="shared" si="77"/>
        <v>0.57525060959089691</v>
      </c>
      <c r="E2372">
        <v>1.1622901420576058E-3</v>
      </c>
      <c r="G2372">
        <v>2370</v>
      </c>
      <c r="H2372">
        <f t="shared" ref="H2372:H2435" ca="1" si="78">_xlfn.NORM.INV(RAND(),$L$4,$L$6)</f>
        <v>1.2570273428438281E-2</v>
      </c>
    </row>
    <row r="2373" spans="2:8" x14ac:dyDescent="0.3">
      <c r="B2373" s="113">
        <v>40994</v>
      </c>
      <c r="C2373">
        <v>147.63999999999999</v>
      </c>
      <c r="D2373">
        <f t="shared" si="77"/>
        <v>1.1124624409786805</v>
      </c>
      <c r="E2373">
        <v>1.1527768359665526E-3</v>
      </c>
      <c r="G2373">
        <v>2371</v>
      </c>
      <c r="H2373">
        <f t="shared" ca="1" si="78"/>
        <v>-6.8602503088140932E-3</v>
      </c>
    </row>
    <row r="2374" spans="2:8" x14ac:dyDescent="0.3">
      <c r="B2374" s="113">
        <v>40007</v>
      </c>
      <c r="C2374">
        <v>69.89</v>
      </c>
      <c r="D2374">
        <f t="shared" si="77"/>
        <v>0.14124755062050945</v>
      </c>
      <c r="E2374">
        <v>1.1459676264145293E-3</v>
      </c>
      <c r="G2374">
        <v>2372</v>
      </c>
      <c r="H2374">
        <f t="shared" ca="1" si="78"/>
        <v>2.2713005091250758E-3</v>
      </c>
    </row>
    <row r="2375" spans="2:8" x14ac:dyDescent="0.3">
      <c r="B2375" s="113">
        <v>38999</v>
      </c>
      <c r="C2375">
        <v>61.24</v>
      </c>
      <c r="D2375">
        <f t="shared" si="77"/>
        <v>-0.80061859026534266</v>
      </c>
      <c r="E2375">
        <v>1.1443518064410704E-3</v>
      </c>
      <c r="G2375">
        <v>2373</v>
      </c>
      <c r="H2375">
        <f t="shared" ca="1" si="78"/>
        <v>-3.8044516216350472E-3</v>
      </c>
    </row>
    <row r="2376" spans="2:8" x14ac:dyDescent="0.3">
      <c r="B2376" s="113">
        <v>43357</v>
      </c>
      <c r="C2376">
        <v>307.14999999999998</v>
      </c>
      <c r="D2376">
        <f t="shared" si="77"/>
        <v>0.16587587777566898</v>
      </c>
      <c r="E2376">
        <v>1.1408083441980636E-3</v>
      </c>
      <c r="G2376">
        <v>2374</v>
      </c>
      <c r="H2376">
        <f t="shared" ca="1" si="78"/>
        <v>1.4821652558001095E-3</v>
      </c>
    </row>
    <row r="2377" spans="2:8" x14ac:dyDescent="0.3">
      <c r="B2377" s="113">
        <v>42788</v>
      </c>
      <c r="C2377">
        <v>263.45</v>
      </c>
      <c r="D2377">
        <f t="shared" si="77"/>
        <v>-0.15506735086593978</v>
      </c>
      <c r="E2377">
        <v>1.1400342010260741E-3</v>
      </c>
      <c r="G2377">
        <v>2375</v>
      </c>
      <c r="H2377">
        <f t="shared" ca="1" si="78"/>
        <v>2.2261239159289941E-2</v>
      </c>
    </row>
    <row r="2378" spans="2:8" x14ac:dyDescent="0.3">
      <c r="B2378" s="113">
        <v>42886</v>
      </c>
      <c r="C2378">
        <v>311.8</v>
      </c>
      <c r="D2378">
        <f t="shared" si="77"/>
        <v>5.8708682238871752</v>
      </c>
      <c r="E2378">
        <v>1.1237758869803267E-3</v>
      </c>
      <c r="G2378">
        <v>2376</v>
      </c>
      <c r="H2378">
        <f t="shared" ca="1" si="78"/>
        <v>-2.6090286521291812E-3</v>
      </c>
    </row>
    <row r="2379" spans="2:8" x14ac:dyDescent="0.3">
      <c r="B2379" s="113">
        <v>38628</v>
      </c>
      <c r="C2379">
        <v>45.38</v>
      </c>
      <c r="D2379">
        <f t="shared" si="77"/>
        <v>-0.17023221795575053</v>
      </c>
      <c r="E2379">
        <v>1.1030222810501714E-3</v>
      </c>
      <c r="G2379">
        <v>2377</v>
      </c>
      <c r="H2379">
        <f t="shared" ca="1" si="78"/>
        <v>1.1858288327852889E-2</v>
      </c>
    </row>
    <row r="2380" spans="2:8" x14ac:dyDescent="0.3">
      <c r="B2380" s="113">
        <v>39308</v>
      </c>
      <c r="C2380">
        <v>54.69</v>
      </c>
      <c r="D2380">
        <f t="shared" si="77"/>
        <v>-0.8026344280043306</v>
      </c>
      <c r="E2380">
        <v>1.0982976386599884E-3</v>
      </c>
      <c r="G2380">
        <v>2378</v>
      </c>
      <c r="H2380">
        <f t="shared" ca="1" si="78"/>
        <v>1.8807545731937186E-2</v>
      </c>
    </row>
    <row r="2381" spans="2:8" x14ac:dyDescent="0.3">
      <c r="B2381" s="113">
        <v>42773</v>
      </c>
      <c r="C2381">
        <v>277.10000000000002</v>
      </c>
      <c r="D2381">
        <f t="shared" si="77"/>
        <v>0.86725067385444754</v>
      </c>
      <c r="E2381">
        <v>1.0838150289017752E-3</v>
      </c>
      <c r="G2381">
        <v>2379</v>
      </c>
      <c r="H2381">
        <f t="shared" ca="1" si="78"/>
        <v>9.9194568824180242E-3</v>
      </c>
    </row>
    <row r="2382" spans="2:8" x14ac:dyDescent="0.3">
      <c r="B2382" s="113">
        <v>40989</v>
      </c>
      <c r="C2382">
        <v>148.4</v>
      </c>
      <c r="D2382">
        <f t="shared" si="77"/>
        <v>-0.46848137535816614</v>
      </c>
      <c r="E2382">
        <v>1.0793308148947423E-3</v>
      </c>
      <c r="G2382">
        <v>2380</v>
      </c>
      <c r="H2382">
        <f t="shared" ca="1" si="78"/>
        <v>-9.9546270322920915E-3</v>
      </c>
    </row>
    <row r="2383" spans="2:8" x14ac:dyDescent="0.3">
      <c r="B2383" s="113">
        <v>43490</v>
      </c>
      <c r="C2383">
        <v>279.2</v>
      </c>
      <c r="D2383">
        <f t="shared" si="77"/>
        <v>0.14224931473223409</v>
      </c>
      <c r="E2383">
        <v>1.0756543564001842E-3</v>
      </c>
      <c r="G2383">
        <v>2381</v>
      </c>
      <c r="H2383">
        <f t="shared" ca="1" si="78"/>
        <v>4.3666980693612759E-3</v>
      </c>
    </row>
    <row r="2384" spans="2:8" x14ac:dyDescent="0.3">
      <c r="B2384" s="113">
        <v>42004</v>
      </c>
      <c r="C2384">
        <v>244.43</v>
      </c>
      <c r="D2384">
        <f t="shared" si="77"/>
        <v>-9.400801111746496E-4</v>
      </c>
      <c r="E2384">
        <v>1.0648318794283464E-3</v>
      </c>
      <c r="G2384">
        <v>2382</v>
      </c>
      <c r="H2384">
        <f t="shared" ca="1" si="78"/>
        <v>7.0666065037495868E-3</v>
      </c>
    </row>
    <row r="2385" spans="2:8" x14ac:dyDescent="0.3">
      <c r="B2385" s="113">
        <v>41474</v>
      </c>
      <c r="C2385">
        <v>244.66</v>
      </c>
      <c r="D2385">
        <f t="shared" si="77"/>
        <v>3.955810495007437E-2</v>
      </c>
      <c r="E2385">
        <v>1.0638297872340053E-3</v>
      </c>
      <c r="G2385">
        <v>2383</v>
      </c>
      <c r="H2385">
        <f t="shared" ca="1" si="78"/>
        <v>-2.0424902641112963E-2</v>
      </c>
    </row>
    <row r="2386" spans="2:8" x14ac:dyDescent="0.3">
      <c r="B2386" s="113">
        <v>43837</v>
      </c>
      <c r="C2386">
        <v>235.35</v>
      </c>
      <c r="D2386">
        <f t="shared" si="77"/>
        <v>7.3221357850070712</v>
      </c>
      <c r="E2386">
        <v>1.0633772862611655E-3</v>
      </c>
      <c r="G2386">
        <v>2384</v>
      </c>
      <c r="H2386">
        <f t="shared" ca="1" si="78"/>
        <v>1.0903151988021019E-2</v>
      </c>
    </row>
    <row r="2387" spans="2:8" x14ac:dyDescent="0.3">
      <c r="B2387" s="113">
        <v>38336</v>
      </c>
      <c r="C2387">
        <v>28.28</v>
      </c>
      <c r="D2387">
        <f t="shared" si="77"/>
        <v>0.49708840656431974</v>
      </c>
      <c r="E2387">
        <v>1.0619469026549074E-3</v>
      </c>
      <c r="G2387">
        <v>2385</v>
      </c>
      <c r="H2387">
        <f t="shared" ca="1" si="78"/>
        <v>4.9406197909917212E-3</v>
      </c>
    </row>
    <row r="2388" spans="2:8" x14ac:dyDescent="0.3">
      <c r="B2388" s="113">
        <v>37939</v>
      </c>
      <c r="C2388">
        <v>18.89</v>
      </c>
      <c r="D2388">
        <f t="shared" si="77"/>
        <v>-0.33485915492957741</v>
      </c>
      <c r="E2388">
        <v>1.0598834128245666E-3</v>
      </c>
      <c r="G2388">
        <v>2386</v>
      </c>
      <c r="H2388">
        <f t="shared" ca="1" si="78"/>
        <v>-3.0394804654354734E-3</v>
      </c>
    </row>
    <row r="2389" spans="2:8" x14ac:dyDescent="0.3">
      <c r="B2389" s="113">
        <v>38406</v>
      </c>
      <c r="C2389">
        <v>28.4</v>
      </c>
      <c r="D2389">
        <f t="shared" si="77"/>
        <v>-0.88074742809153894</v>
      </c>
      <c r="E2389">
        <v>1.0574550581599429E-3</v>
      </c>
      <c r="G2389">
        <v>2387</v>
      </c>
      <c r="H2389">
        <f t="shared" ca="1" si="78"/>
        <v>2.2120365955455051E-2</v>
      </c>
    </row>
    <row r="2390" spans="2:8" x14ac:dyDescent="0.3">
      <c r="B2390" s="113">
        <v>43854</v>
      </c>
      <c r="C2390">
        <v>238.15</v>
      </c>
      <c r="D2390">
        <f t="shared" si="77"/>
        <v>-2.3041474654377169E-3</v>
      </c>
      <c r="E2390">
        <v>1.0508617065994115E-3</v>
      </c>
      <c r="G2390">
        <v>2388</v>
      </c>
      <c r="H2390">
        <f t="shared" ca="1" si="78"/>
        <v>2.9675656165092418E-3</v>
      </c>
    </row>
    <row r="2391" spans="2:8" x14ac:dyDescent="0.3">
      <c r="B2391" s="113">
        <v>44466</v>
      </c>
      <c r="C2391">
        <v>238.7</v>
      </c>
      <c r="D2391">
        <f t="shared" si="77"/>
        <v>1.7528543420597396</v>
      </c>
      <c r="E2391">
        <v>1.0484378276368212E-3</v>
      </c>
      <c r="G2391">
        <v>2389</v>
      </c>
      <c r="H2391">
        <f t="shared" ca="1" si="78"/>
        <v>-1.6623221570997292E-2</v>
      </c>
    </row>
    <row r="2392" spans="2:8" x14ac:dyDescent="0.3">
      <c r="B2392" s="113">
        <v>40259</v>
      </c>
      <c r="C2392">
        <v>86.71</v>
      </c>
      <c r="D2392">
        <f t="shared" si="77"/>
        <v>1.9848537005163509</v>
      </c>
      <c r="E2392">
        <v>1.0390210113136596E-3</v>
      </c>
      <c r="G2392">
        <v>2390</v>
      </c>
      <c r="H2392">
        <f t="shared" ca="1" si="78"/>
        <v>-5.6368016042007384E-3</v>
      </c>
    </row>
    <row r="2393" spans="2:8" x14ac:dyDescent="0.3">
      <c r="B2393" s="113">
        <v>38356</v>
      </c>
      <c r="C2393">
        <v>29.05</v>
      </c>
      <c r="D2393">
        <f t="shared" si="77"/>
        <v>-0.85029631538263328</v>
      </c>
      <c r="E2393">
        <v>1.0337698139214727E-3</v>
      </c>
      <c r="G2393">
        <v>2391</v>
      </c>
      <c r="H2393">
        <f t="shared" ca="1" si="78"/>
        <v>1.573092415207121E-2</v>
      </c>
    </row>
    <row r="2394" spans="2:8" x14ac:dyDescent="0.3">
      <c r="B2394" s="113">
        <v>44029</v>
      </c>
      <c r="C2394">
        <v>194.05</v>
      </c>
      <c r="D2394">
        <f t="shared" si="77"/>
        <v>0.2482310562202496</v>
      </c>
      <c r="E2394">
        <v>1.0317255610008617E-3</v>
      </c>
      <c r="G2394">
        <v>2392</v>
      </c>
      <c r="H2394">
        <f t="shared" ca="1" si="78"/>
        <v>1.5123879709331262E-2</v>
      </c>
    </row>
    <row r="2395" spans="2:8" x14ac:dyDescent="0.3">
      <c r="B2395" s="113">
        <v>41043</v>
      </c>
      <c r="C2395">
        <v>155.46</v>
      </c>
      <c r="D2395">
        <f t="shared" si="77"/>
        <v>-0.21361727957913901</v>
      </c>
      <c r="E2395">
        <v>1.0302640051512979E-3</v>
      </c>
      <c r="G2395">
        <v>2393</v>
      </c>
      <c r="H2395">
        <f t="shared" ca="1" si="78"/>
        <v>-1.7337066225240814E-2</v>
      </c>
    </row>
    <row r="2396" spans="2:8" x14ac:dyDescent="0.3">
      <c r="B2396" s="113">
        <v>41514</v>
      </c>
      <c r="C2396">
        <v>197.69</v>
      </c>
      <c r="D2396">
        <f t="shared" si="77"/>
        <v>5.6227805695142381</v>
      </c>
      <c r="E2396">
        <v>1.01270950427864E-3</v>
      </c>
      <c r="G2396">
        <v>2394</v>
      </c>
      <c r="H2396">
        <f t="shared" ca="1" si="78"/>
        <v>-1.1517099819115036E-2</v>
      </c>
    </row>
    <row r="2397" spans="2:8" x14ac:dyDescent="0.3">
      <c r="B2397" s="113">
        <v>38447</v>
      </c>
      <c r="C2397">
        <v>29.85</v>
      </c>
      <c r="D2397">
        <f t="shared" si="77"/>
        <v>-0.85009039775010042</v>
      </c>
      <c r="E2397">
        <v>1.006036217303861E-3</v>
      </c>
      <c r="G2397">
        <v>2395</v>
      </c>
      <c r="H2397">
        <f t="shared" ca="1" si="78"/>
        <v>-5.2895657573879672E-4</v>
      </c>
    </row>
    <row r="2398" spans="2:8" x14ac:dyDescent="0.3">
      <c r="B2398" s="113">
        <v>41318</v>
      </c>
      <c r="C2398">
        <v>199.12</v>
      </c>
      <c r="D2398">
        <f t="shared" si="77"/>
        <v>0.14832756632064589</v>
      </c>
      <c r="E2398">
        <v>1.005429318319008E-3</v>
      </c>
      <c r="G2398">
        <v>2396</v>
      </c>
      <c r="H2398">
        <f t="shared" ca="1" si="78"/>
        <v>-1.0304732478146877E-2</v>
      </c>
    </row>
    <row r="2399" spans="2:8" x14ac:dyDescent="0.3">
      <c r="B2399" s="113">
        <v>41129</v>
      </c>
      <c r="C2399">
        <v>173.4</v>
      </c>
      <c r="D2399">
        <f t="shared" si="77"/>
        <v>2.3933463796477499</v>
      </c>
      <c r="E2399">
        <v>9.8135426889116154E-4</v>
      </c>
      <c r="G2399">
        <v>2397</v>
      </c>
      <c r="H2399">
        <f t="shared" ca="1" si="78"/>
        <v>-1.5831333909209985E-2</v>
      </c>
    </row>
    <row r="2400" spans="2:8" x14ac:dyDescent="0.3">
      <c r="B2400" s="113">
        <v>39258</v>
      </c>
      <c r="C2400">
        <v>51.1</v>
      </c>
      <c r="D2400">
        <f t="shared" si="77"/>
        <v>-0.75139868645098518</v>
      </c>
      <c r="E2400">
        <v>9.7943192948098459E-4</v>
      </c>
      <c r="G2400">
        <v>2398</v>
      </c>
      <c r="H2400">
        <f t="shared" ca="1" si="78"/>
        <v>-2.8049826234813603E-2</v>
      </c>
    </row>
    <row r="2401" spans="2:8" x14ac:dyDescent="0.3">
      <c r="B2401" s="113">
        <v>44326</v>
      </c>
      <c r="C2401">
        <v>205.55</v>
      </c>
      <c r="D2401">
        <f t="shared" si="77"/>
        <v>1.4954473716158796</v>
      </c>
      <c r="E2401">
        <v>9.7394691989294887E-4</v>
      </c>
      <c r="G2401">
        <v>2399</v>
      </c>
      <c r="H2401">
        <f t="shared" ca="1" si="78"/>
        <v>4.0480644978697711E-3</v>
      </c>
    </row>
    <row r="2402" spans="2:8" x14ac:dyDescent="0.3">
      <c r="B2402" s="113">
        <v>40228</v>
      </c>
      <c r="C2402">
        <v>82.37</v>
      </c>
      <c r="D2402">
        <f t="shared" si="77"/>
        <v>0.59662725334367128</v>
      </c>
      <c r="E2402">
        <v>9.721715882853116E-4</v>
      </c>
      <c r="G2402">
        <v>2400</v>
      </c>
      <c r="H2402">
        <f t="shared" ca="1" si="78"/>
        <v>-5.6839448352447502E-2</v>
      </c>
    </row>
    <row r="2403" spans="2:8" x14ac:dyDescent="0.3">
      <c r="B2403" s="113">
        <v>39272</v>
      </c>
      <c r="C2403">
        <v>51.59</v>
      </c>
      <c r="D2403">
        <f t="shared" si="77"/>
        <v>-0.80042553191489363</v>
      </c>
      <c r="E2403">
        <v>9.7012029491665239E-4</v>
      </c>
      <c r="G2403">
        <v>2401</v>
      </c>
      <c r="H2403">
        <f t="shared" ca="1" si="78"/>
        <v>2.2376803902634711E-2</v>
      </c>
    </row>
    <row r="2404" spans="2:8" x14ac:dyDescent="0.3">
      <c r="B2404" s="113">
        <v>43193</v>
      </c>
      <c r="C2404">
        <v>258.5</v>
      </c>
      <c r="D2404">
        <f t="shared" si="77"/>
        <v>0.24879227053140096</v>
      </c>
      <c r="E2404">
        <v>9.6805421103581804E-4</v>
      </c>
      <c r="G2404">
        <v>2402</v>
      </c>
      <c r="H2404">
        <f t="shared" ca="1" si="78"/>
        <v>-2.3872238528271181E-2</v>
      </c>
    </row>
    <row r="2405" spans="2:8" x14ac:dyDescent="0.3">
      <c r="B2405" s="113">
        <v>44399</v>
      </c>
      <c r="C2405">
        <v>207</v>
      </c>
      <c r="D2405">
        <f t="shared" si="77"/>
        <v>2.991515618974161</v>
      </c>
      <c r="E2405">
        <v>9.6711798839452907E-4</v>
      </c>
      <c r="G2405">
        <v>2403</v>
      </c>
      <c r="H2405">
        <f t="shared" ca="1" si="78"/>
        <v>1.9686242601911756E-2</v>
      </c>
    </row>
    <row r="2406" spans="2:8" x14ac:dyDescent="0.3">
      <c r="B2406" s="113">
        <v>39196</v>
      </c>
      <c r="C2406">
        <v>51.86</v>
      </c>
      <c r="D2406">
        <f t="shared" si="77"/>
        <v>-0.7512351897155467</v>
      </c>
      <c r="E2406">
        <v>9.6506465933212033E-4</v>
      </c>
      <c r="G2406">
        <v>2404</v>
      </c>
      <c r="H2406">
        <f t="shared" ca="1" si="78"/>
        <v>9.0691362658098065E-4</v>
      </c>
    </row>
    <row r="2407" spans="2:8" x14ac:dyDescent="0.3">
      <c r="B2407" s="113">
        <v>41592</v>
      </c>
      <c r="C2407">
        <v>208.47</v>
      </c>
      <c r="D2407">
        <f t="shared" si="77"/>
        <v>-1.7624051646953531E-2</v>
      </c>
      <c r="E2407">
        <v>9.6029192874628425E-4</v>
      </c>
      <c r="G2407">
        <v>2405</v>
      </c>
      <c r="H2407">
        <f t="shared" ca="1" si="78"/>
        <v>1.5518390897905021E-2</v>
      </c>
    </row>
    <row r="2408" spans="2:8" x14ac:dyDescent="0.3">
      <c r="B2408" s="113">
        <v>41687</v>
      </c>
      <c r="C2408">
        <v>212.21</v>
      </c>
      <c r="D2408">
        <f t="shared" si="77"/>
        <v>2.3137101811367895</v>
      </c>
      <c r="E2408">
        <v>9.4335172869212329E-4</v>
      </c>
      <c r="G2408">
        <v>2406</v>
      </c>
      <c r="H2408">
        <f t="shared" ca="1" si="78"/>
        <v>-2.6728312648846234E-2</v>
      </c>
    </row>
    <row r="2409" spans="2:8" x14ac:dyDescent="0.3">
      <c r="B2409" s="113">
        <v>38805</v>
      </c>
      <c r="C2409">
        <v>64.040000000000006</v>
      </c>
      <c r="D2409">
        <f t="shared" si="77"/>
        <v>-0.76144533432669015</v>
      </c>
      <c r="E2409">
        <v>9.3779306033150024E-4</v>
      </c>
      <c r="G2409">
        <v>2407</v>
      </c>
      <c r="H2409">
        <f t="shared" ca="1" si="78"/>
        <v>6.3045512044904023E-3</v>
      </c>
    </row>
    <row r="2410" spans="2:8" x14ac:dyDescent="0.3">
      <c r="B2410" s="113">
        <v>42810</v>
      </c>
      <c r="C2410">
        <v>268.45</v>
      </c>
      <c r="D2410">
        <f t="shared" si="77"/>
        <v>-1.7026730135481633E-2</v>
      </c>
      <c r="E2410">
        <v>9.3214019388516034E-4</v>
      </c>
      <c r="G2410">
        <v>2408</v>
      </c>
      <c r="H2410">
        <f t="shared" ca="1" si="78"/>
        <v>-2.2921234952453635E-3</v>
      </c>
    </row>
    <row r="2411" spans="2:8" x14ac:dyDescent="0.3">
      <c r="B2411" s="113">
        <v>42957</v>
      </c>
      <c r="C2411">
        <v>273.10000000000002</v>
      </c>
      <c r="D2411">
        <f t="shared" si="77"/>
        <v>3.8533854629465081</v>
      </c>
      <c r="E2411">
        <v>9.1625435220817292E-4</v>
      </c>
      <c r="G2411">
        <v>2409</v>
      </c>
      <c r="H2411">
        <f t="shared" ca="1" si="78"/>
        <v>-7.9818162596290154E-3</v>
      </c>
    </row>
    <row r="2412" spans="2:8" x14ac:dyDescent="0.3">
      <c r="B2412" s="113">
        <v>39891</v>
      </c>
      <c r="C2412">
        <v>56.27</v>
      </c>
      <c r="D2412">
        <f t="shared" si="77"/>
        <v>-0.80063773250664305</v>
      </c>
      <c r="E2412">
        <v>8.8936321593746463E-4</v>
      </c>
      <c r="G2412">
        <v>2410</v>
      </c>
      <c r="H2412">
        <f t="shared" ca="1" si="78"/>
        <v>9.9815585388003877E-3</v>
      </c>
    </row>
    <row r="2413" spans="2:8" x14ac:dyDescent="0.3">
      <c r="B2413" s="113">
        <v>42978</v>
      </c>
      <c r="C2413">
        <v>282.25</v>
      </c>
      <c r="D2413">
        <f t="shared" si="77"/>
        <v>3.8823732918180243</v>
      </c>
      <c r="E2413">
        <v>8.8652482269503544E-4</v>
      </c>
      <c r="G2413">
        <v>2411</v>
      </c>
      <c r="H2413">
        <f t="shared" ca="1" si="78"/>
        <v>2.2691933088131216E-4</v>
      </c>
    </row>
    <row r="2414" spans="2:8" x14ac:dyDescent="0.3">
      <c r="B2414" s="113">
        <v>39132</v>
      </c>
      <c r="C2414">
        <v>57.81</v>
      </c>
      <c r="D2414">
        <f t="shared" si="77"/>
        <v>1.4971922246220304</v>
      </c>
      <c r="E2414">
        <v>8.6565096952915968E-4</v>
      </c>
      <c r="G2414">
        <v>2412</v>
      </c>
      <c r="H2414">
        <f t="shared" ca="1" si="78"/>
        <v>2.5208909753350675E-3</v>
      </c>
    </row>
    <row r="2415" spans="2:8" x14ac:dyDescent="0.3">
      <c r="B2415" s="113">
        <v>38231</v>
      </c>
      <c r="C2415">
        <v>23.15</v>
      </c>
      <c r="D2415">
        <f t="shared" si="77"/>
        <v>-0.90040869004086899</v>
      </c>
      <c r="E2415">
        <v>8.6467790747944554E-4</v>
      </c>
      <c r="G2415">
        <v>2413</v>
      </c>
      <c r="H2415">
        <f t="shared" ca="1" si="78"/>
        <v>-1.8253282996289974E-4</v>
      </c>
    </row>
    <row r="2416" spans="2:8" x14ac:dyDescent="0.3">
      <c r="B2416" s="113">
        <v>44603</v>
      </c>
      <c r="C2416">
        <v>232.45</v>
      </c>
      <c r="D2416">
        <f t="shared" si="77"/>
        <v>8.9422583404619331</v>
      </c>
      <c r="E2416">
        <v>8.6114101184063996E-4</v>
      </c>
      <c r="G2416">
        <v>2414</v>
      </c>
      <c r="H2416">
        <f t="shared" ca="1" si="78"/>
        <v>2.5955613389165473E-2</v>
      </c>
    </row>
    <row r="2417" spans="2:8" x14ac:dyDescent="0.3">
      <c r="B2417" s="113">
        <v>38105</v>
      </c>
      <c r="C2417">
        <v>23.38</v>
      </c>
      <c r="D2417">
        <f t="shared" si="77"/>
        <v>-0.80091961852861038</v>
      </c>
      <c r="E2417">
        <v>8.5616438356162557E-4</v>
      </c>
      <c r="G2417">
        <v>2415</v>
      </c>
      <c r="H2417">
        <f t="shared" ca="1" si="78"/>
        <v>1.3179445349772495E-2</v>
      </c>
    </row>
    <row r="2418" spans="2:8" x14ac:dyDescent="0.3">
      <c r="B2418" s="113">
        <v>40487</v>
      </c>
      <c r="C2418">
        <v>117.44</v>
      </c>
      <c r="D2418">
        <f t="shared" si="77"/>
        <v>-0.41324006994753937</v>
      </c>
      <c r="E2418">
        <v>8.5222430543714265E-4</v>
      </c>
      <c r="G2418">
        <v>2416</v>
      </c>
      <c r="H2418">
        <f t="shared" ca="1" si="78"/>
        <v>7.4478165187131145E-3</v>
      </c>
    </row>
    <row r="2419" spans="2:8" x14ac:dyDescent="0.3">
      <c r="B2419" s="113">
        <v>41347</v>
      </c>
      <c r="C2419">
        <v>200.15</v>
      </c>
      <c r="D2419">
        <f t="shared" si="77"/>
        <v>-0.15003397316120259</v>
      </c>
      <c r="E2419">
        <v>8.5008500850092977E-4</v>
      </c>
      <c r="G2419">
        <v>2417</v>
      </c>
      <c r="H2419">
        <f t="shared" ca="1" si="78"/>
        <v>-2.3152703235300681E-3</v>
      </c>
    </row>
    <row r="2420" spans="2:8" x14ac:dyDescent="0.3">
      <c r="B2420" s="113">
        <v>41943</v>
      </c>
      <c r="C2420">
        <v>235.48</v>
      </c>
      <c r="D2420">
        <f t="shared" si="77"/>
        <v>8.865102639296186</v>
      </c>
      <c r="E2420">
        <v>8.5005100306013526E-4</v>
      </c>
      <c r="G2420">
        <v>2418</v>
      </c>
      <c r="H2420">
        <f t="shared" ca="1" si="78"/>
        <v>2.087377113249974E-2</v>
      </c>
    </row>
    <row r="2421" spans="2:8" x14ac:dyDescent="0.3">
      <c r="B2421" s="113">
        <v>38099</v>
      </c>
      <c r="C2421">
        <v>23.87</v>
      </c>
      <c r="D2421">
        <f t="shared" si="77"/>
        <v>-0.90233224222585928</v>
      </c>
      <c r="E2421">
        <v>8.3857442348006593E-4</v>
      </c>
      <c r="G2421">
        <v>2419</v>
      </c>
      <c r="H2421">
        <f t="shared" ca="1" si="78"/>
        <v>-1.0685981124113612E-2</v>
      </c>
    </row>
    <row r="2422" spans="2:8" x14ac:dyDescent="0.3">
      <c r="B2422" s="113">
        <v>41473</v>
      </c>
      <c r="C2422">
        <v>244.4</v>
      </c>
      <c r="D2422">
        <f t="shared" si="77"/>
        <v>2.973337668671761</v>
      </c>
      <c r="E2422">
        <v>8.1900081900088888E-4</v>
      </c>
      <c r="G2422">
        <v>2420</v>
      </c>
      <c r="H2422">
        <f t="shared" ca="1" si="78"/>
        <v>-1.8741068401409433E-2</v>
      </c>
    </row>
    <row r="2423" spans="2:8" x14ac:dyDescent="0.3">
      <c r="B2423" s="113">
        <v>39490</v>
      </c>
      <c r="C2423">
        <v>61.51</v>
      </c>
      <c r="D2423">
        <f t="shared" si="77"/>
        <v>-0.7059751434034417</v>
      </c>
      <c r="E2423">
        <v>8.1353726000646203E-4</v>
      </c>
      <c r="G2423">
        <v>2421</v>
      </c>
      <c r="H2423">
        <f t="shared" ca="1" si="78"/>
        <v>-2.7312248792516845E-3</v>
      </c>
    </row>
    <row r="2424" spans="2:8" x14ac:dyDescent="0.3">
      <c r="B2424" s="113">
        <v>41626</v>
      </c>
      <c r="C2424">
        <v>209.2</v>
      </c>
      <c r="D2424">
        <f t="shared" si="77"/>
        <v>-0.32286777795759836</v>
      </c>
      <c r="E2424">
        <v>8.1328039037452751E-4</v>
      </c>
      <c r="G2424">
        <v>2422</v>
      </c>
      <c r="H2424">
        <f t="shared" ca="1" si="78"/>
        <v>-1.260792093541336E-2</v>
      </c>
    </row>
    <row r="2425" spans="2:8" x14ac:dyDescent="0.3">
      <c r="B2425" s="113">
        <v>42907</v>
      </c>
      <c r="C2425">
        <v>308.95</v>
      </c>
      <c r="D2425">
        <f t="shared" si="77"/>
        <v>3.9614581660510675</v>
      </c>
      <c r="E2425">
        <v>8.0984774862325891E-4</v>
      </c>
      <c r="G2425">
        <v>2423</v>
      </c>
      <c r="H2425">
        <f t="shared" ca="1" si="78"/>
        <v>1.6752415595578392E-2</v>
      </c>
    </row>
    <row r="2426" spans="2:8" x14ac:dyDescent="0.3">
      <c r="B2426" s="113">
        <v>38993</v>
      </c>
      <c r="C2426">
        <v>62.27</v>
      </c>
      <c r="D2426">
        <f t="shared" si="77"/>
        <v>-0.64603228740336505</v>
      </c>
      <c r="E2426">
        <v>8.0360012857608914E-4</v>
      </c>
      <c r="G2426">
        <v>2424</v>
      </c>
      <c r="H2426">
        <f t="shared" ca="1" si="78"/>
        <v>1.9106778350233212E-2</v>
      </c>
    </row>
    <row r="2427" spans="2:8" x14ac:dyDescent="0.3">
      <c r="B2427" s="113">
        <v>41148</v>
      </c>
      <c r="C2427">
        <v>175.92</v>
      </c>
      <c r="D2427">
        <f t="shared" si="77"/>
        <v>0.51812219537452531</v>
      </c>
      <c r="E2427">
        <v>7.9645010808957991E-4</v>
      </c>
      <c r="G2427">
        <v>2425</v>
      </c>
      <c r="H2427">
        <f t="shared" ca="1" si="78"/>
        <v>4.2301364108586384E-2</v>
      </c>
    </row>
    <row r="2428" spans="2:8" x14ac:dyDescent="0.3">
      <c r="B2428" s="113">
        <v>40546</v>
      </c>
      <c r="C2428">
        <v>115.88</v>
      </c>
      <c r="D2428">
        <f t="shared" si="77"/>
        <v>-0.55405041370021169</v>
      </c>
      <c r="E2428">
        <v>7.7726919423084205E-4</v>
      </c>
      <c r="G2428">
        <v>2426</v>
      </c>
      <c r="H2428">
        <f t="shared" ca="1" si="78"/>
        <v>-1.636867363847589E-3</v>
      </c>
    </row>
    <row r="2429" spans="2:8" x14ac:dyDescent="0.3">
      <c r="B2429" s="113">
        <v>42759</v>
      </c>
      <c r="C2429">
        <v>259.85000000000002</v>
      </c>
      <c r="D2429">
        <f t="shared" si="77"/>
        <v>-9.9066488855018703E-3</v>
      </c>
      <c r="E2429">
        <v>7.7026766801481029E-4</v>
      </c>
      <c r="G2429">
        <v>2427</v>
      </c>
      <c r="H2429">
        <f t="shared" ca="1" si="78"/>
        <v>-1.1094911119648467E-2</v>
      </c>
    </row>
    <row r="2430" spans="2:8" x14ac:dyDescent="0.3">
      <c r="B2430" s="113">
        <v>43004</v>
      </c>
      <c r="C2430">
        <v>262.45</v>
      </c>
      <c r="D2430">
        <f t="shared" si="77"/>
        <v>-1.3318112633181991E-3</v>
      </c>
      <c r="E2430">
        <v>7.6263107721635326E-4</v>
      </c>
      <c r="G2430">
        <v>2428</v>
      </c>
      <c r="H2430">
        <f t="shared" ca="1" si="78"/>
        <v>-1.0158727994827954E-2</v>
      </c>
    </row>
    <row r="2431" spans="2:8" x14ac:dyDescent="0.3">
      <c r="B2431" s="113">
        <v>42620</v>
      </c>
      <c r="C2431">
        <v>262.8</v>
      </c>
      <c r="D2431">
        <f t="shared" si="77"/>
        <v>-2.9542097488921712E-2</v>
      </c>
      <c r="E2431">
        <v>7.6161462300071826E-4</v>
      </c>
      <c r="G2431">
        <v>2429</v>
      </c>
      <c r="H2431">
        <f t="shared" ca="1" si="78"/>
        <v>-1.6784646703708758E-2</v>
      </c>
    </row>
    <row r="2432" spans="2:8" x14ac:dyDescent="0.3">
      <c r="B2432" s="113">
        <v>42780</v>
      </c>
      <c r="C2432">
        <v>270.8</v>
      </c>
      <c r="D2432">
        <f t="shared" si="77"/>
        <v>-1.8460402436777318E-4</v>
      </c>
      <c r="E2432">
        <v>7.3909830007386776E-4</v>
      </c>
      <c r="G2432">
        <v>2430</v>
      </c>
      <c r="H2432">
        <f t="shared" ca="1" si="78"/>
        <v>-1.4851863911404242E-2</v>
      </c>
    </row>
    <row r="2433" spans="2:8" x14ac:dyDescent="0.3">
      <c r="B2433" s="113">
        <v>43670</v>
      </c>
      <c r="C2433">
        <v>270.85000000000002</v>
      </c>
      <c r="D2433">
        <f t="shared" si="77"/>
        <v>0.14937407171652881</v>
      </c>
      <c r="E2433">
        <v>7.3896175872915383E-4</v>
      </c>
      <c r="G2433">
        <v>2431</v>
      </c>
      <c r="H2433">
        <f t="shared" ca="1" si="78"/>
        <v>2.5422786942087428E-2</v>
      </c>
    </row>
    <row r="2434" spans="2:8" x14ac:dyDescent="0.3">
      <c r="B2434" s="113">
        <v>41946</v>
      </c>
      <c r="C2434">
        <v>235.65</v>
      </c>
      <c r="D2434">
        <f t="shared" si="77"/>
        <v>-0.10694660249365218</v>
      </c>
      <c r="E2434">
        <v>7.2192967555637815E-4</v>
      </c>
      <c r="G2434">
        <v>2432</v>
      </c>
      <c r="H2434">
        <f t="shared" ca="1" si="78"/>
        <v>-2.6798903296665507E-2</v>
      </c>
    </row>
    <row r="2435" spans="2:8" x14ac:dyDescent="0.3">
      <c r="B2435" s="113">
        <v>44735</v>
      </c>
      <c r="C2435">
        <v>263.87</v>
      </c>
      <c r="D2435">
        <f t="shared" ref="D2435:D2498" si="79">(C2435-C2436)/C2436</f>
        <v>0.8922194334887058</v>
      </c>
      <c r="E2435">
        <v>7.2057038834950589E-4</v>
      </c>
      <c r="G2435">
        <v>2433</v>
      </c>
      <c r="H2435">
        <f t="shared" ca="1" si="78"/>
        <v>3.2760635314314383E-2</v>
      </c>
    </row>
    <row r="2436" spans="2:8" x14ac:dyDescent="0.3">
      <c r="B2436" s="113">
        <v>40851</v>
      </c>
      <c r="C2436">
        <v>139.44999999999999</v>
      </c>
      <c r="D2436">
        <f t="shared" si="79"/>
        <v>8.8481638418079083</v>
      </c>
      <c r="E2436">
        <v>7.1761750986720004E-4</v>
      </c>
      <c r="G2436">
        <v>2434</v>
      </c>
      <c r="H2436">
        <f t="shared" ref="H2436:H2499" ca="1" si="80">_xlfn.NORM.INV(RAND(),$L$4,$L$6)</f>
        <v>-1.8211138148218509E-2</v>
      </c>
    </row>
    <row r="2437" spans="2:8" x14ac:dyDescent="0.3">
      <c r="B2437" s="113">
        <v>37435</v>
      </c>
      <c r="C2437">
        <v>14.16</v>
      </c>
      <c r="D2437">
        <f t="shared" si="79"/>
        <v>-0.50315789473684214</v>
      </c>
      <c r="E2437">
        <v>7.0671378091871281E-4</v>
      </c>
      <c r="G2437">
        <v>2435</v>
      </c>
      <c r="H2437">
        <f t="shared" ca="1" si="80"/>
        <v>-1.1147388914036297E-2</v>
      </c>
    </row>
    <row r="2438" spans="2:8" x14ac:dyDescent="0.3">
      <c r="B2438" s="113">
        <v>38322</v>
      </c>
      <c r="C2438">
        <v>28.5</v>
      </c>
      <c r="D2438">
        <f t="shared" si="79"/>
        <v>-0.668411867364747</v>
      </c>
      <c r="E2438">
        <v>7.0224719101122097E-4</v>
      </c>
      <c r="G2438">
        <v>2436</v>
      </c>
      <c r="H2438">
        <f t="shared" ca="1" si="80"/>
        <v>3.1494205018854804E-2</v>
      </c>
    </row>
    <row r="2439" spans="2:8" x14ac:dyDescent="0.3">
      <c r="B2439" s="113">
        <v>40115</v>
      </c>
      <c r="C2439">
        <v>85.95</v>
      </c>
      <c r="D2439">
        <f t="shared" si="79"/>
        <v>4.9153475567790785</v>
      </c>
      <c r="E2439">
        <v>6.9856793573177633E-4</v>
      </c>
      <c r="G2439">
        <v>2437</v>
      </c>
      <c r="H2439">
        <f t="shared" ca="1" si="80"/>
        <v>2.1148922142165214E-2</v>
      </c>
    </row>
    <row r="2440" spans="2:8" x14ac:dyDescent="0.3">
      <c r="B2440" s="113">
        <v>37519</v>
      </c>
      <c r="C2440">
        <v>14.53</v>
      </c>
      <c r="D2440">
        <f t="shared" si="79"/>
        <v>-0.75669792364367039</v>
      </c>
      <c r="E2440">
        <v>6.88705234159765E-4</v>
      </c>
      <c r="G2440">
        <v>2438</v>
      </c>
      <c r="H2440">
        <f t="shared" ca="1" si="80"/>
        <v>-1.5011534679792494E-3</v>
      </c>
    </row>
    <row r="2441" spans="2:8" x14ac:dyDescent="0.3">
      <c r="B2441" s="113">
        <v>38954</v>
      </c>
      <c r="C2441">
        <v>59.72</v>
      </c>
      <c r="D2441">
        <f t="shared" si="79"/>
        <v>3</v>
      </c>
      <c r="E2441">
        <v>6.7024128686325648E-4</v>
      </c>
      <c r="G2441">
        <v>2439</v>
      </c>
      <c r="H2441">
        <f t="shared" ca="1" si="80"/>
        <v>-3.3931503791229452E-2</v>
      </c>
    </row>
    <row r="2442" spans="2:8" x14ac:dyDescent="0.3">
      <c r="B2442" s="113">
        <v>37495</v>
      </c>
      <c r="C2442">
        <v>14.93</v>
      </c>
      <c r="D2442">
        <f t="shared" si="79"/>
        <v>-2.672010688042814E-3</v>
      </c>
      <c r="E2442">
        <v>6.7024128686325648E-4</v>
      </c>
      <c r="G2442">
        <v>2440</v>
      </c>
      <c r="H2442">
        <f t="shared" ca="1" si="80"/>
        <v>1.4963329467249582E-2</v>
      </c>
    </row>
    <row r="2443" spans="2:8" x14ac:dyDescent="0.3">
      <c r="B2443" s="113">
        <v>37475</v>
      </c>
      <c r="C2443">
        <v>14.97</v>
      </c>
      <c r="D2443">
        <f t="shared" si="79"/>
        <v>-1.9999999999999575E-3</v>
      </c>
      <c r="E2443">
        <v>6.6844919786094832E-4</v>
      </c>
      <c r="G2443">
        <v>2441</v>
      </c>
      <c r="H2443">
        <f t="shared" ca="1" si="80"/>
        <v>-4.0263917076946154E-3</v>
      </c>
    </row>
    <row r="2444" spans="2:8" x14ac:dyDescent="0.3">
      <c r="B2444" s="113">
        <v>37641</v>
      </c>
      <c r="C2444">
        <v>15</v>
      </c>
      <c r="D2444">
        <f t="shared" si="79"/>
        <v>-0.90037194473963866</v>
      </c>
      <c r="E2444">
        <v>6.6711140760505579E-4</v>
      </c>
      <c r="G2444">
        <v>2442</v>
      </c>
      <c r="H2444">
        <f t="shared" ca="1" si="80"/>
        <v>7.7353532900206728E-3</v>
      </c>
    </row>
    <row r="2445" spans="2:8" x14ac:dyDescent="0.3">
      <c r="B2445" s="113">
        <v>41002</v>
      </c>
      <c r="C2445">
        <v>150.56</v>
      </c>
      <c r="D2445">
        <f t="shared" si="79"/>
        <v>-0.33206157668248965</v>
      </c>
      <c r="E2445">
        <v>6.6462847268373201E-4</v>
      </c>
      <c r="G2445">
        <v>2443</v>
      </c>
      <c r="H2445">
        <f t="shared" ca="1" si="80"/>
        <v>-1.0976541551086266E-2</v>
      </c>
    </row>
    <row r="2446" spans="2:8" x14ac:dyDescent="0.3">
      <c r="B2446" s="113">
        <v>41562</v>
      </c>
      <c r="C2446">
        <v>225.41</v>
      </c>
      <c r="D2446">
        <f t="shared" si="79"/>
        <v>7.5121625488886776E-2</v>
      </c>
      <c r="E2446">
        <v>6.2147645048158371E-4</v>
      </c>
      <c r="G2446">
        <v>2444</v>
      </c>
      <c r="H2446">
        <f t="shared" ca="1" si="80"/>
        <v>5.1387935984917475E-3</v>
      </c>
    </row>
    <row r="2447" spans="2:8" x14ac:dyDescent="0.3">
      <c r="B2447" s="113">
        <v>41816</v>
      </c>
      <c r="C2447">
        <v>209.66</v>
      </c>
      <c r="D2447">
        <f t="shared" si="79"/>
        <v>-6.1151931737378155E-3</v>
      </c>
      <c r="E2447">
        <v>6.2043621438455333E-4</v>
      </c>
      <c r="G2447">
        <v>2445</v>
      </c>
      <c r="H2447">
        <f t="shared" ca="1" si="80"/>
        <v>-1.7873410477983544E-2</v>
      </c>
    </row>
    <row r="2448" spans="2:8" x14ac:dyDescent="0.3">
      <c r="B2448" s="113">
        <v>42502</v>
      </c>
      <c r="C2448">
        <v>210.95</v>
      </c>
      <c r="D2448">
        <f t="shared" si="79"/>
        <v>-0.13580499795165918</v>
      </c>
      <c r="E2448">
        <v>6.1663978749642093E-4</v>
      </c>
      <c r="G2448">
        <v>2446</v>
      </c>
      <c r="H2448">
        <f t="shared" ca="1" si="80"/>
        <v>1.8613912952464246E-2</v>
      </c>
    </row>
    <row r="2449" spans="2:8" x14ac:dyDescent="0.3">
      <c r="B2449" s="113">
        <v>43752</v>
      </c>
      <c r="C2449">
        <v>244.1</v>
      </c>
      <c r="D2449">
        <f t="shared" si="79"/>
        <v>0.48163884673748097</v>
      </c>
      <c r="E2449">
        <v>6.1488009838083911E-4</v>
      </c>
      <c r="G2449">
        <v>2447</v>
      </c>
      <c r="H2449">
        <f t="shared" ca="1" si="80"/>
        <v>-1.0004897061627946E-2</v>
      </c>
    </row>
    <row r="2450" spans="2:8" x14ac:dyDescent="0.3">
      <c r="B2450" s="113">
        <v>43969</v>
      </c>
      <c r="C2450">
        <v>164.75</v>
      </c>
      <c r="D2450">
        <f t="shared" si="79"/>
        <v>0.42283444166162876</v>
      </c>
      <c r="E2450">
        <v>6.0734892195562899E-4</v>
      </c>
      <c r="G2450">
        <v>2448</v>
      </c>
      <c r="H2450">
        <f t="shared" ca="1" si="80"/>
        <v>-9.8406702049374985E-4</v>
      </c>
    </row>
    <row r="2451" spans="2:8" x14ac:dyDescent="0.3">
      <c r="B2451" s="113">
        <v>40543</v>
      </c>
      <c r="C2451">
        <v>115.79</v>
      </c>
      <c r="D2451">
        <f t="shared" si="79"/>
        <v>-0.53469961824392209</v>
      </c>
      <c r="E2451">
        <v>6.0490839958526952E-4</v>
      </c>
      <c r="G2451">
        <v>2449</v>
      </c>
      <c r="H2451">
        <f t="shared" ca="1" si="80"/>
        <v>2.5824501700298934E-4</v>
      </c>
    </row>
    <row r="2452" spans="2:8" x14ac:dyDescent="0.3">
      <c r="B2452" s="113">
        <v>42566</v>
      </c>
      <c r="C2452">
        <v>248.85</v>
      </c>
      <c r="D2452">
        <f t="shared" si="79"/>
        <v>-8.0305159606511561E-4</v>
      </c>
      <c r="E2452">
        <v>6.0313630880581295E-4</v>
      </c>
      <c r="G2452">
        <v>2450</v>
      </c>
      <c r="H2452">
        <f t="shared" ca="1" si="80"/>
        <v>-2.4193787868024265E-2</v>
      </c>
    </row>
    <row r="2453" spans="2:8" x14ac:dyDescent="0.3">
      <c r="B2453" s="113">
        <v>42570</v>
      </c>
      <c r="C2453">
        <v>249.05</v>
      </c>
      <c r="D2453">
        <f t="shared" si="79"/>
        <v>0.14970916812852</v>
      </c>
      <c r="E2453">
        <v>6.0265166733630248E-4</v>
      </c>
      <c r="G2453">
        <v>2451</v>
      </c>
      <c r="H2453">
        <f t="shared" ca="1" si="80"/>
        <v>1.1838318739096826E-2</v>
      </c>
    </row>
    <row r="2454" spans="2:8" x14ac:dyDescent="0.3">
      <c r="B2454" s="113">
        <v>42088</v>
      </c>
      <c r="C2454">
        <v>216.62</v>
      </c>
      <c r="D2454">
        <f t="shared" si="79"/>
        <v>-3.484227410443768E-2</v>
      </c>
      <c r="E2454">
        <v>6.0048963000598385E-4</v>
      </c>
      <c r="G2454">
        <v>2452</v>
      </c>
      <c r="H2454">
        <f t="shared" ca="1" si="80"/>
        <v>-6.5783833532820565E-3</v>
      </c>
    </row>
    <row r="2455" spans="2:8" x14ac:dyDescent="0.3">
      <c r="B2455" s="113">
        <v>42073</v>
      </c>
      <c r="C2455">
        <v>224.44</v>
      </c>
      <c r="D2455">
        <f t="shared" si="79"/>
        <v>-0.13543913713405248</v>
      </c>
      <c r="E2455">
        <v>5.7955508002316197E-4</v>
      </c>
      <c r="G2455">
        <v>2453</v>
      </c>
      <c r="H2455">
        <f t="shared" ca="1" si="80"/>
        <v>2.0257821465759968E-2</v>
      </c>
    </row>
    <row r="2456" spans="2:8" x14ac:dyDescent="0.3">
      <c r="B2456" s="113">
        <v>44657</v>
      </c>
      <c r="C2456">
        <v>259.60000000000002</v>
      </c>
      <c r="D2456">
        <f t="shared" si="79"/>
        <v>0.15152590489709025</v>
      </c>
      <c r="E2456">
        <v>5.7814607824256735E-4</v>
      </c>
      <c r="G2456">
        <v>2454</v>
      </c>
      <c r="H2456">
        <f t="shared" ca="1" si="80"/>
        <v>5.0270591007803421E-2</v>
      </c>
    </row>
    <row r="2457" spans="2:8" x14ac:dyDescent="0.3">
      <c r="B2457" s="113">
        <v>41554</v>
      </c>
      <c r="C2457">
        <v>225.44</v>
      </c>
      <c r="D2457">
        <f t="shared" si="79"/>
        <v>-0.14686849574266794</v>
      </c>
      <c r="E2457">
        <v>5.7698282366515222E-4</v>
      </c>
      <c r="G2457">
        <v>2455</v>
      </c>
      <c r="H2457">
        <f t="shared" ca="1" si="80"/>
        <v>3.3000133782782734E-3</v>
      </c>
    </row>
    <row r="2458" spans="2:8" x14ac:dyDescent="0.3">
      <c r="B2458" s="113">
        <v>42801</v>
      </c>
      <c r="C2458">
        <v>264.25</v>
      </c>
      <c r="D2458">
        <f t="shared" si="79"/>
        <v>0.15116532345894135</v>
      </c>
      <c r="E2458">
        <v>5.6796667928806226E-4</v>
      </c>
      <c r="G2458">
        <v>2456</v>
      </c>
      <c r="H2458">
        <f t="shared" ca="1" si="80"/>
        <v>-7.1754646148454112E-4</v>
      </c>
    </row>
    <row r="2459" spans="2:8" x14ac:dyDescent="0.3">
      <c r="B2459" s="113">
        <v>41858</v>
      </c>
      <c r="C2459">
        <v>229.55</v>
      </c>
      <c r="D2459">
        <f t="shared" si="79"/>
        <v>2.1859819569743233</v>
      </c>
      <c r="E2459">
        <v>5.6664632551662404E-4</v>
      </c>
      <c r="G2459">
        <v>2457</v>
      </c>
      <c r="H2459">
        <f t="shared" ca="1" si="80"/>
        <v>-1.014512772615413E-3</v>
      </c>
    </row>
    <row r="2460" spans="2:8" x14ac:dyDescent="0.3">
      <c r="B2460" s="113">
        <v>40010</v>
      </c>
      <c r="C2460">
        <v>72.05</v>
      </c>
      <c r="D2460">
        <f t="shared" si="79"/>
        <v>-0.42876397367795133</v>
      </c>
      <c r="E2460">
        <v>5.5547840577686489E-4</v>
      </c>
      <c r="G2460">
        <v>2458</v>
      </c>
      <c r="H2460">
        <f t="shared" ca="1" si="80"/>
        <v>-7.2217292820875422E-3</v>
      </c>
    </row>
    <row r="2461" spans="2:8" x14ac:dyDescent="0.3">
      <c r="B2461" s="113">
        <v>40658</v>
      </c>
      <c r="C2461">
        <v>126.13</v>
      </c>
      <c r="D2461">
        <f t="shared" si="79"/>
        <v>-0.53739226114065652</v>
      </c>
      <c r="E2461">
        <v>5.5529113120730746E-4</v>
      </c>
      <c r="G2461">
        <v>2459</v>
      </c>
      <c r="H2461">
        <f t="shared" ca="1" si="80"/>
        <v>2.3904617400749784E-2</v>
      </c>
    </row>
    <row r="2462" spans="2:8" x14ac:dyDescent="0.3">
      <c r="B2462" s="113">
        <v>43287</v>
      </c>
      <c r="C2462">
        <v>272.64999999999998</v>
      </c>
      <c r="D2462">
        <f t="shared" si="79"/>
        <v>-3.5379444542720684E-2</v>
      </c>
      <c r="E2462">
        <v>5.5045871559624684E-4</v>
      </c>
      <c r="G2462">
        <v>2460</v>
      </c>
      <c r="H2462">
        <f t="shared" ca="1" si="80"/>
        <v>-2.438838780448296E-2</v>
      </c>
    </row>
    <row r="2463" spans="2:8" x14ac:dyDescent="0.3">
      <c r="B2463" s="113">
        <v>43389</v>
      </c>
      <c r="C2463">
        <v>282.64999999999998</v>
      </c>
      <c r="D2463">
        <f t="shared" si="79"/>
        <v>1.0792261291746357</v>
      </c>
      <c r="E2463">
        <v>5.3097345132735311E-4</v>
      </c>
      <c r="G2463">
        <v>2461</v>
      </c>
      <c r="H2463">
        <f t="shared" ca="1" si="80"/>
        <v>3.6557150806673868E-3</v>
      </c>
    </row>
    <row r="2464" spans="2:8" x14ac:dyDescent="0.3">
      <c r="B2464" s="113">
        <v>40904</v>
      </c>
      <c r="C2464">
        <v>135.94</v>
      </c>
      <c r="D2464">
        <f t="shared" si="79"/>
        <v>-0.53651551312649171</v>
      </c>
      <c r="E2464">
        <v>5.1519835136522546E-4</v>
      </c>
      <c r="G2464">
        <v>2462</v>
      </c>
      <c r="H2464">
        <f t="shared" ca="1" si="80"/>
        <v>5.6737292002453608E-3</v>
      </c>
    </row>
    <row r="2465" spans="2:8" x14ac:dyDescent="0.3">
      <c r="B2465" s="113">
        <v>43370</v>
      </c>
      <c r="C2465">
        <v>293.3</v>
      </c>
      <c r="D2465">
        <f t="shared" si="79"/>
        <v>0.46738042825695425</v>
      </c>
      <c r="E2465">
        <v>5.1168343851282314E-4</v>
      </c>
      <c r="G2465">
        <v>2463</v>
      </c>
      <c r="H2465">
        <f t="shared" ca="1" si="80"/>
        <v>-2.8499899786587797E-2</v>
      </c>
    </row>
    <row r="2466" spans="2:8" x14ac:dyDescent="0.3">
      <c r="B2466" s="113">
        <v>41250</v>
      </c>
      <c r="C2466">
        <v>199.88</v>
      </c>
      <c r="D2466">
        <f t="shared" si="79"/>
        <v>-0.33384435927345446</v>
      </c>
      <c r="E2466">
        <v>5.0055060566620436E-4</v>
      </c>
      <c r="G2466">
        <v>2464</v>
      </c>
      <c r="H2466">
        <f t="shared" ca="1" si="80"/>
        <v>-2.655245894438215E-2</v>
      </c>
    </row>
    <row r="2467" spans="2:8" x14ac:dyDescent="0.3">
      <c r="B2467" s="113">
        <v>42880</v>
      </c>
      <c r="C2467">
        <v>300.05</v>
      </c>
      <c r="D2467">
        <f t="shared" si="79"/>
        <v>0.46080817916260958</v>
      </c>
      <c r="E2467">
        <v>5.0016672224086067E-4</v>
      </c>
      <c r="G2467">
        <v>2465</v>
      </c>
      <c r="H2467">
        <f t="shared" ca="1" si="80"/>
        <v>1.0145558172243985E-2</v>
      </c>
    </row>
    <row r="2468" spans="2:8" x14ac:dyDescent="0.3">
      <c r="B2468" s="113">
        <v>44313</v>
      </c>
      <c r="C2468">
        <v>205.4</v>
      </c>
      <c r="D2468">
        <f t="shared" si="79"/>
        <v>-4.8661800486615237E-4</v>
      </c>
      <c r="E2468">
        <v>4.8709206039938775E-4</v>
      </c>
      <c r="G2468">
        <v>2466</v>
      </c>
      <c r="H2468">
        <f t="shared" ca="1" si="80"/>
        <v>1.1989961270865948E-2</v>
      </c>
    </row>
    <row r="2469" spans="2:8" x14ac:dyDescent="0.3">
      <c r="B2469" s="113">
        <v>44314</v>
      </c>
      <c r="C2469">
        <v>205.5</v>
      </c>
      <c r="D2469">
        <f t="shared" si="79"/>
        <v>0.63967126785286843</v>
      </c>
      <c r="E2469">
        <v>4.8685491723463639E-4</v>
      </c>
      <c r="G2469">
        <v>2467</v>
      </c>
      <c r="H2469">
        <f t="shared" ca="1" si="80"/>
        <v>-9.3012604023928972E-3</v>
      </c>
    </row>
    <row r="2470" spans="2:8" x14ac:dyDescent="0.3">
      <c r="B2470" s="113">
        <v>40682</v>
      </c>
      <c r="C2470">
        <v>125.33</v>
      </c>
      <c r="D2470">
        <f t="shared" si="79"/>
        <v>-0.4033609444920499</v>
      </c>
      <c r="E2470">
        <v>4.789654346611501E-4</v>
      </c>
      <c r="G2470">
        <v>2468</v>
      </c>
      <c r="H2470">
        <f t="shared" ca="1" si="80"/>
        <v>1.1102011833637395E-3</v>
      </c>
    </row>
    <row r="2471" spans="2:8" x14ac:dyDescent="0.3">
      <c r="B2471" s="113">
        <v>41647</v>
      </c>
      <c r="C2471">
        <v>210.06</v>
      </c>
      <c r="D2471">
        <f t="shared" si="79"/>
        <v>-1.1482352941176459E-2</v>
      </c>
      <c r="E2471">
        <v>4.762811964183383E-4</v>
      </c>
      <c r="G2471">
        <v>2469</v>
      </c>
      <c r="H2471">
        <f t="shared" ca="1" si="80"/>
        <v>-7.3411391819912849E-3</v>
      </c>
    </row>
    <row r="2472" spans="2:8" x14ac:dyDescent="0.3">
      <c r="B2472" s="113">
        <v>44551</v>
      </c>
      <c r="C2472">
        <v>212.5</v>
      </c>
      <c r="D2472">
        <f t="shared" si="79"/>
        <v>1.498236538913708</v>
      </c>
      <c r="E2472">
        <v>4.7080979284366435E-4</v>
      </c>
      <c r="G2472">
        <v>2470</v>
      </c>
      <c r="H2472">
        <f t="shared" ca="1" si="80"/>
        <v>1.1820957124731926E-2</v>
      </c>
    </row>
    <row r="2473" spans="2:8" x14ac:dyDescent="0.3">
      <c r="B2473" s="113">
        <v>40189</v>
      </c>
      <c r="C2473">
        <v>85.06</v>
      </c>
      <c r="D2473">
        <f t="shared" si="79"/>
        <v>-0.6</v>
      </c>
      <c r="E2473">
        <v>4.7047753469779176E-4</v>
      </c>
      <c r="G2473">
        <v>2471</v>
      </c>
      <c r="H2473">
        <f t="shared" ca="1" si="80"/>
        <v>2.8995445728674452E-2</v>
      </c>
    </row>
    <row r="2474" spans="2:8" x14ac:dyDescent="0.3">
      <c r="B2474" s="113">
        <v>44292</v>
      </c>
      <c r="C2474">
        <v>212.65</v>
      </c>
      <c r="D2474">
        <f t="shared" si="79"/>
        <v>-1.3636996150099716E-2</v>
      </c>
      <c r="E2474">
        <v>4.7047753469769141E-4</v>
      </c>
      <c r="G2474">
        <v>2472</v>
      </c>
      <c r="H2474">
        <f t="shared" ca="1" si="80"/>
        <v>-1.2274348942371031E-2</v>
      </c>
    </row>
    <row r="2475" spans="2:8" x14ac:dyDescent="0.3">
      <c r="B2475" s="113">
        <v>41821</v>
      </c>
      <c r="C2475">
        <v>215.59</v>
      </c>
      <c r="D2475">
        <f t="shared" si="79"/>
        <v>8.8713369963369964</v>
      </c>
      <c r="E2475">
        <v>4.640586570142202E-4</v>
      </c>
      <c r="G2475">
        <v>2473</v>
      </c>
      <c r="H2475">
        <f t="shared" ca="1" si="80"/>
        <v>-1.1809467082265107E-2</v>
      </c>
    </row>
    <row r="2476" spans="2:8" x14ac:dyDescent="0.3">
      <c r="B2476" s="113">
        <v>37974</v>
      </c>
      <c r="C2476">
        <v>21.84</v>
      </c>
      <c r="D2476">
        <f t="shared" si="79"/>
        <v>-0.51894273127753299</v>
      </c>
      <c r="E2476">
        <v>4.5808520384798738E-4</v>
      </c>
      <c r="G2476">
        <v>2474</v>
      </c>
      <c r="H2476">
        <f t="shared" ca="1" si="80"/>
        <v>-9.5623113131351207E-3</v>
      </c>
    </row>
    <row r="2477" spans="2:8" x14ac:dyDescent="0.3">
      <c r="B2477" s="113">
        <v>38629</v>
      </c>
      <c r="C2477">
        <v>45.4</v>
      </c>
      <c r="D2477">
        <f t="shared" si="79"/>
        <v>-0.66764275256222538</v>
      </c>
      <c r="E2477">
        <v>4.4072278536791583E-4</v>
      </c>
      <c r="G2477">
        <v>2475</v>
      </c>
      <c r="H2477">
        <f t="shared" ca="1" si="80"/>
        <v>2.2411234900829313E-2</v>
      </c>
    </row>
    <row r="2478" spans="2:8" x14ac:dyDescent="0.3">
      <c r="B2478" s="113">
        <v>40933</v>
      </c>
      <c r="C2478">
        <v>136.6</v>
      </c>
      <c r="D2478">
        <f t="shared" si="79"/>
        <v>4.9288194444444446</v>
      </c>
      <c r="E2478">
        <v>4.3943166837558426E-4</v>
      </c>
      <c r="G2478">
        <v>2476</v>
      </c>
      <c r="H2478">
        <f t="shared" ca="1" si="80"/>
        <v>-5.3680527347847598E-3</v>
      </c>
    </row>
    <row r="2479" spans="2:8" x14ac:dyDescent="0.3">
      <c r="B2479" s="113">
        <v>38238</v>
      </c>
      <c r="C2479">
        <v>23.04</v>
      </c>
      <c r="D2479">
        <f t="shared" si="79"/>
        <v>-0.90104367993815238</v>
      </c>
      <c r="E2479">
        <v>4.3421623968727791E-4</v>
      </c>
      <c r="G2479">
        <v>2477</v>
      </c>
      <c r="H2479">
        <f t="shared" ca="1" si="80"/>
        <v>-1.0055279522255219E-2</v>
      </c>
    </row>
    <row r="2480" spans="2:8" x14ac:dyDescent="0.3">
      <c r="B2480" s="113">
        <v>41893</v>
      </c>
      <c r="C2480">
        <v>232.83</v>
      </c>
      <c r="D2480">
        <f t="shared" si="79"/>
        <v>-6.2315933245122692E-3</v>
      </c>
      <c r="E2480">
        <v>4.2968246465871501E-4</v>
      </c>
      <c r="G2480">
        <v>2478</v>
      </c>
      <c r="H2480">
        <f t="shared" ca="1" si="80"/>
        <v>-1.058818223715989E-2</v>
      </c>
    </row>
    <row r="2481" spans="2:8" x14ac:dyDescent="0.3">
      <c r="B2481" s="113">
        <v>41750</v>
      </c>
      <c r="C2481">
        <v>234.29</v>
      </c>
      <c r="D2481">
        <f t="shared" si="79"/>
        <v>-1.1017306880540369E-2</v>
      </c>
      <c r="E2481">
        <v>4.2700371493229562E-4</v>
      </c>
      <c r="G2481">
        <v>2479</v>
      </c>
      <c r="H2481">
        <f t="shared" ca="1" si="80"/>
        <v>1.8962482686747217E-2</v>
      </c>
    </row>
    <row r="2482" spans="2:8" x14ac:dyDescent="0.3">
      <c r="B2482" s="113">
        <v>43826</v>
      </c>
      <c r="C2482">
        <v>236.9</v>
      </c>
      <c r="D2482">
        <f t="shared" si="79"/>
        <v>8.9204355108877724</v>
      </c>
      <c r="E2482">
        <v>4.2229729729727325E-4</v>
      </c>
      <c r="G2482">
        <v>2480</v>
      </c>
      <c r="H2482">
        <f t="shared" ca="1" si="80"/>
        <v>2.7374201864212308E-3</v>
      </c>
    </row>
    <row r="2483" spans="2:8" x14ac:dyDescent="0.3">
      <c r="B2483" s="113">
        <v>38100</v>
      </c>
      <c r="C2483">
        <v>23.88</v>
      </c>
      <c r="D2483">
        <f t="shared" si="79"/>
        <v>-5.0000000000000417E-3</v>
      </c>
      <c r="E2483">
        <v>4.1893590280678717E-4</v>
      </c>
      <c r="G2483">
        <v>2481</v>
      </c>
      <c r="H2483">
        <f t="shared" ca="1" si="80"/>
        <v>1.9725429509173376E-2</v>
      </c>
    </row>
    <row r="2484" spans="2:8" x14ac:dyDescent="0.3">
      <c r="B2484" s="113">
        <v>38288</v>
      </c>
      <c r="C2484">
        <v>24</v>
      </c>
      <c r="D2484">
        <f t="shared" si="79"/>
        <v>-2.8340080971659892E-2</v>
      </c>
      <c r="E2484">
        <v>4.1684035014595929E-4</v>
      </c>
      <c r="G2484">
        <v>2482</v>
      </c>
      <c r="H2484">
        <f t="shared" ca="1" si="80"/>
        <v>-1.0966232012421325E-2</v>
      </c>
    </row>
    <row r="2485" spans="2:8" x14ac:dyDescent="0.3">
      <c r="B2485" s="113">
        <v>38269</v>
      </c>
      <c r="C2485">
        <v>24.7</v>
      </c>
      <c r="D2485">
        <f t="shared" si="79"/>
        <v>-0.90030272452068627</v>
      </c>
      <c r="E2485">
        <v>4.0502227622511179E-4</v>
      </c>
      <c r="G2485">
        <v>2483</v>
      </c>
      <c r="H2485">
        <f t="shared" ca="1" si="80"/>
        <v>2.7341827365467967E-2</v>
      </c>
    </row>
    <row r="2486" spans="2:8" x14ac:dyDescent="0.3">
      <c r="B2486" s="113">
        <v>43794</v>
      </c>
      <c r="C2486">
        <v>247.75</v>
      </c>
      <c r="D2486">
        <f t="shared" si="79"/>
        <v>-1.1964107676969093E-2</v>
      </c>
      <c r="E2486">
        <v>4.0379567938620759E-4</v>
      </c>
      <c r="G2486">
        <v>2484</v>
      </c>
      <c r="H2486">
        <f t="shared" ca="1" si="80"/>
        <v>-3.6171894220230227E-3</v>
      </c>
    </row>
    <row r="2487" spans="2:8" x14ac:dyDescent="0.3">
      <c r="B2487" s="113">
        <v>43787</v>
      </c>
      <c r="C2487">
        <v>250.75</v>
      </c>
      <c r="D2487">
        <f t="shared" si="79"/>
        <v>8.8993288590604038</v>
      </c>
      <c r="E2487">
        <v>3.9896269698780893E-4</v>
      </c>
      <c r="G2487">
        <v>2485</v>
      </c>
      <c r="H2487">
        <f t="shared" ca="1" si="80"/>
        <v>-2.4745287125563429E-2</v>
      </c>
    </row>
    <row r="2488" spans="2:8" x14ac:dyDescent="0.3">
      <c r="B2488" s="113">
        <v>38265</v>
      </c>
      <c r="C2488">
        <v>25.33</v>
      </c>
      <c r="D2488">
        <f t="shared" si="79"/>
        <v>-0.9020494972931169</v>
      </c>
      <c r="E2488">
        <v>3.9494470774083772E-4</v>
      </c>
      <c r="G2488">
        <v>2486</v>
      </c>
      <c r="H2488">
        <f t="shared" ca="1" si="80"/>
        <v>3.8733131319989536E-3</v>
      </c>
    </row>
    <row r="2489" spans="2:8" x14ac:dyDescent="0.3">
      <c r="B2489" s="113">
        <v>43194</v>
      </c>
      <c r="C2489">
        <v>258.60000000000002</v>
      </c>
      <c r="D2489">
        <f t="shared" si="79"/>
        <v>-2.562170308967579E-2</v>
      </c>
      <c r="E2489">
        <v>3.8684719535792163E-4</v>
      </c>
      <c r="G2489">
        <v>2487</v>
      </c>
      <c r="H2489">
        <f t="shared" ca="1" si="80"/>
        <v>-5.3773242382135038E-3</v>
      </c>
    </row>
    <row r="2490" spans="2:8" x14ac:dyDescent="0.3">
      <c r="B2490" s="113">
        <v>43047</v>
      </c>
      <c r="C2490">
        <v>265.39999999999998</v>
      </c>
      <c r="D2490">
        <f t="shared" si="79"/>
        <v>-2.7838827838827924E-2</v>
      </c>
      <c r="E2490">
        <v>3.7693177534853332E-4</v>
      </c>
      <c r="G2490">
        <v>2488</v>
      </c>
      <c r="H2490">
        <f t="shared" ca="1" si="80"/>
        <v>-1.9598421314103172E-2</v>
      </c>
    </row>
    <row r="2491" spans="2:8" x14ac:dyDescent="0.3">
      <c r="B2491" s="113">
        <v>43664</v>
      </c>
      <c r="C2491">
        <v>273</v>
      </c>
      <c r="D2491">
        <f t="shared" si="79"/>
        <v>-7.6335877862596241E-3</v>
      </c>
      <c r="E2491">
        <v>3.6643459142551393E-4</v>
      </c>
      <c r="G2491">
        <v>2489</v>
      </c>
      <c r="H2491">
        <f t="shared" ca="1" si="80"/>
        <v>-1.4176271144059673E-2</v>
      </c>
    </row>
    <row r="2492" spans="2:8" x14ac:dyDescent="0.3">
      <c r="B2492" s="113">
        <v>43634</v>
      </c>
      <c r="C2492">
        <v>275.10000000000002</v>
      </c>
      <c r="D2492">
        <f t="shared" si="79"/>
        <v>2.3092746300974381</v>
      </c>
      <c r="E2492">
        <v>3.6363636363644634E-4</v>
      </c>
      <c r="G2492">
        <v>2490</v>
      </c>
      <c r="H2492">
        <f t="shared" ca="1" si="80"/>
        <v>-3.3563871995864064E-4</v>
      </c>
    </row>
    <row r="2493" spans="2:8" x14ac:dyDescent="0.3">
      <c r="B2493" s="113">
        <v>40178</v>
      </c>
      <c r="C2493">
        <v>83.13</v>
      </c>
      <c r="D2493">
        <f t="shared" si="79"/>
        <v>-0.57145066501701203</v>
      </c>
      <c r="E2493">
        <v>3.6101083032492344E-4</v>
      </c>
      <c r="G2493">
        <v>2491</v>
      </c>
      <c r="H2493">
        <f t="shared" ca="1" si="80"/>
        <v>-1.2089857599326542E-2</v>
      </c>
    </row>
    <row r="2494" spans="2:8" x14ac:dyDescent="0.3">
      <c r="B2494" s="113">
        <v>41338</v>
      </c>
      <c r="C2494">
        <v>193.98</v>
      </c>
      <c r="D2494">
        <f t="shared" si="79"/>
        <v>-0.30709055188426504</v>
      </c>
      <c r="E2494">
        <v>3.6099221288222978E-4</v>
      </c>
      <c r="G2494">
        <v>2492</v>
      </c>
      <c r="H2494">
        <f t="shared" ca="1" si="80"/>
        <v>2.1105726212132542E-3</v>
      </c>
    </row>
    <row r="2495" spans="2:8" x14ac:dyDescent="0.3">
      <c r="B2495" s="113">
        <v>43628</v>
      </c>
      <c r="C2495">
        <v>279.95</v>
      </c>
      <c r="D2495">
        <f t="shared" si="79"/>
        <v>1.4643485915492958</v>
      </c>
      <c r="E2495">
        <v>3.5733428622464138E-4</v>
      </c>
      <c r="G2495">
        <v>2493</v>
      </c>
      <c r="H2495">
        <f t="shared" ca="1" si="80"/>
        <v>1.7832378195581273E-2</v>
      </c>
    </row>
    <row r="2496" spans="2:8" x14ac:dyDescent="0.3">
      <c r="B2496" s="113">
        <v>40613</v>
      </c>
      <c r="C2496">
        <v>113.6</v>
      </c>
      <c r="D2496">
        <f t="shared" si="79"/>
        <v>0.32246798603026761</v>
      </c>
      <c r="E2496">
        <v>3.5223670306438923E-4</v>
      </c>
      <c r="G2496">
        <v>2494</v>
      </c>
      <c r="H2496">
        <f t="shared" ca="1" si="80"/>
        <v>-3.0496869168268183E-2</v>
      </c>
    </row>
    <row r="2497" spans="2:8" x14ac:dyDescent="0.3">
      <c r="B2497" s="113">
        <v>40305</v>
      </c>
      <c r="C2497">
        <v>85.9</v>
      </c>
      <c r="D2497">
        <f t="shared" si="79"/>
        <v>0.40750450598066529</v>
      </c>
      <c r="E2497">
        <v>3.4936531966928071E-4</v>
      </c>
      <c r="G2497">
        <v>2495</v>
      </c>
      <c r="H2497">
        <f t="shared" ca="1" si="80"/>
        <v>-1.2253659506883514E-2</v>
      </c>
    </row>
    <row r="2498" spans="2:8" x14ac:dyDescent="0.3">
      <c r="B2498" s="113">
        <v>39960</v>
      </c>
      <c r="C2498">
        <v>61.03</v>
      </c>
      <c r="D2498">
        <f t="shared" si="79"/>
        <v>-0.71683756321625758</v>
      </c>
      <c r="E2498">
        <v>3.2781511227672721E-4</v>
      </c>
      <c r="G2498">
        <v>2496</v>
      </c>
      <c r="H2498">
        <f t="shared" ca="1" si="80"/>
        <v>-4.7928726883971397E-3</v>
      </c>
    </row>
    <row r="2499" spans="2:8" x14ac:dyDescent="0.3">
      <c r="B2499" s="113">
        <v>41681</v>
      </c>
      <c r="C2499">
        <v>215.53</v>
      </c>
      <c r="D2499">
        <f t="shared" ref="D2499:D2562" si="81">(C2499-C2500)/C2500</f>
        <v>0.14515700547261035</v>
      </c>
      <c r="E2499">
        <v>3.2488628979853882E-4</v>
      </c>
      <c r="G2499">
        <v>2497</v>
      </c>
      <c r="H2499">
        <f t="shared" ca="1" si="80"/>
        <v>1.1972751838505396E-2</v>
      </c>
    </row>
    <row r="2500" spans="2:8" x14ac:dyDescent="0.3">
      <c r="B2500" s="113">
        <v>41226</v>
      </c>
      <c r="C2500">
        <v>188.21</v>
      </c>
      <c r="D2500">
        <f t="shared" si="81"/>
        <v>1.9417005314160678</v>
      </c>
      <c r="E2500">
        <v>3.1889449906990309E-4</v>
      </c>
      <c r="G2500">
        <v>2498</v>
      </c>
      <c r="H2500">
        <f t="shared" ref="H2500:H2563" ca="1" si="82">_xlfn.NORM.INV(RAND(),$L$4,$L$6)</f>
        <v>2.3118613431588077E-2</v>
      </c>
    </row>
    <row r="2501" spans="2:8" x14ac:dyDescent="0.3">
      <c r="B2501" s="113">
        <v>38804</v>
      </c>
      <c r="C2501">
        <v>63.98</v>
      </c>
      <c r="D2501">
        <f t="shared" si="81"/>
        <v>-0.33774971535037784</v>
      </c>
      <c r="E2501">
        <v>3.1269543464659193E-4</v>
      </c>
      <c r="G2501">
        <v>2499</v>
      </c>
      <c r="H2501">
        <f t="shared" ca="1" si="82"/>
        <v>1.3167621738701488E-2</v>
      </c>
    </row>
    <row r="2502" spans="2:8" x14ac:dyDescent="0.3">
      <c r="B2502" s="113">
        <v>40379</v>
      </c>
      <c r="C2502">
        <v>96.61</v>
      </c>
      <c r="D2502">
        <f t="shared" si="81"/>
        <v>-0.25270730198019803</v>
      </c>
      <c r="E2502">
        <v>3.106233174570422E-4</v>
      </c>
      <c r="G2502">
        <v>2500</v>
      </c>
      <c r="H2502">
        <f t="shared" ca="1" si="82"/>
        <v>4.0594246182007786E-3</v>
      </c>
    </row>
    <row r="2503" spans="2:8" x14ac:dyDescent="0.3">
      <c r="B2503" s="113">
        <v>40703</v>
      </c>
      <c r="C2503">
        <v>129.28</v>
      </c>
      <c r="D2503">
        <f t="shared" si="81"/>
        <v>-3.8452956489401176E-2</v>
      </c>
      <c r="E2503">
        <v>3.0950170225930084E-4</v>
      </c>
      <c r="G2503">
        <v>2501</v>
      </c>
      <c r="H2503">
        <f t="shared" ca="1" si="82"/>
        <v>2.3383296109069508E-2</v>
      </c>
    </row>
    <row r="2504" spans="2:8" x14ac:dyDescent="0.3">
      <c r="B2504" s="113">
        <v>40792</v>
      </c>
      <c r="C2504">
        <v>134.44999999999999</v>
      </c>
      <c r="D2504">
        <f t="shared" si="81"/>
        <v>-0.38886363636363641</v>
      </c>
      <c r="E2504">
        <v>2.9759690499212889E-4</v>
      </c>
      <c r="G2504">
        <v>2502</v>
      </c>
      <c r="H2504">
        <f t="shared" ca="1" si="82"/>
        <v>5.8840105345614402E-2</v>
      </c>
    </row>
    <row r="2505" spans="2:8" x14ac:dyDescent="0.3">
      <c r="B2505" s="113">
        <v>41442</v>
      </c>
      <c r="C2505">
        <v>220</v>
      </c>
      <c r="D2505">
        <f t="shared" si="81"/>
        <v>-1.0880316518298658E-2</v>
      </c>
      <c r="E2505">
        <v>2.7280167318360584E-4</v>
      </c>
      <c r="G2505">
        <v>2503</v>
      </c>
      <c r="H2505">
        <f t="shared" ca="1" si="82"/>
        <v>-5.9388917804667624E-3</v>
      </c>
    </row>
    <row r="2506" spans="2:8" x14ac:dyDescent="0.3">
      <c r="B2506" s="113">
        <v>42480</v>
      </c>
      <c r="C2506">
        <v>222.42</v>
      </c>
      <c r="D2506">
        <f t="shared" si="81"/>
        <v>0.47826664894324056</v>
      </c>
      <c r="E2506">
        <v>2.6983270372357368E-4</v>
      </c>
      <c r="G2506">
        <v>2504</v>
      </c>
      <c r="H2506">
        <f t="shared" ca="1" si="82"/>
        <v>1.9538151593108798E-2</v>
      </c>
    </row>
    <row r="2507" spans="2:8" x14ac:dyDescent="0.3">
      <c r="B2507" s="113">
        <v>41001</v>
      </c>
      <c r="C2507">
        <v>150.46</v>
      </c>
      <c r="D2507">
        <f t="shared" si="81"/>
        <v>2.9305120167189131</v>
      </c>
      <c r="E2507">
        <v>2.6592208482928111E-4</v>
      </c>
      <c r="G2507">
        <v>2505</v>
      </c>
      <c r="H2507">
        <f t="shared" ca="1" si="82"/>
        <v>1.9942704289375571E-2</v>
      </c>
    </row>
    <row r="2508" spans="2:8" x14ac:dyDescent="0.3">
      <c r="B2508" s="113">
        <v>38597</v>
      </c>
      <c r="C2508">
        <v>38.28</v>
      </c>
      <c r="D2508">
        <f t="shared" si="81"/>
        <v>-0.81688591246113373</v>
      </c>
      <c r="E2508">
        <v>2.6130128037622183E-4</v>
      </c>
      <c r="G2508">
        <v>2506</v>
      </c>
      <c r="H2508">
        <f t="shared" ca="1" si="82"/>
        <v>-4.6831810590811885E-3</v>
      </c>
    </row>
    <row r="2509" spans="2:8" x14ac:dyDescent="0.3">
      <c r="B2509" s="113">
        <v>44350</v>
      </c>
      <c r="C2509">
        <v>209.05</v>
      </c>
      <c r="D2509">
        <f t="shared" si="81"/>
        <v>-4.2867349368896279E-3</v>
      </c>
      <c r="E2509">
        <v>2.3923444976081996E-4</v>
      </c>
      <c r="G2509">
        <v>2507</v>
      </c>
      <c r="H2509">
        <f t="shared" ca="1" si="82"/>
        <v>3.9851359700801697E-3</v>
      </c>
    </row>
    <row r="2510" spans="2:8" x14ac:dyDescent="0.3">
      <c r="B2510" s="113">
        <v>44258</v>
      </c>
      <c r="C2510">
        <v>209.95</v>
      </c>
      <c r="D2510">
        <f t="shared" si="81"/>
        <v>1.4238051258369888</v>
      </c>
      <c r="E2510">
        <v>2.3820867079553572E-4</v>
      </c>
      <c r="G2510">
        <v>2508</v>
      </c>
      <c r="H2510">
        <f t="shared" ca="1" si="82"/>
        <v>1.769735933134392E-2</v>
      </c>
    </row>
    <row r="2511" spans="2:8" x14ac:dyDescent="0.3">
      <c r="B2511" s="113">
        <v>40256</v>
      </c>
      <c r="C2511">
        <v>86.62</v>
      </c>
      <c r="D2511">
        <f t="shared" si="81"/>
        <v>-0.37363511461421645</v>
      </c>
      <c r="E2511">
        <v>2.3094688221720824E-4</v>
      </c>
      <c r="G2511">
        <v>2509</v>
      </c>
      <c r="H2511">
        <f t="shared" ca="1" si="82"/>
        <v>-6.8126517315366952E-3</v>
      </c>
    </row>
    <row r="2512" spans="2:8" x14ac:dyDescent="0.3">
      <c r="B2512" s="113">
        <v>40962</v>
      </c>
      <c r="C2512">
        <v>138.29</v>
      </c>
      <c r="D2512">
        <f t="shared" si="81"/>
        <v>1.868492014104957</v>
      </c>
      <c r="E2512">
        <v>2.1698249674527079E-4</v>
      </c>
      <c r="G2512">
        <v>2510</v>
      </c>
      <c r="H2512">
        <f t="shared" ca="1" si="82"/>
        <v>1.338136871631538E-2</v>
      </c>
    </row>
    <row r="2513" spans="2:8" x14ac:dyDescent="0.3">
      <c r="B2513" s="113">
        <v>38723</v>
      </c>
      <c r="C2513">
        <v>48.21</v>
      </c>
      <c r="D2513">
        <f t="shared" si="81"/>
        <v>-0.80630775411811972</v>
      </c>
      <c r="E2513">
        <v>2.0746887966800851E-4</v>
      </c>
      <c r="G2513">
        <v>2511</v>
      </c>
      <c r="H2513">
        <f t="shared" ca="1" si="82"/>
        <v>-3.186212820893234E-2</v>
      </c>
    </row>
    <row r="2514" spans="2:8" x14ac:dyDescent="0.3">
      <c r="B2514" s="113">
        <v>42569</v>
      </c>
      <c r="C2514">
        <v>248.9</v>
      </c>
      <c r="D2514">
        <f t="shared" si="81"/>
        <v>3.9063670411985023</v>
      </c>
      <c r="E2514">
        <v>2.0092425155720863E-4</v>
      </c>
      <c r="G2514">
        <v>2512</v>
      </c>
      <c r="H2514">
        <f t="shared" ca="1" si="82"/>
        <v>-8.4610794386590343E-3</v>
      </c>
    </row>
    <row r="2515" spans="2:8" x14ac:dyDescent="0.3">
      <c r="B2515" s="113">
        <v>39252</v>
      </c>
      <c r="C2515">
        <v>50.73</v>
      </c>
      <c r="D2515">
        <f t="shared" si="81"/>
        <v>-0.80019692792437969</v>
      </c>
      <c r="E2515">
        <v>1.9716088328071787E-4</v>
      </c>
      <c r="G2515">
        <v>2513</v>
      </c>
      <c r="H2515">
        <f t="shared" ca="1" si="82"/>
        <v>-9.4210260119340593E-4</v>
      </c>
    </row>
    <row r="2516" spans="2:8" x14ac:dyDescent="0.3">
      <c r="B2516" s="113">
        <v>43783</v>
      </c>
      <c r="C2516">
        <v>253.9</v>
      </c>
      <c r="D2516">
        <f t="shared" si="81"/>
        <v>-2.0447530864197466E-2</v>
      </c>
      <c r="E2516">
        <v>1.9696671262561108E-4</v>
      </c>
      <c r="G2516">
        <v>2514</v>
      </c>
      <c r="H2516">
        <f t="shared" ca="1" si="82"/>
        <v>1.0835949634804389E-2</v>
      </c>
    </row>
    <row r="2517" spans="2:8" x14ac:dyDescent="0.3">
      <c r="B2517" s="113">
        <v>43179</v>
      </c>
      <c r="C2517">
        <v>259.2</v>
      </c>
      <c r="D2517">
        <f t="shared" si="81"/>
        <v>-1.4823261117445967E-2</v>
      </c>
      <c r="E2517">
        <v>1.9293845263365376E-4</v>
      </c>
      <c r="G2517">
        <v>2515</v>
      </c>
      <c r="H2517">
        <f t="shared" ca="1" si="82"/>
        <v>1.1657781734356317E-3</v>
      </c>
    </row>
    <row r="2518" spans="2:8" x14ac:dyDescent="0.3">
      <c r="B2518" s="113">
        <v>43091</v>
      </c>
      <c r="C2518">
        <v>263.10000000000002</v>
      </c>
      <c r="D2518">
        <f t="shared" si="81"/>
        <v>-5.4810054810054375E-3</v>
      </c>
      <c r="E2518">
        <v>1.9007793195214358E-4</v>
      </c>
      <c r="G2518">
        <v>2516</v>
      </c>
      <c r="H2518">
        <f t="shared" ca="1" si="82"/>
        <v>-1.9178872126529429E-2</v>
      </c>
    </row>
    <row r="2519" spans="2:8" x14ac:dyDescent="0.3">
      <c r="B2519" s="113">
        <v>43269</v>
      </c>
      <c r="C2519">
        <v>264.55</v>
      </c>
      <c r="D2519">
        <f t="shared" si="81"/>
        <v>-1.1397608370702583E-2</v>
      </c>
      <c r="E2519">
        <v>1.8903591682423957E-4</v>
      </c>
      <c r="G2519">
        <v>2517</v>
      </c>
      <c r="H2519">
        <f t="shared" ca="1" si="82"/>
        <v>5.7817200901496973E-3</v>
      </c>
    </row>
    <row r="2520" spans="2:8" x14ac:dyDescent="0.3">
      <c r="B2520" s="113">
        <v>43115</v>
      </c>
      <c r="C2520">
        <v>267.60000000000002</v>
      </c>
      <c r="D2520">
        <f t="shared" si="81"/>
        <v>-2.0318506315211256E-2</v>
      </c>
      <c r="E2520">
        <v>1.8688095683054145E-4</v>
      </c>
      <c r="G2520">
        <v>2518</v>
      </c>
      <c r="H2520">
        <f t="shared" ca="1" si="82"/>
        <v>-1.1090790914976629E-2</v>
      </c>
    </row>
    <row r="2521" spans="2:8" x14ac:dyDescent="0.3">
      <c r="B2521" s="113">
        <v>43656</v>
      </c>
      <c r="C2521">
        <v>273.14999999999998</v>
      </c>
      <c r="D2521">
        <f t="shared" si="81"/>
        <v>-7.989831124024134E-3</v>
      </c>
      <c r="E2521">
        <v>1.8308311973619379E-4</v>
      </c>
      <c r="G2521">
        <v>2519</v>
      </c>
      <c r="H2521">
        <f t="shared" ca="1" si="82"/>
        <v>-3.0665526608668497E-3</v>
      </c>
    </row>
    <row r="2522" spans="2:8" x14ac:dyDescent="0.3">
      <c r="B2522" s="113">
        <v>43133</v>
      </c>
      <c r="C2522">
        <v>275.35000000000002</v>
      </c>
      <c r="D2522">
        <f t="shared" si="81"/>
        <v>-2.4791924915884538E-2</v>
      </c>
      <c r="E2522">
        <v>1.8162005085365553E-4</v>
      </c>
      <c r="G2522">
        <v>2520</v>
      </c>
      <c r="H2522">
        <f t="shared" ca="1" si="82"/>
        <v>3.780778480471271E-2</v>
      </c>
    </row>
    <row r="2523" spans="2:8" x14ac:dyDescent="0.3">
      <c r="B2523" s="113">
        <v>43241</v>
      </c>
      <c r="C2523">
        <v>282.35000000000002</v>
      </c>
      <c r="D2523">
        <f t="shared" si="81"/>
        <v>0.24674349803505993</v>
      </c>
      <c r="E2523">
        <v>1.7711654268512706E-4</v>
      </c>
      <c r="G2523">
        <v>2521</v>
      </c>
      <c r="H2523">
        <f t="shared" ca="1" si="82"/>
        <v>5.7296494462038888E-3</v>
      </c>
    </row>
    <row r="2524" spans="2:8" x14ac:dyDescent="0.3">
      <c r="B2524" s="113">
        <v>41570</v>
      </c>
      <c r="C2524">
        <v>226.47</v>
      </c>
      <c r="D2524">
        <f t="shared" si="81"/>
        <v>-1.0145566828407137E-3</v>
      </c>
      <c r="E2524">
        <v>1.7665503687670379E-4</v>
      </c>
      <c r="G2524">
        <v>2522</v>
      </c>
      <c r="H2524">
        <f t="shared" ca="1" si="82"/>
        <v>-2.4738498828162127E-2</v>
      </c>
    </row>
    <row r="2525" spans="2:8" x14ac:dyDescent="0.3">
      <c r="B2525" s="113">
        <v>42115</v>
      </c>
      <c r="C2525">
        <v>226.7</v>
      </c>
      <c r="D2525">
        <f t="shared" si="81"/>
        <v>2.9432944859975643</v>
      </c>
      <c r="E2525">
        <v>1.764757786993384E-4</v>
      </c>
      <c r="G2525">
        <v>2523</v>
      </c>
      <c r="H2525">
        <f t="shared" ca="1" si="82"/>
        <v>3.2989181701906768E-2</v>
      </c>
    </row>
    <row r="2526" spans="2:8" x14ac:dyDescent="0.3">
      <c r="B2526" s="113">
        <v>39064</v>
      </c>
      <c r="C2526">
        <v>57.49</v>
      </c>
      <c r="D2526">
        <f t="shared" si="81"/>
        <v>-0.76231033199652698</v>
      </c>
      <c r="E2526">
        <v>1.7397355601957406E-4</v>
      </c>
      <c r="G2526">
        <v>2524</v>
      </c>
      <c r="H2526">
        <f t="shared" ca="1" si="82"/>
        <v>2.2168628167376383E-2</v>
      </c>
    </row>
    <row r="2527" spans="2:8" x14ac:dyDescent="0.3">
      <c r="B2527" s="113">
        <v>42529</v>
      </c>
      <c r="C2527">
        <v>241.87</v>
      </c>
      <c r="D2527">
        <f t="shared" si="81"/>
        <v>0.24476352220678299</v>
      </c>
      <c r="E2527">
        <v>1.6540545010954819E-4</v>
      </c>
      <c r="G2527">
        <v>2525</v>
      </c>
      <c r="H2527">
        <f t="shared" ca="1" si="82"/>
        <v>-4.6344739176852931E-2</v>
      </c>
    </row>
    <row r="2528" spans="2:8" x14ac:dyDescent="0.3">
      <c r="B2528" s="113">
        <v>41261</v>
      </c>
      <c r="C2528">
        <v>194.31</v>
      </c>
      <c r="D2528">
        <f t="shared" si="81"/>
        <v>-3.6972790801407578E-2</v>
      </c>
      <c r="E2528">
        <v>1.5441630636195766E-4</v>
      </c>
      <c r="G2528">
        <v>2526</v>
      </c>
      <c r="H2528">
        <f t="shared" ca="1" si="82"/>
        <v>2.3660894966283262E-3</v>
      </c>
    </row>
    <row r="2529" spans="2:8" x14ac:dyDescent="0.3">
      <c r="B2529" s="113">
        <v>42163</v>
      </c>
      <c r="C2529">
        <v>201.77</v>
      </c>
      <c r="D2529">
        <f t="shared" si="81"/>
        <v>1.9258990719257543</v>
      </c>
      <c r="E2529">
        <v>1.4870625557649022E-4</v>
      </c>
      <c r="G2529">
        <v>2527</v>
      </c>
      <c r="H2529">
        <f t="shared" ca="1" si="82"/>
        <v>-1.9631015503555879E-2</v>
      </c>
    </row>
    <row r="2530" spans="2:8" x14ac:dyDescent="0.3">
      <c r="B2530" s="113">
        <v>39541</v>
      </c>
      <c r="C2530">
        <v>68.959999999999994</v>
      </c>
      <c r="D2530">
        <f t="shared" si="81"/>
        <v>-0.67258569936378321</v>
      </c>
      <c r="E2530">
        <v>1.4503263234214511E-4</v>
      </c>
      <c r="G2530">
        <v>2528</v>
      </c>
      <c r="H2530">
        <f t="shared" ca="1" si="82"/>
        <v>1.1945910192505916E-2</v>
      </c>
    </row>
    <row r="2531" spans="2:8" x14ac:dyDescent="0.3">
      <c r="B2531" s="113">
        <v>42496</v>
      </c>
      <c r="C2531">
        <v>210.62</v>
      </c>
      <c r="D2531">
        <f t="shared" si="81"/>
        <v>-5.4030990343588596E-2</v>
      </c>
      <c r="E2531">
        <v>1.4245690678570271E-4</v>
      </c>
      <c r="G2531">
        <v>2529</v>
      </c>
      <c r="H2531">
        <f t="shared" ca="1" si="82"/>
        <v>6.9554168822287083E-3</v>
      </c>
    </row>
    <row r="2532" spans="2:8" x14ac:dyDescent="0.3">
      <c r="B2532" s="113">
        <v>41408</v>
      </c>
      <c r="C2532">
        <v>222.65</v>
      </c>
      <c r="D2532">
        <f t="shared" si="81"/>
        <v>-2.397860775030685E-2</v>
      </c>
      <c r="E2532">
        <v>1.3475878178061779E-4</v>
      </c>
      <c r="G2532">
        <v>2530</v>
      </c>
      <c r="H2532">
        <f t="shared" ca="1" si="82"/>
        <v>-1.4694829850377972E-2</v>
      </c>
    </row>
    <row r="2533" spans="2:8" x14ac:dyDescent="0.3">
      <c r="B2533" s="113">
        <v>42291</v>
      </c>
      <c r="C2533">
        <v>228.12</v>
      </c>
      <c r="D2533">
        <f t="shared" si="81"/>
        <v>-4.381736920515043E-4</v>
      </c>
      <c r="E2533">
        <v>1.315270288044243E-4</v>
      </c>
      <c r="G2533">
        <v>2531</v>
      </c>
      <c r="H2533">
        <f t="shared" ca="1" si="82"/>
        <v>6.1138505698800768E-3</v>
      </c>
    </row>
    <row r="2534" spans="2:8" x14ac:dyDescent="0.3">
      <c r="B2534" s="113">
        <v>41837</v>
      </c>
      <c r="C2534">
        <v>228.22</v>
      </c>
      <c r="D2534">
        <f t="shared" si="81"/>
        <v>-7.0235476248675988E-2</v>
      </c>
      <c r="E2534">
        <v>1.314693895438062E-4</v>
      </c>
      <c r="G2534">
        <v>2532</v>
      </c>
      <c r="H2534">
        <f t="shared" ca="1" si="82"/>
        <v>2.1321593978233098E-2</v>
      </c>
    </row>
    <row r="2535" spans="2:8" x14ac:dyDescent="0.3">
      <c r="B2535" s="113">
        <v>41961</v>
      </c>
      <c r="C2535">
        <v>245.46</v>
      </c>
      <c r="D2535">
        <f t="shared" si="81"/>
        <v>-1.4644862094214679E-3</v>
      </c>
      <c r="E2535">
        <v>1.2223444566679352E-4</v>
      </c>
      <c r="G2535">
        <v>2533</v>
      </c>
      <c r="H2535">
        <f t="shared" ca="1" si="82"/>
        <v>-1.5362481355100771E-2</v>
      </c>
    </row>
    <row r="2536" spans="2:8" x14ac:dyDescent="0.3">
      <c r="B2536" s="113">
        <v>41905</v>
      </c>
      <c r="C2536">
        <v>245.82</v>
      </c>
      <c r="D2536">
        <f t="shared" si="81"/>
        <v>-1.332584089267076E-2</v>
      </c>
      <c r="E2536">
        <v>1.2205541315757817E-4</v>
      </c>
      <c r="G2536">
        <v>2534</v>
      </c>
      <c r="H2536">
        <f t="shared" ca="1" si="82"/>
        <v>-1.3608891247169559E-2</v>
      </c>
    </row>
    <row r="2537" spans="2:8" x14ac:dyDescent="0.3">
      <c r="B2537" s="113">
        <v>41479</v>
      </c>
      <c r="C2537">
        <v>249.14</v>
      </c>
      <c r="D2537">
        <f t="shared" si="81"/>
        <v>0.26114907618324462</v>
      </c>
      <c r="E2537">
        <v>1.2042872626539566E-4</v>
      </c>
      <c r="G2537">
        <v>2535</v>
      </c>
      <c r="H2537">
        <f t="shared" ca="1" si="82"/>
        <v>1.4273370996121E-2</v>
      </c>
    </row>
    <row r="2538" spans="2:8" x14ac:dyDescent="0.3">
      <c r="B2538" s="113">
        <v>43889</v>
      </c>
      <c r="C2538">
        <v>197.55</v>
      </c>
      <c r="D2538">
        <f t="shared" si="81"/>
        <v>-0.29079159935379645</v>
      </c>
      <c r="E2538">
        <v>0</v>
      </c>
      <c r="G2538">
        <v>2536</v>
      </c>
      <c r="H2538">
        <f t="shared" ca="1" si="82"/>
        <v>-1.8541355742484347E-2</v>
      </c>
    </row>
    <row r="2539" spans="2:8" x14ac:dyDescent="0.3">
      <c r="B2539" s="113">
        <v>43619</v>
      </c>
      <c r="C2539">
        <v>278.55</v>
      </c>
      <c r="D2539">
        <f t="shared" si="81"/>
        <v>-6.2910008410428889E-2</v>
      </c>
      <c r="E2539">
        <v>0</v>
      </c>
      <c r="G2539">
        <v>2537</v>
      </c>
      <c r="H2539">
        <f t="shared" ca="1" si="82"/>
        <v>-1.554970795315117E-2</v>
      </c>
    </row>
    <row r="2540" spans="2:8" x14ac:dyDescent="0.3">
      <c r="B2540" s="113">
        <v>43556</v>
      </c>
      <c r="C2540">
        <v>297.25</v>
      </c>
      <c r="D2540">
        <f t="shared" si="81"/>
        <v>-7.0658120994216103E-2</v>
      </c>
      <c r="E2540">
        <v>0</v>
      </c>
      <c r="G2540">
        <v>2538</v>
      </c>
      <c r="H2540">
        <f t="shared" ca="1" si="82"/>
        <v>1.3382945536165087E-2</v>
      </c>
    </row>
    <row r="2541" spans="2:8" x14ac:dyDescent="0.3">
      <c r="B2541" s="113">
        <v>43343</v>
      </c>
      <c r="C2541">
        <v>319.85000000000002</v>
      </c>
      <c r="D2541">
        <f t="shared" si="81"/>
        <v>0.2390083284911875</v>
      </c>
      <c r="E2541">
        <v>0</v>
      </c>
      <c r="G2541">
        <v>2539</v>
      </c>
      <c r="H2541">
        <f t="shared" ca="1" si="82"/>
        <v>8.2567044136738071E-3</v>
      </c>
    </row>
    <row r="2542" spans="2:8" x14ac:dyDescent="0.3">
      <c r="B2542" s="113">
        <v>43062</v>
      </c>
      <c r="C2542">
        <v>258.14999999999998</v>
      </c>
      <c r="D2542">
        <f t="shared" si="81"/>
        <v>6.1908679555738311E-2</v>
      </c>
      <c r="E2542">
        <v>0</v>
      </c>
      <c r="G2542">
        <v>2540</v>
      </c>
      <c r="H2542">
        <f t="shared" ca="1" si="82"/>
        <v>-1.7789118394540265E-2</v>
      </c>
    </row>
    <row r="2543" spans="2:8" x14ac:dyDescent="0.3">
      <c r="B2543" s="113">
        <v>42671</v>
      </c>
      <c r="C2543">
        <v>243.1</v>
      </c>
      <c r="D2543">
        <f t="shared" si="81"/>
        <v>1.8219895287958091E-2</v>
      </c>
      <c r="E2543">
        <v>0</v>
      </c>
      <c r="G2543">
        <v>2541</v>
      </c>
      <c r="H2543">
        <f t="shared" ca="1" si="82"/>
        <v>-4.3098862254058162E-3</v>
      </c>
    </row>
    <row r="2544" spans="2:8" x14ac:dyDescent="0.3">
      <c r="B2544" s="113">
        <v>42669</v>
      </c>
      <c r="C2544">
        <v>238.75</v>
      </c>
      <c r="D2544">
        <f t="shared" si="81"/>
        <v>-5.1638530287984111E-2</v>
      </c>
      <c r="E2544">
        <v>0</v>
      </c>
      <c r="G2544">
        <v>2542</v>
      </c>
      <c r="H2544">
        <f t="shared" ca="1" si="82"/>
        <v>1.1292364776209801E-3</v>
      </c>
    </row>
    <row r="2545" spans="2:8" x14ac:dyDescent="0.3">
      <c r="B2545" s="113">
        <v>42577</v>
      </c>
      <c r="C2545">
        <v>251.75</v>
      </c>
      <c r="D2545">
        <f t="shared" si="81"/>
        <v>0.25780664501623779</v>
      </c>
      <c r="E2545">
        <v>0</v>
      </c>
      <c r="G2545">
        <v>2543</v>
      </c>
      <c r="H2545">
        <f t="shared" ca="1" si="82"/>
        <v>-1.4373418126156228E-2</v>
      </c>
    </row>
    <row r="2546" spans="2:8" x14ac:dyDescent="0.3">
      <c r="B2546" s="113">
        <v>41348</v>
      </c>
      <c r="C2546">
        <v>200.15</v>
      </c>
      <c r="D2546">
        <f t="shared" si="81"/>
        <v>2.4099467867376219E-2</v>
      </c>
      <c r="E2546">
        <v>0</v>
      </c>
      <c r="G2546">
        <v>2544</v>
      </c>
      <c r="H2546">
        <f t="shared" ca="1" si="82"/>
        <v>1.3307161227460911E-2</v>
      </c>
    </row>
    <row r="2547" spans="2:8" x14ac:dyDescent="0.3">
      <c r="B2547" s="113">
        <v>41333</v>
      </c>
      <c r="C2547">
        <v>195.44</v>
      </c>
      <c r="D2547">
        <f t="shared" si="81"/>
        <v>2.700998423541769E-2</v>
      </c>
      <c r="E2547">
        <v>0</v>
      </c>
      <c r="G2547">
        <v>2545</v>
      </c>
      <c r="H2547">
        <f t="shared" ca="1" si="82"/>
        <v>4.7985013316191151E-3</v>
      </c>
    </row>
    <row r="2548" spans="2:8" x14ac:dyDescent="0.3">
      <c r="B2548" s="113">
        <v>41267</v>
      </c>
      <c r="C2548">
        <v>190.3</v>
      </c>
      <c r="D2548">
        <f t="shared" si="81"/>
        <v>1.2503325352487485E-2</v>
      </c>
      <c r="E2548">
        <v>0</v>
      </c>
      <c r="G2548">
        <v>2546</v>
      </c>
      <c r="H2548">
        <f t="shared" ca="1" si="82"/>
        <v>-1.3322898875330129E-2</v>
      </c>
    </row>
    <row r="2549" spans="2:8" x14ac:dyDescent="0.3">
      <c r="B2549" s="113">
        <v>41194</v>
      </c>
      <c r="C2549">
        <v>187.95</v>
      </c>
      <c r="D2549">
        <f t="shared" si="81"/>
        <v>0.41114197762594784</v>
      </c>
      <c r="E2549">
        <v>0</v>
      </c>
      <c r="G2549">
        <v>2547</v>
      </c>
      <c r="H2549">
        <f t="shared" ca="1" si="82"/>
        <v>2.5692852995920973E-2</v>
      </c>
    </row>
    <row r="2550" spans="2:8" x14ac:dyDescent="0.3">
      <c r="B2550" s="113">
        <v>40751</v>
      </c>
      <c r="C2550">
        <v>133.19</v>
      </c>
      <c r="D2550">
        <f t="shared" si="81"/>
        <v>0.12615202502747952</v>
      </c>
      <c r="E2550">
        <v>0</v>
      </c>
      <c r="G2550">
        <v>2548</v>
      </c>
      <c r="H2550">
        <f t="shared" ca="1" si="82"/>
        <v>1.9536529871277766E-2</v>
      </c>
    </row>
    <row r="2551" spans="2:8" x14ac:dyDescent="0.3">
      <c r="B2551" s="113">
        <v>40449</v>
      </c>
      <c r="C2551">
        <v>118.27</v>
      </c>
      <c r="D2551">
        <f t="shared" si="81"/>
        <v>9.3472633136094677E-2</v>
      </c>
      <c r="E2551">
        <v>0</v>
      </c>
      <c r="G2551">
        <v>2549</v>
      </c>
      <c r="H2551">
        <f t="shared" ca="1" si="82"/>
        <v>4.6170571331446576E-3</v>
      </c>
    </row>
    <row r="2552" spans="2:8" x14ac:dyDescent="0.3">
      <c r="B2552" s="113">
        <v>40422</v>
      </c>
      <c r="C2552">
        <v>108.16</v>
      </c>
      <c r="D2552">
        <f t="shared" si="81"/>
        <v>0.15223180994993066</v>
      </c>
      <c r="E2552">
        <v>0</v>
      </c>
      <c r="G2552">
        <v>2550</v>
      </c>
      <c r="H2552">
        <f t="shared" ca="1" si="82"/>
        <v>-3.2027126755592573E-3</v>
      </c>
    </row>
    <row r="2553" spans="2:8" x14ac:dyDescent="0.3">
      <c r="B2553" s="113">
        <v>40329</v>
      </c>
      <c r="C2553">
        <v>93.87</v>
      </c>
      <c r="D2553">
        <f t="shared" si="81"/>
        <v>0.16103896103896118</v>
      </c>
      <c r="E2553">
        <v>0</v>
      </c>
      <c r="G2553">
        <v>2551</v>
      </c>
      <c r="H2553">
        <f t="shared" ca="1" si="82"/>
        <v>5.3511060073718759E-2</v>
      </c>
    </row>
    <row r="2554" spans="2:8" x14ac:dyDescent="0.3">
      <c r="B2554" s="113">
        <v>40219</v>
      </c>
      <c r="C2554">
        <v>80.849999999999994</v>
      </c>
      <c r="D2554">
        <f t="shared" si="81"/>
        <v>0.27242681775259669</v>
      </c>
      <c r="E2554">
        <v>0</v>
      </c>
      <c r="G2554">
        <v>2552</v>
      </c>
      <c r="H2554">
        <f t="shared" ca="1" si="82"/>
        <v>-1.7966291530609958E-2</v>
      </c>
    </row>
    <row r="2555" spans="2:8" x14ac:dyDescent="0.3">
      <c r="B2555" s="113">
        <v>39997</v>
      </c>
      <c r="C2555">
        <v>63.54</v>
      </c>
      <c r="D2555">
        <f t="shared" si="81"/>
        <v>5.9706470980653743E-2</v>
      </c>
      <c r="E2555">
        <v>0</v>
      </c>
      <c r="G2555">
        <v>2553</v>
      </c>
      <c r="H2555">
        <f t="shared" ca="1" si="82"/>
        <v>1.1150159263703866E-2</v>
      </c>
    </row>
    <row r="2556" spans="2:8" x14ac:dyDescent="0.3">
      <c r="B2556" s="113">
        <v>39848</v>
      </c>
      <c r="C2556">
        <v>59.96</v>
      </c>
      <c r="D2556">
        <f t="shared" si="81"/>
        <v>5.9925755700901549E-2</v>
      </c>
      <c r="E2556">
        <v>0</v>
      </c>
      <c r="G2556">
        <v>2554</v>
      </c>
      <c r="H2556">
        <f t="shared" ca="1" si="82"/>
        <v>-1.4711006542581255E-2</v>
      </c>
    </row>
    <row r="2557" spans="2:8" x14ac:dyDescent="0.3">
      <c r="B2557" s="113">
        <v>39833</v>
      </c>
      <c r="C2557">
        <v>56.57</v>
      </c>
      <c r="D2557">
        <f t="shared" si="81"/>
        <v>0.10704500978473579</v>
      </c>
      <c r="E2557">
        <v>0</v>
      </c>
      <c r="G2557">
        <v>2555</v>
      </c>
      <c r="H2557">
        <f t="shared" ca="1" si="82"/>
        <v>8.0523227846464509E-3</v>
      </c>
    </row>
    <row r="2558" spans="2:8" x14ac:dyDescent="0.3">
      <c r="B2558" s="113">
        <v>39259</v>
      </c>
      <c r="C2558">
        <v>51.1</v>
      </c>
      <c r="D2558">
        <f t="shared" si="81"/>
        <v>-0.11637558360712429</v>
      </c>
      <c r="E2558">
        <v>0</v>
      </c>
      <c r="G2558">
        <v>2556</v>
      </c>
      <c r="H2558">
        <f t="shared" ca="1" si="82"/>
        <v>-4.3162666509197669E-3</v>
      </c>
    </row>
    <row r="2559" spans="2:8" x14ac:dyDescent="0.3">
      <c r="B2559" s="113">
        <v>39135</v>
      </c>
      <c r="C2559">
        <v>57.83</v>
      </c>
      <c r="D2559">
        <f t="shared" si="81"/>
        <v>-3.6181943487250318E-3</v>
      </c>
      <c r="E2559">
        <v>0</v>
      </c>
      <c r="G2559">
        <v>2557</v>
      </c>
      <c r="H2559">
        <f t="shared" ca="1" si="82"/>
        <v>4.3588969209436707E-4</v>
      </c>
    </row>
    <row r="2560" spans="2:8" x14ac:dyDescent="0.3">
      <c r="B2560" s="113">
        <v>38908</v>
      </c>
      <c r="C2560">
        <v>58.04</v>
      </c>
      <c r="D2560">
        <f t="shared" si="81"/>
        <v>0.51659263130389321</v>
      </c>
      <c r="E2560">
        <v>0</v>
      </c>
      <c r="G2560">
        <v>2558</v>
      </c>
      <c r="H2560">
        <f t="shared" ca="1" si="82"/>
        <v>5.2901033078833126E-3</v>
      </c>
    </row>
    <row r="2561" spans="2:8" x14ac:dyDescent="0.3">
      <c r="B2561" s="113">
        <v>38596</v>
      </c>
      <c r="C2561">
        <v>38.270000000000003</v>
      </c>
      <c r="D2561">
        <f t="shared" si="81"/>
        <v>9.4992846924177393E-2</v>
      </c>
      <c r="E2561">
        <v>0</v>
      </c>
      <c r="G2561">
        <v>2559</v>
      </c>
      <c r="H2561">
        <f t="shared" ca="1" si="82"/>
        <v>-7.043367885517321E-3</v>
      </c>
    </row>
    <row r="2562" spans="2:8" x14ac:dyDescent="0.3">
      <c r="B2562" s="113">
        <v>38509</v>
      </c>
      <c r="C2562">
        <v>34.950000000000003</v>
      </c>
      <c r="D2562">
        <f t="shared" si="81"/>
        <v>0.41440712262242013</v>
      </c>
      <c r="E2562">
        <v>0</v>
      </c>
      <c r="G2562">
        <v>2560</v>
      </c>
      <c r="H2562">
        <f t="shared" ca="1" si="82"/>
        <v>-1.1244241443885746E-2</v>
      </c>
    </row>
    <row r="2563" spans="2:8" x14ac:dyDescent="0.3">
      <c r="B2563" s="113">
        <v>38275</v>
      </c>
      <c r="C2563">
        <v>24.71</v>
      </c>
      <c r="D2563">
        <f t="shared" ref="D2563:D2626" si="83">(C2563-C2564)/C2564</f>
        <v>7.6688453159041464E-2</v>
      </c>
      <c r="E2563">
        <v>0</v>
      </c>
      <c r="G2563">
        <v>2561</v>
      </c>
      <c r="H2563">
        <f t="shared" ca="1" si="82"/>
        <v>-8.3933493444955914E-3</v>
      </c>
    </row>
    <row r="2564" spans="2:8" x14ac:dyDescent="0.3">
      <c r="B2564" s="113">
        <v>38233</v>
      </c>
      <c r="C2564">
        <v>22.95</v>
      </c>
      <c r="D2564">
        <f t="shared" si="83"/>
        <v>0.17091836734693866</v>
      </c>
      <c r="E2564">
        <v>0</v>
      </c>
      <c r="G2564">
        <v>2562</v>
      </c>
      <c r="H2564">
        <f t="shared" ref="H2564:H2627" ca="1" si="84">_xlfn.NORM.INV(RAND(),$L$4,$L$6)</f>
        <v>2.9143021729807336E-3</v>
      </c>
    </row>
    <row r="2565" spans="2:8" x14ac:dyDescent="0.3">
      <c r="B2565" s="113">
        <v>38169</v>
      </c>
      <c r="C2565">
        <v>19.600000000000001</v>
      </c>
      <c r="D2565">
        <f t="shared" si="83"/>
        <v>-0.12147019273868209</v>
      </c>
      <c r="E2565">
        <v>0</v>
      </c>
      <c r="G2565">
        <v>2563</v>
      </c>
      <c r="H2565">
        <f t="shared" ca="1" si="84"/>
        <v>3.0771635443029088E-2</v>
      </c>
    </row>
    <row r="2566" spans="2:8" x14ac:dyDescent="0.3">
      <c r="B2566" s="113">
        <v>38029</v>
      </c>
      <c r="C2566">
        <v>22.31</v>
      </c>
      <c r="D2566">
        <f t="shared" si="83"/>
        <v>0.18042328042328046</v>
      </c>
      <c r="E2566">
        <v>0</v>
      </c>
      <c r="G2566">
        <v>2564</v>
      </c>
      <c r="H2566">
        <f t="shared" ca="1" si="84"/>
        <v>-1.2178470667776066E-2</v>
      </c>
    </row>
    <row r="2567" spans="2:8" x14ac:dyDescent="0.3">
      <c r="B2567" s="113">
        <v>37952</v>
      </c>
      <c r="C2567">
        <v>18.899999999999999</v>
      </c>
      <c r="D2567">
        <f t="shared" si="83"/>
        <v>0.16883116883116861</v>
      </c>
      <c r="E2567">
        <v>0</v>
      </c>
      <c r="G2567">
        <v>2565</v>
      </c>
      <c r="H2567">
        <f t="shared" ca="1" si="84"/>
        <v>-4.3494527574161508E-3</v>
      </c>
    </row>
    <row r="2568" spans="2:8" x14ac:dyDescent="0.3">
      <c r="B2568" s="113">
        <v>37839</v>
      </c>
      <c r="C2568">
        <v>16.170000000000002</v>
      </c>
      <c r="D2568">
        <f t="shared" si="83"/>
        <v>0.16919739696312378</v>
      </c>
      <c r="E2568">
        <v>0</v>
      </c>
      <c r="G2568">
        <v>2566</v>
      </c>
      <c r="H2568">
        <f t="shared" ca="1" si="84"/>
        <v>-8.1686025575821008E-3</v>
      </c>
    </row>
    <row r="2569" spans="2:8" x14ac:dyDescent="0.3">
      <c r="B2569" s="113">
        <v>37713</v>
      </c>
      <c r="C2569">
        <v>13.83</v>
      </c>
      <c r="D2569">
        <f t="shared" si="83"/>
        <v>-1.4440433212996083E-3</v>
      </c>
      <c r="E2569">
        <v>0</v>
      </c>
      <c r="G2569">
        <v>2567</v>
      </c>
      <c r="H2569">
        <f t="shared" ca="1" si="84"/>
        <v>-5.2422160867123474E-3</v>
      </c>
    </row>
    <row r="2570" spans="2:8" x14ac:dyDescent="0.3">
      <c r="B2570" s="113">
        <v>37707</v>
      </c>
      <c r="C2570">
        <v>13.85</v>
      </c>
      <c r="D2570">
        <f t="shared" si="83"/>
        <v>-8.0345285524568447E-2</v>
      </c>
      <c r="E2570">
        <v>0</v>
      </c>
      <c r="G2570">
        <v>2568</v>
      </c>
      <c r="H2570">
        <f t="shared" ca="1" si="84"/>
        <v>-7.1531740444610546E-3</v>
      </c>
    </row>
    <row r="2571" spans="2:8" x14ac:dyDescent="0.3">
      <c r="B2571" s="113">
        <v>37637</v>
      </c>
      <c r="C2571">
        <v>15.06</v>
      </c>
      <c r="D2571">
        <f t="shared" si="83"/>
        <v>5.9817030260379989E-2</v>
      </c>
      <c r="E2571">
        <v>0</v>
      </c>
      <c r="G2571">
        <v>2569</v>
      </c>
      <c r="H2571">
        <f t="shared" ca="1" si="84"/>
        <v>1.2526439901171383E-2</v>
      </c>
    </row>
    <row r="2572" spans="2:8" x14ac:dyDescent="0.3">
      <c r="B2572" s="113">
        <v>37537</v>
      </c>
      <c r="C2572">
        <v>14.21</v>
      </c>
      <c r="D2572">
        <f t="shared" si="83"/>
        <v>-1.0445682451253383E-2</v>
      </c>
      <c r="E2572">
        <v>0</v>
      </c>
      <c r="G2572">
        <v>2570</v>
      </c>
      <c r="H2572">
        <f t="shared" ca="1" si="84"/>
        <v>3.2354119021856705E-2</v>
      </c>
    </row>
    <row r="2573" spans="2:8" x14ac:dyDescent="0.3">
      <c r="B2573" s="113">
        <v>37530</v>
      </c>
      <c r="C2573">
        <v>14.36</v>
      </c>
      <c r="D2573">
        <f t="shared" si="83"/>
        <v>-9.6551724137931422E-3</v>
      </c>
      <c r="E2573">
        <v>0</v>
      </c>
      <c r="G2573">
        <v>2571</v>
      </c>
      <c r="H2573">
        <f t="shared" ca="1" si="84"/>
        <v>3.5672412943914024E-2</v>
      </c>
    </row>
    <row r="2574" spans="2:8" x14ac:dyDescent="0.3">
      <c r="B2574" s="113">
        <v>37524</v>
      </c>
      <c r="C2574">
        <v>14.5</v>
      </c>
      <c r="D2574">
        <f t="shared" si="83"/>
        <v>-6.3307493540051704E-2</v>
      </c>
      <c r="E2574">
        <v>0</v>
      </c>
      <c r="G2574">
        <v>2572</v>
      </c>
      <c r="H2574">
        <f t="shared" ca="1" si="84"/>
        <v>-1.3219385019905983E-2</v>
      </c>
    </row>
    <row r="2575" spans="2:8" x14ac:dyDescent="0.3">
      <c r="B2575" s="113">
        <v>37453</v>
      </c>
      <c r="C2575">
        <v>15.48</v>
      </c>
      <c r="D2575">
        <f t="shared" si="83"/>
        <v>-0.92897453544390918</v>
      </c>
      <c r="E2575">
        <v>0</v>
      </c>
      <c r="G2575">
        <v>2573</v>
      </c>
      <c r="H2575">
        <f t="shared" ca="1" si="84"/>
        <v>-2.3292550725614409E-3</v>
      </c>
    </row>
    <row r="2576" spans="2:8" x14ac:dyDescent="0.3">
      <c r="B2576" s="113">
        <v>42278</v>
      </c>
      <c r="C2576">
        <v>217.95</v>
      </c>
      <c r="D2576">
        <f t="shared" si="83"/>
        <v>1.4051086400223244E-2</v>
      </c>
      <c r="E2576">
        <v>-1.3762730525736829E-4</v>
      </c>
      <c r="G2576">
        <v>2574</v>
      </c>
      <c r="H2576">
        <f t="shared" ca="1" si="84"/>
        <v>-1.1880163844448878E-2</v>
      </c>
    </row>
    <row r="2577" spans="2:8" x14ac:dyDescent="0.3">
      <c r="B2577" s="113">
        <v>41666</v>
      </c>
      <c r="C2577">
        <v>214.93</v>
      </c>
      <c r="D2577">
        <f t="shared" si="83"/>
        <v>5.5675119303826969E-3</v>
      </c>
      <c r="E2577">
        <v>-1.3956084852996434E-4</v>
      </c>
      <c r="G2577">
        <v>2575</v>
      </c>
      <c r="H2577">
        <f t="shared" ca="1" si="84"/>
        <v>-1.2061062791740962E-2</v>
      </c>
    </row>
    <row r="2578" spans="2:8" x14ac:dyDescent="0.3">
      <c r="B2578" s="113">
        <v>41638</v>
      </c>
      <c r="C2578">
        <v>213.74</v>
      </c>
      <c r="D2578">
        <f t="shared" si="83"/>
        <v>4.9648872955851367E-2</v>
      </c>
      <c r="E2578">
        <v>-1.4033774617580174E-4</v>
      </c>
      <c r="G2578">
        <v>2576</v>
      </c>
      <c r="H2578">
        <f t="shared" ca="1" si="84"/>
        <v>1.3780238529085425E-2</v>
      </c>
    </row>
    <row r="2579" spans="2:8" x14ac:dyDescent="0.3">
      <c r="B2579" s="113">
        <v>41366</v>
      </c>
      <c r="C2579">
        <v>203.63</v>
      </c>
      <c r="D2579">
        <f t="shared" si="83"/>
        <v>7.004729374671563E-2</v>
      </c>
      <c r="E2579">
        <v>-1.4730433074732955E-4</v>
      </c>
      <c r="G2579">
        <v>2577</v>
      </c>
      <c r="H2579">
        <f t="shared" ca="1" si="84"/>
        <v>2.2401412707405085E-2</v>
      </c>
    </row>
    <row r="2580" spans="2:8" x14ac:dyDescent="0.3">
      <c r="B2580" s="113">
        <v>41264</v>
      </c>
      <c r="C2580">
        <v>190.3</v>
      </c>
      <c r="D2580">
        <f t="shared" si="83"/>
        <v>2.1506622516556293</v>
      </c>
      <c r="E2580">
        <v>-1.5762097409762588E-4</v>
      </c>
      <c r="G2580">
        <v>2578</v>
      </c>
      <c r="H2580">
        <f t="shared" ca="1" si="84"/>
        <v>-1.950243339312983E-2</v>
      </c>
    </row>
    <row r="2581" spans="2:8" x14ac:dyDescent="0.3">
      <c r="B2581" s="113">
        <v>39682</v>
      </c>
      <c r="C2581">
        <v>60.4</v>
      </c>
      <c r="D2581">
        <f t="shared" si="83"/>
        <v>-0.65954568513612533</v>
      </c>
      <c r="E2581">
        <v>-1.6553550736629716E-4</v>
      </c>
      <c r="G2581">
        <v>2579</v>
      </c>
      <c r="H2581">
        <f t="shared" ca="1" si="84"/>
        <v>-4.3452675722768942E-3</v>
      </c>
    </row>
    <row r="2582" spans="2:8" x14ac:dyDescent="0.3">
      <c r="B2582" s="113">
        <v>41155</v>
      </c>
      <c r="C2582">
        <v>177.41</v>
      </c>
      <c r="D2582">
        <f t="shared" si="83"/>
        <v>2.11792618629174</v>
      </c>
      <c r="E2582">
        <v>-1.6907123534716601E-4</v>
      </c>
      <c r="G2582">
        <v>2580</v>
      </c>
      <c r="H2582">
        <f t="shared" ca="1" si="84"/>
        <v>-1.5054930445472238E-2</v>
      </c>
    </row>
    <row r="2583" spans="2:8" x14ac:dyDescent="0.3">
      <c r="B2583" s="113">
        <v>39814</v>
      </c>
      <c r="C2583">
        <v>56.9</v>
      </c>
      <c r="D2583">
        <f t="shared" si="83"/>
        <v>4.9452490286118183E-3</v>
      </c>
      <c r="E2583">
        <v>-1.7571604287467952E-4</v>
      </c>
      <c r="G2583">
        <v>2581</v>
      </c>
      <c r="H2583">
        <f t="shared" ca="1" si="84"/>
        <v>8.9141255977422118E-3</v>
      </c>
    </row>
    <row r="2584" spans="2:8" x14ac:dyDescent="0.3">
      <c r="B2584" s="113">
        <v>38891</v>
      </c>
      <c r="C2584">
        <v>56.62</v>
      </c>
      <c r="D2584">
        <f t="shared" si="83"/>
        <v>-0.79713364385524899</v>
      </c>
      <c r="E2584">
        <v>-1.7658484902004443E-4</v>
      </c>
      <c r="G2584">
        <v>2582</v>
      </c>
      <c r="H2584">
        <f t="shared" ca="1" si="84"/>
        <v>2.6417447351782808E-2</v>
      </c>
    </row>
    <row r="2585" spans="2:8" x14ac:dyDescent="0.3">
      <c r="B2585" s="113">
        <v>42842</v>
      </c>
      <c r="C2585">
        <v>279.10000000000002</v>
      </c>
      <c r="D2585">
        <f t="shared" si="83"/>
        <v>1.7917935853793717E-4</v>
      </c>
      <c r="E2585">
        <v>-1.7911517105482548E-4</v>
      </c>
      <c r="G2585">
        <v>2583</v>
      </c>
      <c r="H2585">
        <f t="shared" ca="1" si="84"/>
        <v>-1.3484442325059289E-3</v>
      </c>
    </row>
    <row r="2586" spans="2:8" x14ac:dyDescent="0.3">
      <c r="B2586" s="113">
        <v>42843</v>
      </c>
      <c r="C2586">
        <v>279.05</v>
      </c>
      <c r="D2586">
        <f t="shared" si="83"/>
        <v>1.1600507522204054E-2</v>
      </c>
      <c r="E2586">
        <v>-1.7914725904697731E-4</v>
      </c>
      <c r="G2586">
        <v>2584</v>
      </c>
      <c r="H2586">
        <f t="shared" ca="1" si="84"/>
        <v>-1.7800801767986511E-3</v>
      </c>
    </row>
    <row r="2587" spans="2:8" x14ac:dyDescent="0.3">
      <c r="B2587" s="113">
        <v>43516</v>
      </c>
      <c r="C2587">
        <v>275.85000000000002</v>
      </c>
      <c r="D2587">
        <f t="shared" si="83"/>
        <v>0.26897598675131118</v>
      </c>
      <c r="E2587">
        <v>-1.8122508155112189E-4</v>
      </c>
      <c r="G2587">
        <v>2585</v>
      </c>
      <c r="H2587">
        <f t="shared" ca="1" si="84"/>
        <v>-3.1729339500652605E-2</v>
      </c>
    </row>
    <row r="2588" spans="2:8" x14ac:dyDescent="0.3">
      <c r="B2588" s="113">
        <v>41576</v>
      </c>
      <c r="C2588">
        <v>217.38</v>
      </c>
      <c r="D2588">
        <f t="shared" si="83"/>
        <v>1.5203870076018616E-3</v>
      </c>
      <c r="E2588">
        <v>-1.8397571520555628E-4</v>
      </c>
      <c r="G2588">
        <v>2586</v>
      </c>
      <c r="H2588">
        <f t="shared" ca="1" si="84"/>
        <v>4.5040253462774751E-2</v>
      </c>
    </row>
    <row r="2589" spans="2:8" x14ac:dyDescent="0.3">
      <c r="B2589" s="113">
        <v>42086</v>
      </c>
      <c r="C2589">
        <v>217.05</v>
      </c>
      <c r="D2589">
        <f t="shared" si="83"/>
        <v>-0.18707865168539323</v>
      </c>
      <c r="E2589">
        <v>-1.8425537795380736E-4</v>
      </c>
      <c r="G2589">
        <v>2587</v>
      </c>
      <c r="H2589">
        <f t="shared" ca="1" si="84"/>
        <v>8.5050696243778659E-3</v>
      </c>
    </row>
    <row r="2590" spans="2:8" x14ac:dyDescent="0.3">
      <c r="B2590" s="113">
        <v>43032</v>
      </c>
      <c r="C2590">
        <v>267</v>
      </c>
      <c r="D2590">
        <f t="shared" si="83"/>
        <v>4.0028105677346826</v>
      </c>
      <c r="E2590">
        <v>-1.8723085564505287E-4</v>
      </c>
      <c r="G2590">
        <v>2588</v>
      </c>
      <c r="H2590">
        <f t="shared" ca="1" si="84"/>
        <v>-5.5939813607085651E-3</v>
      </c>
    </row>
    <row r="2591" spans="2:8" x14ac:dyDescent="0.3">
      <c r="B2591" s="113">
        <v>39209</v>
      </c>
      <c r="C2591">
        <v>53.37</v>
      </c>
      <c r="D2591">
        <f t="shared" si="83"/>
        <v>4.6470588235294069E-2</v>
      </c>
      <c r="E2591">
        <v>-1.873360809292828E-4</v>
      </c>
      <c r="G2591">
        <v>2589</v>
      </c>
      <c r="H2591">
        <f t="shared" ca="1" si="84"/>
        <v>-3.5317757745979123E-3</v>
      </c>
    </row>
    <row r="2592" spans="2:8" x14ac:dyDescent="0.3">
      <c r="B2592" s="113">
        <v>39245</v>
      </c>
      <c r="C2592">
        <v>51</v>
      </c>
      <c r="D2592">
        <f t="shared" si="83"/>
        <v>-0.70199836391258619</v>
      </c>
      <c r="E2592">
        <v>-1.9603999215836131E-4</v>
      </c>
      <c r="G2592">
        <v>2590</v>
      </c>
      <c r="H2592">
        <f t="shared" ca="1" si="84"/>
        <v>-9.9169692206575073E-3</v>
      </c>
    </row>
    <row r="2593" spans="2:8" x14ac:dyDescent="0.3">
      <c r="B2593" s="113">
        <v>41121</v>
      </c>
      <c r="C2593">
        <v>171.14</v>
      </c>
      <c r="D2593">
        <f t="shared" si="83"/>
        <v>-0.18075634274772628</v>
      </c>
      <c r="E2593">
        <v>-2.3367215796249831E-4</v>
      </c>
      <c r="G2593">
        <v>2591</v>
      </c>
      <c r="H2593">
        <f t="shared" ca="1" si="84"/>
        <v>1.734251107542846E-2</v>
      </c>
    </row>
    <row r="2594" spans="2:8" x14ac:dyDescent="0.3">
      <c r="B2594" s="113">
        <v>44428</v>
      </c>
      <c r="C2594">
        <v>208.9</v>
      </c>
      <c r="D2594">
        <f t="shared" si="83"/>
        <v>1.5162611418935199</v>
      </c>
      <c r="E2594">
        <v>-2.3929169657804715E-4</v>
      </c>
      <c r="G2594">
        <v>2592</v>
      </c>
      <c r="H2594">
        <f t="shared" ca="1" si="84"/>
        <v>-8.5965192963281659E-5</v>
      </c>
    </row>
    <row r="2595" spans="2:8" x14ac:dyDescent="0.3">
      <c r="B2595" s="113">
        <v>40106</v>
      </c>
      <c r="C2595">
        <v>83.02</v>
      </c>
      <c r="D2595">
        <f t="shared" si="83"/>
        <v>-0.32961886304909566</v>
      </c>
      <c r="E2595">
        <v>-2.4084778420050855E-4</v>
      </c>
      <c r="G2595">
        <v>2593</v>
      </c>
      <c r="H2595">
        <f t="shared" ca="1" si="84"/>
        <v>-1.4945314169263613E-2</v>
      </c>
    </row>
    <row r="2596" spans="2:8" x14ac:dyDescent="0.3">
      <c r="B2596" s="113">
        <v>40667</v>
      </c>
      <c r="C2596">
        <v>123.84</v>
      </c>
      <c r="D2596">
        <f t="shared" si="83"/>
        <v>-0.3967851924013639</v>
      </c>
      <c r="E2596">
        <v>-2.42189392104635E-4</v>
      </c>
      <c r="G2596">
        <v>2594</v>
      </c>
      <c r="H2596">
        <f t="shared" ca="1" si="84"/>
        <v>5.3400047635250554E-3</v>
      </c>
    </row>
    <row r="2597" spans="2:8" x14ac:dyDescent="0.3">
      <c r="B2597" s="113">
        <v>44312</v>
      </c>
      <c r="C2597">
        <v>205.3</v>
      </c>
      <c r="D2597">
        <f t="shared" si="83"/>
        <v>1.5015230900450838</v>
      </c>
      <c r="E2597">
        <v>-2.4348672997313343E-4</v>
      </c>
      <c r="G2597">
        <v>2595</v>
      </c>
      <c r="H2597">
        <f t="shared" ca="1" si="84"/>
        <v>-1.0519386397350094E-3</v>
      </c>
    </row>
    <row r="2598" spans="2:8" x14ac:dyDescent="0.3">
      <c r="B2598" s="113">
        <v>40234</v>
      </c>
      <c r="C2598">
        <v>82.07</v>
      </c>
      <c r="D2598">
        <f t="shared" si="83"/>
        <v>-0.6534352434441113</v>
      </c>
      <c r="E2598">
        <v>-2.4363503471811707E-4</v>
      </c>
      <c r="G2598">
        <v>2596</v>
      </c>
      <c r="H2598">
        <f t="shared" ca="1" si="84"/>
        <v>-2.1839022994495964E-2</v>
      </c>
    </row>
    <row r="2599" spans="2:8" x14ac:dyDescent="0.3">
      <c r="B2599" s="113">
        <v>41848</v>
      </c>
      <c r="C2599">
        <v>236.81</v>
      </c>
      <c r="D2599">
        <f t="shared" si="83"/>
        <v>1.0405859543300302</v>
      </c>
      <c r="E2599">
        <v>-2.5330349981003198E-4</v>
      </c>
      <c r="G2599">
        <v>2597</v>
      </c>
      <c r="H2599">
        <f t="shared" ca="1" si="84"/>
        <v>1.9035452688099665E-2</v>
      </c>
    </row>
    <row r="2600" spans="2:8" x14ac:dyDescent="0.3">
      <c r="B2600" s="113">
        <v>40465</v>
      </c>
      <c r="C2600">
        <v>116.05</v>
      </c>
      <c r="D2600">
        <f t="shared" si="83"/>
        <v>8.6042065009559777E-3</v>
      </c>
      <c r="E2600">
        <v>-2.5844245348036817E-4</v>
      </c>
      <c r="G2600">
        <v>2598</v>
      </c>
      <c r="H2600">
        <f t="shared" ca="1" si="84"/>
        <v>1.4041959513378737E-2</v>
      </c>
    </row>
    <row r="2601" spans="2:8" x14ac:dyDescent="0.3">
      <c r="B2601" s="113">
        <v>40605</v>
      </c>
      <c r="C2601">
        <v>115.06</v>
      </c>
      <c r="D2601">
        <f t="shared" si="83"/>
        <v>3.3689695445153177E-2</v>
      </c>
      <c r="E2601">
        <v>-2.6066556607873086E-4</v>
      </c>
      <c r="G2601">
        <v>2599</v>
      </c>
      <c r="H2601">
        <f t="shared" ca="1" si="84"/>
        <v>2.9802059788654855E-2</v>
      </c>
    </row>
    <row r="2602" spans="2:8" x14ac:dyDescent="0.3">
      <c r="B2602" s="113">
        <v>40623</v>
      </c>
      <c r="C2602">
        <v>111.31</v>
      </c>
      <c r="D2602">
        <f t="shared" si="83"/>
        <v>0.52709562354232409</v>
      </c>
      <c r="E2602">
        <v>-2.6944494341657211E-4</v>
      </c>
      <c r="G2602">
        <v>2600</v>
      </c>
      <c r="H2602">
        <f t="shared" ca="1" si="84"/>
        <v>-3.1730878013784908E-2</v>
      </c>
    </row>
    <row r="2603" spans="2:8" x14ac:dyDescent="0.3">
      <c r="B2603" s="113">
        <v>39602</v>
      </c>
      <c r="C2603">
        <v>72.89</v>
      </c>
      <c r="D2603">
        <f t="shared" si="83"/>
        <v>-0.65642234268206456</v>
      </c>
      <c r="E2603">
        <v>-2.7431079412969445E-4</v>
      </c>
      <c r="G2603">
        <v>2601</v>
      </c>
      <c r="H2603">
        <f t="shared" ca="1" si="84"/>
        <v>-1.6192435280557561E-2</v>
      </c>
    </row>
    <row r="2604" spans="2:8" x14ac:dyDescent="0.3">
      <c r="B2604" s="113">
        <v>42250</v>
      </c>
      <c r="C2604">
        <v>212.15</v>
      </c>
      <c r="D2604">
        <f t="shared" si="83"/>
        <v>2.0246224872559431E-2</v>
      </c>
      <c r="E2604">
        <v>-2.827387964752004E-4</v>
      </c>
      <c r="G2604">
        <v>2602</v>
      </c>
      <c r="H2604">
        <f t="shared" ca="1" si="84"/>
        <v>2.6850897105302335E-2</v>
      </c>
    </row>
    <row r="2605" spans="2:8" x14ac:dyDescent="0.3">
      <c r="B2605" s="113">
        <v>42261</v>
      </c>
      <c r="C2605">
        <v>207.94</v>
      </c>
      <c r="D2605">
        <f t="shared" si="83"/>
        <v>-0.1098077828674173</v>
      </c>
      <c r="E2605">
        <v>-2.8846153846154938E-4</v>
      </c>
      <c r="G2605">
        <v>2603</v>
      </c>
      <c r="H2605">
        <f t="shared" ca="1" si="84"/>
        <v>8.5234161049188174E-3</v>
      </c>
    </row>
    <row r="2606" spans="2:8" x14ac:dyDescent="0.3">
      <c r="B2606" s="113">
        <v>41878</v>
      </c>
      <c r="C2606">
        <v>233.59</v>
      </c>
      <c r="D2606">
        <f t="shared" si="83"/>
        <v>0.76707769120205771</v>
      </c>
      <c r="E2606">
        <v>-2.9958058717792166E-4</v>
      </c>
      <c r="G2606">
        <v>2604</v>
      </c>
      <c r="H2606">
        <f t="shared" ca="1" si="84"/>
        <v>-3.3461717450225564E-3</v>
      </c>
    </row>
    <row r="2607" spans="2:8" x14ac:dyDescent="0.3">
      <c r="B2607" s="113">
        <v>40801</v>
      </c>
      <c r="C2607">
        <v>132.19</v>
      </c>
      <c r="D2607">
        <f t="shared" si="83"/>
        <v>-0.42792227463539184</v>
      </c>
      <c r="E2607">
        <v>-3.0250321409658961E-4</v>
      </c>
      <c r="G2607">
        <v>2605</v>
      </c>
      <c r="H2607">
        <f t="shared" ca="1" si="84"/>
        <v>5.2789573618272252E-3</v>
      </c>
    </row>
    <row r="2608" spans="2:8" x14ac:dyDescent="0.3">
      <c r="B2608" s="113">
        <v>42298</v>
      </c>
      <c r="C2608">
        <v>231.07</v>
      </c>
      <c r="D2608">
        <f t="shared" si="83"/>
        <v>0.8130247155747351</v>
      </c>
      <c r="E2608">
        <v>-3.0284675953964343E-4</v>
      </c>
      <c r="G2608">
        <v>2606</v>
      </c>
      <c r="H2608">
        <f t="shared" ca="1" si="84"/>
        <v>-1.7560025659959223E-2</v>
      </c>
    </row>
    <row r="2609" spans="2:8" x14ac:dyDescent="0.3">
      <c r="B2609" s="113">
        <v>40872</v>
      </c>
      <c r="C2609">
        <v>127.45</v>
      </c>
      <c r="D2609">
        <f t="shared" si="83"/>
        <v>1.1348408710217754</v>
      </c>
      <c r="E2609">
        <v>-3.1375009804684322E-4</v>
      </c>
      <c r="G2609">
        <v>2607</v>
      </c>
      <c r="H2609">
        <f t="shared" ca="1" si="84"/>
        <v>7.9597194790020451E-3</v>
      </c>
    </row>
    <row r="2610" spans="2:8" x14ac:dyDescent="0.3">
      <c r="B2610" s="113">
        <v>38957</v>
      </c>
      <c r="C2610">
        <v>59.7</v>
      </c>
      <c r="D2610">
        <f t="shared" si="83"/>
        <v>-0.79690423541418609</v>
      </c>
      <c r="E2610">
        <v>-3.3489618218345647E-4</v>
      </c>
      <c r="G2610">
        <v>2608</v>
      </c>
      <c r="H2610">
        <f t="shared" ca="1" si="84"/>
        <v>-2.0313814037652728E-2</v>
      </c>
    </row>
    <row r="2611" spans="2:8" x14ac:dyDescent="0.3">
      <c r="B2611" s="113">
        <v>43482</v>
      </c>
      <c r="C2611">
        <v>293.95</v>
      </c>
      <c r="D2611">
        <f t="shared" si="83"/>
        <v>4.0273644604070462</v>
      </c>
      <c r="E2611">
        <v>-3.4007821799021502E-4</v>
      </c>
      <c r="G2611">
        <v>2609</v>
      </c>
      <c r="H2611">
        <f t="shared" ca="1" si="84"/>
        <v>8.7145562414558831E-3</v>
      </c>
    </row>
    <row r="2612" spans="2:8" x14ac:dyDescent="0.3">
      <c r="B2612" s="113">
        <v>39122</v>
      </c>
      <c r="C2612">
        <v>58.47</v>
      </c>
      <c r="D2612">
        <f t="shared" si="83"/>
        <v>1.0815236739053042</v>
      </c>
      <c r="E2612">
        <v>-3.4193879295611431E-4</v>
      </c>
      <c r="G2612">
        <v>2610</v>
      </c>
      <c r="H2612">
        <f t="shared" ca="1" si="84"/>
        <v>-1.6896216379300312E-2</v>
      </c>
    </row>
    <row r="2613" spans="2:8" x14ac:dyDescent="0.3">
      <c r="B2613" s="113">
        <v>38364</v>
      </c>
      <c r="C2613">
        <v>28.09</v>
      </c>
      <c r="D2613">
        <f t="shared" si="83"/>
        <v>3.5727045373348133E-3</v>
      </c>
      <c r="E2613">
        <v>-3.5587188612105203E-4</v>
      </c>
      <c r="G2613">
        <v>2611</v>
      </c>
      <c r="H2613">
        <f t="shared" ca="1" si="84"/>
        <v>1.3457299559605684E-2</v>
      </c>
    </row>
    <row r="2614" spans="2:8" x14ac:dyDescent="0.3">
      <c r="B2614" s="113">
        <v>38334</v>
      </c>
      <c r="C2614">
        <v>27.99</v>
      </c>
      <c r="D2614">
        <f t="shared" si="83"/>
        <v>-0.85133843212237093</v>
      </c>
      <c r="E2614">
        <v>-3.5714285714291298E-4</v>
      </c>
      <c r="G2614">
        <v>2612</v>
      </c>
      <c r="H2614">
        <f t="shared" ca="1" si="84"/>
        <v>-5.6918173278727646E-3</v>
      </c>
    </row>
    <row r="2615" spans="2:8" x14ac:dyDescent="0.3">
      <c r="B2615" s="113">
        <v>41290</v>
      </c>
      <c r="C2615">
        <v>188.28</v>
      </c>
      <c r="D2615">
        <f t="shared" si="83"/>
        <v>2.5061452513966476</v>
      </c>
      <c r="E2615">
        <v>-3.7164852667901873E-4</v>
      </c>
      <c r="G2615">
        <v>2613</v>
      </c>
      <c r="H2615">
        <f t="shared" ca="1" si="84"/>
        <v>4.1753993486419085E-3</v>
      </c>
    </row>
    <row r="2616" spans="2:8" x14ac:dyDescent="0.3">
      <c r="B2616" s="113">
        <v>39217</v>
      </c>
      <c r="C2616">
        <v>53.7</v>
      </c>
      <c r="D2616">
        <f t="shared" si="83"/>
        <v>-0.79670641680863152</v>
      </c>
      <c r="E2616">
        <v>-3.7230081906172789E-4</v>
      </c>
      <c r="G2616">
        <v>2614</v>
      </c>
      <c r="H2616">
        <f t="shared" ca="1" si="84"/>
        <v>-1.0037748430602742E-2</v>
      </c>
    </row>
    <row r="2617" spans="2:8" x14ac:dyDescent="0.3">
      <c r="B2617" s="113">
        <v>42802</v>
      </c>
      <c r="C2617">
        <v>264.14999999999998</v>
      </c>
      <c r="D2617">
        <f t="shared" si="83"/>
        <v>3.5476283810270418E-2</v>
      </c>
      <c r="E2617">
        <v>-3.7842951750245122E-4</v>
      </c>
      <c r="G2617">
        <v>2615</v>
      </c>
      <c r="H2617">
        <f t="shared" ca="1" si="84"/>
        <v>7.7338503860058857E-3</v>
      </c>
    </row>
    <row r="2618" spans="2:8" x14ac:dyDescent="0.3">
      <c r="B2618" s="113">
        <v>43073</v>
      </c>
      <c r="C2618">
        <v>255.1</v>
      </c>
      <c r="D2618">
        <f t="shared" si="83"/>
        <v>9.0551832873472602</v>
      </c>
      <c r="E2618">
        <v>-3.9184952978054202E-4</v>
      </c>
      <c r="G2618">
        <v>2616</v>
      </c>
      <c r="H2618">
        <f t="shared" ca="1" si="84"/>
        <v>5.4656017031398767E-3</v>
      </c>
    </row>
    <row r="2619" spans="2:8" x14ac:dyDescent="0.3">
      <c r="B2619" s="113">
        <v>38303</v>
      </c>
      <c r="C2619">
        <v>25.37</v>
      </c>
      <c r="D2619">
        <f t="shared" si="83"/>
        <v>9.5503382411461207E-3</v>
      </c>
      <c r="E2619">
        <v>-3.9401103230882629E-4</v>
      </c>
      <c r="G2619">
        <v>2617</v>
      </c>
      <c r="H2619">
        <f t="shared" ca="1" si="84"/>
        <v>3.6501889764350474E-2</v>
      </c>
    </row>
    <row r="2620" spans="2:8" x14ac:dyDescent="0.3">
      <c r="B2620" s="113">
        <v>38260</v>
      </c>
      <c r="C2620">
        <v>25.13</v>
      </c>
      <c r="D2620">
        <f t="shared" si="83"/>
        <v>-0.66484395838890376</v>
      </c>
      <c r="E2620">
        <v>-3.9777247414485138E-4</v>
      </c>
      <c r="G2620">
        <v>2618</v>
      </c>
      <c r="H2620">
        <f t="shared" ca="1" si="84"/>
        <v>3.3789913440346743E-2</v>
      </c>
    </row>
    <row r="2621" spans="2:8" x14ac:dyDescent="0.3">
      <c r="B2621" s="113">
        <v>39583</v>
      </c>
      <c r="C2621">
        <v>74.98</v>
      </c>
      <c r="D2621">
        <f t="shared" si="83"/>
        <v>-0.68673490703989981</v>
      </c>
      <c r="E2621">
        <v>-3.999466737768449E-4</v>
      </c>
      <c r="G2621">
        <v>2619</v>
      </c>
      <c r="H2621">
        <f t="shared" ca="1" si="84"/>
        <v>-3.116055756584394E-3</v>
      </c>
    </row>
    <row r="2622" spans="2:8" x14ac:dyDescent="0.3">
      <c r="B2622" s="113">
        <v>42663</v>
      </c>
      <c r="C2622">
        <v>239.35</v>
      </c>
      <c r="D2622">
        <f t="shared" si="83"/>
        <v>9.0314333612741002</v>
      </c>
      <c r="E2622">
        <v>-4.1762372102733061E-4</v>
      </c>
      <c r="G2622">
        <v>2620</v>
      </c>
      <c r="H2622">
        <f t="shared" ca="1" si="84"/>
        <v>-2.0119079166195937E-2</v>
      </c>
    </row>
    <row r="2623" spans="2:8" x14ac:dyDescent="0.3">
      <c r="B2623" s="113">
        <v>38035</v>
      </c>
      <c r="C2623">
        <v>23.86</v>
      </c>
      <c r="D2623">
        <f t="shared" si="83"/>
        <v>-0.8987051581405221</v>
      </c>
      <c r="E2623">
        <v>-4.1893590280693603E-4</v>
      </c>
      <c r="G2623">
        <v>2621</v>
      </c>
      <c r="H2623">
        <f t="shared" ca="1" si="84"/>
        <v>-2.0112894263045539E-2</v>
      </c>
    </row>
    <row r="2624" spans="2:8" x14ac:dyDescent="0.3">
      <c r="B2624" s="113">
        <v>41537</v>
      </c>
      <c r="C2624">
        <v>235.55</v>
      </c>
      <c r="D2624">
        <f t="shared" si="83"/>
        <v>9.1881487889273359</v>
      </c>
      <c r="E2624">
        <v>-4.243581582855689E-4</v>
      </c>
      <c r="G2624">
        <v>2622</v>
      </c>
      <c r="H2624">
        <f t="shared" ca="1" si="84"/>
        <v>1.1408890873346135E-2</v>
      </c>
    </row>
    <row r="2625" spans="2:8" x14ac:dyDescent="0.3">
      <c r="B2625" s="113">
        <v>38205</v>
      </c>
      <c r="C2625">
        <v>23.12</v>
      </c>
      <c r="D2625">
        <f t="shared" si="83"/>
        <v>-0.89864983342100646</v>
      </c>
      <c r="E2625">
        <v>-4.3233895373964595E-4</v>
      </c>
      <c r="G2625">
        <v>2623</v>
      </c>
      <c r="H2625">
        <f t="shared" ca="1" si="84"/>
        <v>8.895124396800928E-3</v>
      </c>
    </row>
    <row r="2626" spans="2:8" x14ac:dyDescent="0.3">
      <c r="B2626" s="113">
        <v>41838</v>
      </c>
      <c r="C2626">
        <v>228.12</v>
      </c>
      <c r="D2626">
        <f t="shared" si="83"/>
        <v>2.4027446300715987</v>
      </c>
      <c r="E2626">
        <v>-4.381736920515043E-4</v>
      </c>
      <c r="G2626">
        <v>2624</v>
      </c>
      <c r="H2626">
        <f t="shared" ca="1" si="84"/>
        <v>-2.5067051350510995E-2</v>
      </c>
    </row>
    <row r="2627" spans="2:8" x14ac:dyDescent="0.3">
      <c r="B2627" s="113">
        <v>39506</v>
      </c>
      <c r="C2627">
        <v>67.040000000000006</v>
      </c>
      <c r="D2627">
        <f t="shared" ref="D2627:D2690" si="85">(C2627-C2628)/C2628</f>
        <v>-0.49854140175031786</v>
      </c>
      <c r="E2627">
        <v>-4.4729387207375769E-4</v>
      </c>
      <c r="G2627">
        <v>2625</v>
      </c>
      <c r="H2627">
        <f t="shared" ca="1" si="84"/>
        <v>4.9605778892841234E-4</v>
      </c>
    </row>
    <row r="2628" spans="2:8" x14ac:dyDescent="0.3">
      <c r="B2628" s="113">
        <v>40742</v>
      </c>
      <c r="C2628">
        <v>133.69</v>
      </c>
      <c r="D2628">
        <f t="shared" si="85"/>
        <v>-0.39992818349118003</v>
      </c>
      <c r="E2628">
        <v>-4.4859813084113852E-4</v>
      </c>
      <c r="G2628">
        <v>2626</v>
      </c>
      <c r="H2628">
        <f t="shared" ref="H2628:H2691" ca="1" si="86">_xlfn.NORM.INV(RAND(),$L$4,$L$6)</f>
        <v>-1.3127630388856941E-2</v>
      </c>
    </row>
    <row r="2629" spans="2:8" x14ac:dyDescent="0.3">
      <c r="B2629" s="113">
        <v>41807</v>
      </c>
      <c r="C2629">
        <v>222.79</v>
      </c>
      <c r="D2629">
        <f t="shared" si="85"/>
        <v>6.2878958005832628E-4</v>
      </c>
      <c r="E2629">
        <v>-4.4865180133695691E-4</v>
      </c>
      <c r="G2629">
        <v>2627</v>
      </c>
      <c r="H2629">
        <f t="shared" ca="1" si="86"/>
        <v>-2.1717661080174044E-3</v>
      </c>
    </row>
    <row r="2630" spans="2:8" x14ac:dyDescent="0.3">
      <c r="B2630" s="113">
        <v>44609</v>
      </c>
      <c r="C2630">
        <v>222.65</v>
      </c>
      <c r="D2630">
        <f t="shared" si="85"/>
        <v>9.2462034054302809</v>
      </c>
      <c r="E2630">
        <v>-4.4893378226709007E-4</v>
      </c>
      <c r="G2630">
        <v>2628</v>
      </c>
      <c r="H2630">
        <f t="shared" ca="1" si="86"/>
        <v>-9.9790340081620937E-3</v>
      </c>
    </row>
    <row r="2631" spans="2:8" x14ac:dyDescent="0.3">
      <c r="B2631" s="113">
        <v>37986</v>
      </c>
      <c r="C2631">
        <v>21.73</v>
      </c>
      <c r="D2631">
        <f t="shared" si="85"/>
        <v>-0.89939814814814822</v>
      </c>
      <c r="E2631">
        <v>-4.599816007358791E-4</v>
      </c>
      <c r="G2631">
        <v>2629</v>
      </c>
      <c r="H2631">
        <f t="shared" ca="1" si="86"/>
        <v>-1.4276323331763702E-2</v>
      </c>
    </row>
    <row r="2632" spans="2:8" x14ac:dyDescent="0.3">
      <c r="B2632" s="113">
        <v>44454</v>
      </c>
      <c r="C2632">
        <v>216</v>
      </c>
      <c r="D2632">
        <f t="shared" si="85"/>
        <v>1.2468360363738617E-2</v>
      </c>
      <c r="E2632">
        <v>-4.6274872744097326E-4</v>
      </c>
      <c r="G2632">
        <v>2630</v>
      </c>
      <c r="H2632">
        <f t="shared" ca="1" si="86"/>
        <v>2.1342463946370252E-2</v>
      </c>
    </row>
    <row r="2633" spans="2:8" x14ac:dyDescent="0.3">
      <c r="B2633" s="113">
        <v>42404</v>
      </c>
      <c r="C2633">
        <v>213.34</v>
      </c>
      <c r="D2633">
        <f t="shared" si="85"/>
        <v>8.6043872919818135E-3</v>
      </c>
      <c r="E2633">
        <v>-4.6851574212890891E-4</v>
      </c>
      <c r="G2633">
        <v>2631</v>
      </c>
      <c r="H2633">
        <f t="shared" ca="1" si="86"/>
        <v>1.6627142432205613E-2</v>
      </c>
    </row>
    <row r="2634" spans="2:8" x14ac:dyDescent="0.3">
      <c r="B2634" s="113">
        <v>41632</v>
      </c>
      <c r="C2634">
        <v>211.52</v>
      </c>
      <c r="D2634">
        <f t="shared" si="85"/>
        <v>3.458058204940094E-2</v>
      </c>
      <c r="E2634">
        <v>-4.7254512805970281E-4</v>
      </c>
      <c r="G2634">
        <v>2632</v>
      </c>
      <c r="H2634">
        <f t="shared" ca="1" si="86"/>
        <v>-1.4646580122298167E-2</v>
      </c>
    </row>
    <row r="2635" spans="2:8" x14ac:dyDescent="0.3">
      <c r="B2635" s="113">
        <v>44368</v>
      </c>
      <c r="C2635">
        <v>204.45</v>
      </c>
      <c r="D2635">
        <f t="shared" si="85"/>
        <v>-0.3206512709752451</v>
      </c>
      <c r="E2635">
        <v>-4.8887802493289038E-4</v>
      </c>
      <c r="G2635">
        <v>2633</v>
      </c>
      <c r="H2635">
        <f t="shared" ca="1" si="86"/>
        <v>-2.199689971456992E-5</v>
      </c>
    </row>
    <row r="2636" spans="2:8" x14ac:dyDescent="0.3">
      <c r="B2636" s="113">
        <v>43320</v>
      </c>
      <c r="C2636">
        <v>300.95</v>
      </c>
      <c r="D2636">
        <f t="shared" si="85"/>
        <v>4.0200166805671387</v>
      </c>
      <c r="E2636">
        <v>-4.9817336433090038E-4</v>
      </c>
      <c r="G2636">
        <v>2634</v>
      </c>
      <c r="H2636">
        <f t="shared" ca="1" si="86"/>
        <v>1.929056667461522E-2</v>
      </c>
    </row>
    <row r="2637" spans="2:8" x14ac:dyDescent="0.3">
      <c r="B2637" s="113">
        <v>39342</v>
      </c>
      <c r="C2637">
        <v>59.95</v>
      </c>
      <c r="D2637">
        <f t="shared" si="85"/>
        <v>-0.6991670012043355</v>
      </c>
      <c r="E2637">
        <v>-5.0016672224064741E-4</v>
      </c>
      <c r="G2637">
        <v>2635</v>
      </c>
      <c r="H2637">
        <f t="shared" ca="1" si="86"/>
        <v>-2.6024902959223384E-2</v>
      </c>
    </row>
    <row r="2638" spans="2:8" x14ac:dyDescent="0.3">
      <c r="B2638" s="113">
        <v>41320</v>
      </c>
      <c r="C2638">
        <v>199.28</v>
      </c>
      <c r="D2638">
        <f t="shared" si="85"/>
        <v>4.1824137062232937E-3</v>
      </c>
      <c r="E2638">
        <v>-5.0155481994179109E-4</v>
      </c>
      <c r="G2638">
        <v>2636</v>
      </c>
      <c r="H2638">
        <f t="shared" ca="1" si="86"/>
        <v>-2.1734268627719468E-2</v>
      </c>
    </row>
    <row r="2639" spans="2:8" x14ac:dyDescent="0.3">
      <c r="B2639" s="113">
        <v>44062</v>
      </c>
      <c r="C2639">
        <v>198.45</v>
      </c>
      <c r="D2639">
        <f t="shared" si="85"/>
        <v>6.0326472675656384E-3</v>
      </c>
      <c r="E2639">
        <v>-5.036514731806735E-4</v>
      </c>
      <c r="G2639">
        <v>2637</v>
      </c>
      <c r="H2639">
        <f t="shared" ca="1" si="86"/>
        <v>-5.0748128620584842E-3</v>
      </c>
    </row>
    <row r="2640" spans="2:8" x14ac:dyDescent="0.3">
      <c r="B2640" s="113">
        <v>41344</v>
      </c>
      <c r="C2640">
        <v>197.26</v>
      </c>
      <c r="D2640">
        <f t="shared" si="85"/>
        <v>2.8469750889679834E-3</v>
      </c>
      <c r="E2640">
        <v>-5.0668828536695753E-4</v>
      </c>
      <c r="G2640">
        <v>2638</v>
      </c>
      <c r="H2640">
        <f t="shared" ca="1" si="86"/>
        <v>5.0331407733293703E-3</v>
      </c>
    </row>
    <row r="2641" spans="2:8" x14ac:dyDescent="0.3">
      <c r="B2641" s="113">
        <v>44067</v>
      </c>
      <c r="C2641">
        <v>196.7</v>
      </c>
      <c r="D2641">
        <f t="shared" si="85"/>
        <v>-0.32113891285591029</v>
      </c>
      <c r="E2641">
        <v>-5.0813008130092853E-4</v>
      </c>
      <c r="G2641">
        <v>2639</v>
      </c>
      <c r="H2641">
        <f t="shared" ca="1" si="86"/>
        <v>1.1870791363357519E-3</v>
      </c>
    </row>
    <row r="2642" spans="2:8" x14ac:dyDescent="0.3">
      <c r="B2642" s="113">
        <v>43487</v>
      </c>
      <c r="C2642">
        <v>289.75</v>
      </c>
      <c r="D2642">
        <f t="shared" si="85"/>
        <v>1.144548886092813</v>
      </c>
      <c r="E2642">
        <v>-5.1741979993093234E-4</v>
      </c>
      <c r="G2642">
        <v>2640</v>
      </c>
      <c r="H2642">
        <f t="shared" ca="1" si="86"/>
        <v>1.5368472750553901E-2</v>
      </c>
    </row>
    <row r="2643" spans="2:8" x14ac:dyDescent="0.3">
      <c r="B2643" s="113">
        <v>40949</v>
      </c>
      <c r="C2643">
        <v>135.11000000000001</v>
      </c>
      <c r="D2643">
        <f t="shared" si="85"/>
        <v>-0.52071656615821205</v>
      </c>
      <c r="E2643">
        <v>-5.1782808107703193E-4</v>
      </c>
      <c r="G2643">
        <v>2641</v>
      </c>
      <c r="H2643">
        <f t="shared" ca="1" si="86"/>
        <v>-1.0333771543838579E-2</v>
      </c>
    </row>
    <row r="2644" spans="2:8" x14ac:dyDescent="0.3">
      <c r="B2644" s="113">
        <v>42837</v>
      </c>
      <c r="C2644">
        <v>281.89999999999998</v>
      </c>
      <c r="D2644">
        <f t="shared" si="85"/>
        <v>0.16338574553258212</v>
      </c>
      <c r="E2644">
        <v>-5.3182059918466262E-4</v>
      </c>
      <c r="G2644">
        <v>2642</v>
      </c>
      <c r="H2644">
        <f t="shared" ca="1" si="86"/>
        <v>-2.2050389056331395E-2</v>
      </c>
    </row>
    <row r="2645" spans="2:8" x14ac:dyDescent="0.3">
      <c r="B2645" s="113">
        <v>41921</v>
      </c>
      <c r="C2645">
        <v>242.31</v>
      </c>
      <c r="D2645">
        <f t="shared" si="85"/>
        <v>12.076632487857527</v>
      </c>
      <c r="E2645">
        <v>-5.3621514601549021E-4</v>
      </c>
      <c r="G2645">
        <v>2643</v>
      </c>
      <c r="H2645">
        <f t="shared" ca="1" si="86"/>
        <v>1.2212037140269486E-2</v>
      </c>
    </row>
    <row r="2646" spans="2:8" x14ac:dyDescent="0.3">
      <c r="B2646" s="113">
        <v>37901</v>
      </c>
      <c r="C2646">
        <v>18.53</v>
      </c>
      <c r="D2646">
        <f t="shared" si="85"/>
        <v>-0.89821477616039547</v>
      </c>
      <c r="E2646">
        <v>-5.393743257819855E-4</v>
      </c>
      <c r="G2646">
        <v>2644</v>
      </c>
      <c r="H2646">
        <f t="shared" ca="1" si="86"/>
        <v>-4.1079963221735778E-3</v>
      </c>
    </row>
    <row r="2647" spans="2:8" x14ac:dyDescent="0.3">
      <c r="B2647" s="113">
        <v>43951</v>
      </c>
      <c r="C2647">
        <v>182.05</v>
      </c>
      <c r="D2647">
        <f t="shared" si="85"/>
        <v>2.3694243938552657</v>
      </c>
      <c r="E2647">
        <v>-5.4899807850669396E-4</v>
      </c>
      <c r="G2647">
        <v>2645</v>
      </c>
      <c r="H2647">
        <f t="shared" ca="1" si="86"/>
        <v>7.17578115163318E-3</v>
      </c>
    </row>
    <row r="2648" spans="2:8" x14ac:dyDescent="0.3">
      <c r="B2648" s="113">
        <v>38761</v>
      </c>
      <c r="C2648">
        <v>54.03</v>
      </c>
      <c r="D2648">
        <f t="shared" si="85"/>
        <v>5.7706626954579726E-3</v>
      </c>
      <c r="E2648">
        <v>-5.5493895671478242E-4</v>
      </c>
      <c r="G2648">
        <v>2646</v>
      </c>
      <c r="H2648">
        <f t="shared" ca="1" si="86"/>
        <v>1.4764756174406486E-2</v>
      </c>
    </row>
    <row r="2649" spans="2:8" x14ac:dyDescent="0.3">
      <c r="B2649" s="113">
        <v>39216</v>
      </c>
      <c r="C2649">
        <v>53.72</v>
      </c>
      <c r="D2649">
        <f t="shared" si="85"/>
        <v>0</v>
      </c>
      <c r="E2649">
        <v>-5.5813953488374204E-4</v>
      </c>
      <c r="G2649">
        <v>2647</v>
      </c>
      <c r="H2649">
        <f t="shared" ca="1" si="86"/>
        <v>7.879905804452355E-3</v>
      </c>
    </row>
    <row r="2650" spans="2:8" x14ac:dyDescent="0.3">
      <c r="B2650" s="113">
        <v>39147</v>
      </c>
      <c r="C2650">
        <v>53.72</v>
      </c>
      <c r="D2650">
        <f t="shared" si="85"/>
        <v>-0.79910246821241582</v>
      </c>
      <c r="E2650">
        <v>-5.5813953488374204E-4</v>
      </c>
      <c r="G2650">
        <v>2648</v>
      </c>
      <c r="H2650">
        <f t="shared" ca="1" si="86"/>
        <v>1.6459090179416588E-2</v>
      </c>
    </row>
    <row r="2651" spans="2:8" x14ac:dyDescent="0.3">
      <c r="B2651" s="113">
        <v>44711</v>
      </c>
      <c r="C2651">
        <v>267.39999999999998</v>
      </c>
      <c r="D2651">
        <f t="shared" si="85"/>
        <v>3.7537537537537542E-3</v>
      </c>
      <c r="E2651">
        <v>-5.606428704916244E-4</v>
      </c>
      <c r="G2651">
        <v>2649</v>
      </c>
      <c r="H2651">
        <f t="shared" ca="1" si="86"/>
        <v>-2.1321865991726828E-2</v>
      </c>
    </row>
    <row r="2652" spans="2:8" x14ac:dyDescent="0.3">
      <c r="B2652" s="113">
        <v>43158</v>
      </c>
      <c r="C2652">
        <v>266.39999999999998</v>
      </c>
      <c r="D2652">
        <f t="shared" si="85"/>
        <v>6.6223175965665231</v>
      </c>
      <c r="E2652">
        <v>-5.6274620146326809E-4</v>
      </c>
      <c r="G2652">
        <v>2650</v>
      </c>
      <c r="H2652">
        <f t="shared" ca="1" si="86"/>
        <v>1.6145049838624491E-2</v>
      </c>
    </row>
    <row r="2653" spans="2:8" x14ac:dyDescent="0.3">
      <c r="B2653" s="113">
        <v>38507</v>
      </c>
      <c r="C2653">
        <v>34.950000000000003</v>
      </c>
      <c r="D2653">
        <f t="shared" si="85"/>
        <v>-0.59781357882623709</v>
      </c>
      <c r="E2653">
        <v>-5.7191878753205664E-4</v>
      </c>
      <c r="G2653">
        <v>2651</v>
      </c>
      <c r="H2653">
        <f t="shared" ca="1" si="86"/>
        <v>6.7664836349987784E-4</v>
      </c>
    </row>
    <row r="2654" spans="2:8" x14ac:dyDescent="0.3">
      <c r="B2654" s="113">
        <v>40303</v>
      </c>
      <c r="C2654">
        <v>86.9</v>
      </c>
      <c r="D2654">
        <f t="shared" si="85"/>
        <v>-0.66454352441613584</v>
      </c>
      <c r="E2654">
        <v>-5.7504312823458486E-4</v>
      </c>
      <c r="G2654">
        <v>2652</v>
      </c>
      <c r="H2654">
        <f t="shared" ca="1" si="86"/>
        <v>2.1914416112644955E-2</v>
      </c>
    </row>
    <row r="2655" spans="2:8" x14ac:dyDescent="0.3">
      <c r="B2655" s="113">
        <v>43180</v>
      </c>
      <c r="C2655">
        <v>259.05</v>
      </c>
      <c r="D2655">
        <f t="shared" si="85"/>
        <v>6.8262839879154082</v>
      </c>
      <c r="E2655">
        <v>-5.7870370370361596E-4</v>
      </c>
      <c r="G2655">
        <v>2653</v>
      </c>
      <c r="H2655">
        <f t="shared" ca="1" si="86"/>
        <v>2.2174729030451486E-2</v>
      </c>
    </row>
    <row r="2656" spans="2:8" x14ac:dyDescent="0.3">
      <c r="B2656" s="113">
        <v>38492</v>
      </c>
      <c r="C2656">
        <v>33.1</v>
      </c>
      <c r="D2656">
        <f t="shared" si="85"/>
        <v>-0.59937061244250789</v>
      </c>
      <c r="E2656">
        <v>-6.0386473429939686E-4</v>
      </c>
      <c r="G2656">
        <v>2654</v>
      </c>
      <c r="H2656">
        <f t="shared" ca="1" si="86"/>
        <v>-1.4109775195335164E-2</v>
      </c>
    </row>
    <row r="2657" spans="2:8" x14ac:dyDescent="0.3">
      <c r="B2657" s="113">
        <v>40164</v>
      </c>
      <c r="C2657">
        <v>82.62</v>
      </c>
      <c r="D2657">
        <f t="shared" si="85"/>
        <v>0.71481942714819435</v>
      </c>
      <c r="E2657">
        <v>-6.0481432200311066E-4</v>
      </c>
      <c r="G2657">
        <v>2655</v>
      </c>
      <c r="H2657">
        <f t="shared" ca="1" si="86"/>
        <v>-3.0813469893403184E-2</v>
      </c>
    </row>
    <row r="2658" spans="2:8" x14ac:dyDescent="0.3">
      <c r="B2658" s="113">
        <v>38726</v>
      </c>
      <c r="C2658">
        <v>48.18</v>
      </c>
      <c r="D2658">
        <f t="shared" si="85"/>
        <v>-0.76910911966262518</v>
      </c>
      <c r="E2658">
        <v>-6.2227753578098183E-4</v>
      </c>
      <c r="G2658">
        <v>2656</v>
      </c>
      <c r="H2658">
        <f t="shared" ca="1" si="86"/>
        <v>1.6284564573146313E-2</v>
      </c>
    </row>
    <row r="2659" spans="2:8" x14ac:dyDescent="0.3">
      <c r="B2659" s="113">
        <v>41642</v>
      </c>
      <c r="C2659">
        <v>208.67</v>
      </c>
      <c r="D2659">
        <f t="shared" si="85"/>
        <v>-0.12598952879581157</v>
      </c>
      <c r="E2659">
        <v>-6.2260536398478863E-4</v>
      </c>
      <c r="G2659">
        <v>2657</v>
      </c>
      <c r="H2659">
        <f t="shared" ca="1" si="86"/>
        <v>-1.3966844423211269E-2</v>
      </c>
    </row>
    <row r="2660" spans="2:8" x14ac:dyDescent="0.3">
      <c r="B2660" s="113">
        <v>43823</v>
      </c>
      <c r="C2660">
        <v>238.75</v>
      </c>
      <c r="D2660">
        <f t="shared" si="85"/>
        <v>1.1443326746901383</v>
      </c>
      <c r="E2660">
        <v>-6.2787777312685506E-4</v>
      </c>
      <c r="G2660">
        <v>2658</v>
      </c>
      <c r="H2660">
        <f t="shared" ca="1" si="86"/>
        <v>-1.3242880778744403E-3</v>
      </c>
    </row>
    <row r="2661" spans="2:8" x14ac:dyDescent="0.3">
      <c r="B2661" s="113">
        <v>40620</v>
      </c>
      <c r="C2661">
        <v>111.34</v>
      </c>
      <c r="D2661">
        <f t="shared" si="85"/>
        <v>-0.53198823034888609</v>
      </c>
      <c r="E2661">
        <v>-6.2830984651281912E-4</v>
      </c>
      <c r="G2661">
        <v>2659</v>
      </c>
      <c r="H2661">
        <f t="shared" ca="1" si="86"/>
        <v>8.0931295590208081E-3</v>
      </c>
    </row>
    <row r="2662" spans="2:8" x14ac:dyDescent="0.3">
      <c r="B2662" s="113">
        <v>43853</v>
      </c>
      <c r="C2662">
        <v>237.9</v>
      </c>
      <c r="D2662">
        <f t="shared" si="85"/>
        <v>1.5359769747361689</v>
      </c>
      <c r="E2662">
        <v>-6.3011972274734586E-4</v>
      </c>
      <c r="G2662">
        <v>2660</v>
      </c>
      <c r="H2662">
        <f t="shared" ca="1" si="86"/>
        <v>-3.0943589604258696E-2</v>
      </c>
    </row>
    <row r="2663" spans="2:8" x14ac:dyDescent="0.3">
      <c r="B2663" s="113">
        <v>40330</v>
      </c>
      <c r="C2663">
        <v>93.81</v>
      </c>
      <c r="D2663">
        <f t="shared" si="85"/>
        <v>-0.59961587708066577</v>
      </c>
      <c r="E2663">
        <v>-6.3918184723556269E-4</v>
      </c>
      <c r="G2663">
        <v>2661</v>
      </c>
      <c r="H2663">
        <f t="shared" ca="1" si="86"/>
        <v>2.0241341966554367E-2</v>
      </c>
    </row>
    <row r="2664" spans="2:8" x14ac:dyDescent="0.3">
      <c r="B2664" s="113">
        <v>44596</v>
      </c>
      <c r="C2664">
        <v>234.3</v>
      </c>
      <c r="D2664">
        <f t="shared" si="85"/>
        <v>-4.1717791411042898E-2</v>
      </c>
      <c r="E2664">
        <v>-6.3979526551493824E-4</v>
      </c>
      <c r="G2664">
        <v>2662</v>
      </c>
      <c r="H2664">
        <f t="shared" ca="1" si="86"/>
        <v>-7.55791815491225E-3</v>
      </c>
    </row>
    <row r="2665" spans="2:8" x14ac:dyDescent="0.3">
      <c r="B2665" s="113">
        <v>41477</v>
      </c>
      <c r="C2665">
        <v>244.5</v>
      </c>
      <c r="D2665">
        <f t="shared" si="85"/>
        <v>7.0586684245220832</v>
      </c>
      <c r="E2665">
        <v>-6.5396877299107577E-4</v>
      </c>
      <c r="G2665">
        <v>2663</v>
      </c>
      <c r="H2665">
        <f t="shared" ca="1" si="86"/>
        <v>-1.7133630614890104E-2</v>
      </c>
    </row>
    <row r="2666" spans="2:8" x14ac:dyDescent="0.3">
      <c r="B2666" s="113">
        <v>38420</v>
      </c>
      <c r="C2666">
        <v>30.34</v>
      </c>
      <c r="D2666">
        <f t="shared" si="85"/>
        <v>1.0106030483764081</v>
      </c>
      <c r="E2666">
        <v>-6.5876152832673165E-4</v>
      </c>
      <c r="G2666">
        <v>2664</v>
      </c>
      <c r="H2666">
        <f t="shared" ca="1" si="86"/>
        <v>3.9258291440569092E-3</v>
      </c>
    </row>
    <row r="2667" spans="2:8" x14ac:dyDescent="0.3">
      <c r="B2667" s="113">
        <v>37741</v>
      </c>
      <c r="C2667">
        <v>15.09</v>
      </c>
      <c r="D2667">
        <f t="shared" si="85"/>
        <v>1.3271400132713717E-3</v>
      </c>
      <c r="E2667">
        <v>-6.6225165562912498E-4</v>
      </c>
      <c r="G2667">
        <v>2665</v>
      </c>
      <c r="H2667">
        <f t="shared" ca="1" si="86"/>
        <v>1.6694207858128186E-2</v>
      </c>
    </row>
    <row r="2668" spans="2:8" x14ac:dyDescent="0.3">
      <c r="B2668" s="113">
        <v>37634</v>
      </c>
      <c r="C2668">
        <v>15.07</v>
      </c>
      <c r="D2668">
        <f t="shared" si="85"/>
        <v>1.1409395973154357E-2</v>
      </c>
      <c r="E2668">
        <v>-6.6312997347478693E-4</v>
      </c>
      <c r="G2668">
        <v>2666</v>
      </c>
      <c r="H2668">
        <f t="shared" ca="1" si="86"/>
        <v>-1.6629163004678611E-2</v>
      </c>
    </row>
    <row r="2669" spans="2:8" x14ac:dyDescent="0.3">
      <c r="B2669" s="113">
        <v>37726</v>
      </c>
      <c r="C2669">
        <v>14.9</v>
      </c>
      <c r="D2669">
        <f t="shared" si="85"/>
        <v>7.4374577417174589E-3</v>
      </c>
      <c r="E2669">
        <v>-6.7069081153586763E-4</v>
      </c>
      <c r="G2669">
        <v>2667</v>
      </c>
      <c r="H2669">
        <f t="shared" ca="1" si="86"/>
        <v>-5.5283551829699408E-3</v>
      </c>
    </row>
    <row r="2670" spans="2:8" x14ac:dyDescent="0.3">
      <c r="B2670" s="113">
        <v>37610</v>
      </c>
      <c r="C2670">
        <v>14.79</v>
      </c>
      <c r="D2670">
        <f t="shared" si="85"/>
        <v>2.0325203252032089E-3</v>
      </c>
      <c r="E2670">
        <v>-6.7567567567578131E-4</v>
      </c>
      <c r="G2670">
        <v>2668</v>
      </c>
      <c r="H2670">
        <f t="shared" ca="1" si="86"/>
        <v>-2.0465181570333172E-2</v>
      </c>
    </row>
    <row r="2671" spans="2:8" x14ac:dyDescent="0.3">
      <c r="B2671" s="113">
        <v>37516</v>
      </c>
      <c r="C2671">
        <v>14.76</v>
      </c>
      <c r="D2671">
        <f t="shared" si="85"/>
        <v>4.7651463580667313E-3</v>
      </c>
      <c r="E2671">
        <v>-6.7704807041298488E-4</v>
      </c>
      <c r="G2671">
        <v>2669</v>
      </c>
      <c r="H2671">
        <f t="shared" ca="1" si="86"/>
        <v>-8.8832561609773503E-3</v>
      </c>
    </row>
    <row r="2672" spans="2:8" x14ac:dyDescent="0.3">
      <c r="B2672" s="113">
        <v>37734</v>
      </c>
      <c r="C2672">
        <v>14.69</v>
      </c>
      <c r="D2672">
        <f t="shared" si="85"/>
        <v>4.7879616963064494E-3</v>
      </c>
      <c r="E2672">
        <v>-6.8027210884352295E-4</v>
      </c>
      <c r="G2672">
        <v>2670</v>
      </c>
      <c r="H2672">
        <f t="shared" ca="1" si="86"/>
        <v>2.0978392898718414E-2</v>
      </c>
    </row>
    <row r="2673" spans="2:8" x14ac:dyDescent="0.3">
      <c r="B2673" s="113">
        <v>37616</v>
      </c>
      <c r="C2673">
        <v>14.62</v>
      </c>
      <c r="D2673">
        <f t="shared" si="85"/>
        <v>-0.94915666840549473</v>
      </c>
      <c r="E2673">
        <v>-6.8352699931657985E-4</v>
      </c>
      <c r="G2673">
        <v>2671</v>
      </c>
      <c r="H2673">
        <f t="shared" ca="1" si="86"/>
        <v>-3.8794915492860481E-2</v>
      </c>
    </row>
    <row r="2674" spans="2:8" x14ac:dyDescent="0.3">
      <c r="B2674" s="113">
        <v>43398</v>
      </c>
      <c r="C2674">
        <v>287.55</v>
      </c>
      <c r="D2674">
        <f t="shared" si="85"/>
        <v>19.024373259052926</v>
      </c>
      <c r="E2674">
        <v>-6.9504778453514731E-4</v>
      </c>
      <c r="G2674">
        <v>2672</v>
      </c>
      <c r="H2674">
        <f t="shared" ca="1" si="86"/>
        <v>1.7317129034191176E-3</v>
      </c>
    </row>
    <row r="2675" spans="2:8" x14ac:dyDescent="0.3">
      <c r="B2675" s="113">
        <v>37593</v>
      </c>
      <c r="C2675">
        <v>14.36</v>
      </c>
      <c r="D2675">
        <f t="shared" si="85"/>
        <v>-0.93270852858481734</v>
      </c>
      <c r="E2675">
        <v>-6.9589422407792534E-4</v>
      </c>
      <c r="G2675">
        <v>2673</v>
      </c>
      <c r="H2675">
        <f t="shared" ca="1" si="86"/>
        <v>9.6535569702126227E-3</v>
      </c>
    </row>
    <row r="2676" spans="2:8" x14ac:dyDescent="0.3">
      <c r="B2676" s="113">
        <v>43868</v>
      </c>
      <c r="C2676">
        <v>213.4</v>
      </c>
      <c r="D2676">
        <f t="shared" si="85"/>
        <v>1.4077897700610577E-3</v>
      </c>
      <c r="E2676">
        <v>-7.0241161320536486E-4</v>
      </c>
      <c r="G2676">
        <v>2674</v>
      </c>
      <c r="H2676">
        <f t="shared" ca="1" si="86"/>
        <v>6.0512818401960182E-3</v>
      </c>
    </row>
    <row r="2677" spans="2:8" x14ac:dyDescent="0.3">
      <c r="B2677" s="113">
        <v>44295</v>
      </c>
      <c r="C2677">
        <v>213.1</v>
      </c>
      <c r="D2677">
        <f t="shared" si="85"/>
        <v>14.049435028248586</v>
      </c>
      <c r="E2677">
        <v>-7.0339976553343813E-4</v>
      </c>
      <c r="G2677">
        <v>2675</v>
      </c>
      <c r="H2677">
        <f t="shared" ca="1" si="86"/>
        <v>-5.4348877254199856E-3</v>
      </c>
    </row>
    <row r="2678" spans="2:8" x14ac:dyDescent="0.3">
      <c r="B2678" s="113">
        <v>37690</v>
      </c>
      <c r="C2678">
        <v>14.16</v>
      </c>
      <c r="D2678">
        <f t="shared" si="85"/>
        <v>-0.94965333333333324</v>
      </c>
      <c r="E2678">
        <v>-7.0571630204656224E-4</v>
      </c>
      <c r="G2678">
        <v>2676</v>
      </c>
      <c r="H2678">
        <f t="shared" ca="1" si="86"/>
        <v>-6.4753562131008441E-3</v>
      </c>
    </row>
    <row r="2679" spans="2:8" x14ac:dyDescent="0.3">
      <c r="B2679" s="113">
        <v>43125</v>
      </c>
      <c r="C2679">
        <v>281.25</v>
      </c>
      <c r="D2679">
        <f t="shared" si="85"/>
        <v>19.089285714285715</v>
      </c>
      <c r="E2679">
        <v>-7.1060579143715984E-4</v>
      </c>
      <c r="G2679">
        <v>2677</v>
      </c>
      <c r="H2679">
        <f t="shared" ca="1" si="86"/>
        <v>1.0484772034636745E-2</v>
      </c>
    </row>
    <row r="2680" spans="2:8" x14ac:dyDescent="0.3">
      <c r="B2680" s="113">
        <v>37467</v>
      </c>
      <c r="C2680">
        <v>14</v>
      </c>
      <c r="D2680">
        <f t="shared" si="85"/>
        <v>6.4701653486700112E-3</v>
      </c>
      <c r="E2680">
        <v>-7.1377587437543093E-4</v>
      </c>
      <c r="G2680">
        <v>2678</v>
      </c>
      <c r="H2680">
        <f t="shared" ca="1" si="86"/>
        <v>-1.2309355723922236E-2</v>
      </c>
    </row>
    <row r="2681" spans="2:8" x14ac:dyDescent="0.3">
      <c r="B2681" s="113">
        <v>37666</v>
      </c>
      <c r="C2681">
        <v>13.91</v>
      </c>
      <c r="D2681">
        <f t="shared" si="85"/>
        <v>-0.83285267964431631</v>
      </c>
      <c r="E2681">
        <v>-7.1839080459768585E-4</v>
      </c>
      <c r="G2681">
        <v>2679</v>
      </c>
      <c r="H2681">
        <f t="shared" ca="1" si="86"/>
        <v>8.9869768516600401E-3</v>
      </c>
    </row>
    <row r="2682" spans="2:8" x14ac:dyDescent="0.3">
      <c r="B2682" s="113">
        <v>40246</v>
      </c>
      <c r="C2682">
        <v>83.22</v>
      </c>
      <c r="D2682">
        <f t="shared" si="85"/>
        <v>-0.62489858469304971</v>
      </c>
      <c r="E2682">
        <v>-7.2046109510089183E-4</v>
      </c>
      <c r="G2682">
        <v>2680</v>
      </c>
      <c r="H2682">
        <f t="shared" ca="1" si="86"/>
        <v>-7.1008594079130499E-3</v>
      </c>
    </row>
    <row r="2683" spans="2:8" x14ac:dyDescent="0.3">
      <c r="B2683" s="113">
        <v>41414</v>
      </c>
      <c r="C2683">
        <v>221.86</v>
      </c>
      <c r="D2683">
        <f t="shared" si="85"/>
        <v>-0.19906137184115519</v>
      </c>
      <c r="E2683">
        <v>-7.2065579677504997E-4</v>
      </c>
      <c r="G2683">
        <v>2681</v>
      </c>
      <c r="H2683">
        <f t="shared" ca="1" si="86"/>
        <v>-1.2429904900683798E-3</v>
      </c>
    </row>
    <row r="2684" spans="2:8" x14ac:dyDescent="0.3">
      <c r="B2684" s="113">
        <v>43636</v>
      </c>
      <c r="C2684">
        <v>277</v>
      </c>
      <c r="D2684">
        <f t="shared" si="85"/>
        <v>0.33333333333333331</v>
      </c>
      <c r="E2684">
        <v>-7.2150072150068052E-4</v>
      </c>
      <c r="G2684">
        <v>2682</v>
      </c>
      <c r="H2684">
        <f t="shared" ca="1" si="86"/>
        <v>-1.1500556229615105E-2</v>
      </c>
    </row>
    <row r="2685" spans="2:8" x14ac:dyDescent="0.3">
      <c r="B2685" s="113">
        <v>44396</v>
      </c>
      <c r="C2685">
        <v>207.75</v>
      </c>
      <c r="D2685">
        <f t="shared" si="85"/>
        <v>14.153172866520785</v>
      </c>
      <c r="E2685">
        <v>-7.2150072150074882E-4</v>
      </c>
      <c r="G2685">
        <v>2683</v>
      </c>
      <c r="H2685">
        <f t="shared" ca="1" si="86"/>
        <v>-3.0592419725759382E-2</v>
      </c>
    </row>
    <row r="2686" spans="2:8" x14ac:dyDescent="0.3">
      <c r="B2686" s="113">
        <v>37462</v>
      </c>
      <c r="C2686">
        <v>13.71</v>
      </c>
      <c r="D2686">
        <f t="shared" si="85"/>
        <v>-0.7990325417766051</v>
      </c>
      <c r="E2686">
        <v>-7.2886297376091732E-4</v>
      </c>
      <c r="G2686">
        <v>2684</v>
      </c>
      <c r="H2686">
        <f t="shared" ca="1" si="86"/>
        <v>-2.6317069024455388E-2</v>
      </c>
    </row>
    <row r="2687" spans="2:8" x14ac:dyDescent="0.3">
      <c r="B2687" s="113">
        <v>39618</v>
      </c>
      <c r="C2687">
        <v>68.22</v>
      </c>
      <c r="D2687">
        <f t="shared" si="85"/>
        <v>-0.65890000000000004</v>
      </c>
      <c r="E2687">
        <v>-7.3238611395923779E-4</v>
      </c>
      <c r="G2687">
        <v>2685</v>
      </c>
      <c r="H2687">
        <f t="shared" ca="1" si="86"/>
        <v>1.8596966287118819E-4</v>
      </c>
    </row>
    <row r="2688" spans="2:8" x14ac:dyDescent="0.3">
      <c r="B2688" s="113">
        <v>43987</v>
      </c>
      <c r="C2688">
        <v>200</v>
      </c>
      <c r="D2688">
        <f t="shared" si="85"/>
        <v>-6.0194539730275845E-2</v>
      </c>
      <c r="E2688">
        <v>-7.4943792155885921E-4</v>
      </c>
      <c r="G2688">
        <v>2686</v>
      </c>
      <c r="H2688">
        <f t="shared" ca="1" si="86"/>
        <v>2.1158512256326652E-2</v>
      </c>
    </row>
    <row r="2689" spans="2:8" x14ac:dyDescent="0.3">
      <c r="B2689" s="113">
        <v>42349</v>
      </c>
      <c r="C2689">
        <v>212.81</v>
      </c>
      <c r="D2689">
        <f t="shared" si="85"/>
        <v>1.371885866717475E-2</v>
      </c>
      <c r="E2689">
        <v>-7.5127952293748692E-4</v>
      </c>
      <c r="G2689">
        <v>2687</v>
      </c>
      <c r="H2689">
        <f t="shared" ca="1" si="86"/>
        <v>-2.0728924653724504E-2</v>
      </c>
    </row>
    <row r="2690" spans="2:8" x14ac:dyDescent="0.3">
      <c r="B2690" s="113">
        <v>41689</v>
      </c>
      <c r="C2690">
        <v>209.93</v>
      </c>
      <c r="D2690">
        <f t="shared" si="85"/>
        <v>-4.0144483562708611E-2</v>
      </c>
      <c r="E2690">
        <v>-7.6157837117424244E-4</v>
      </c>
      <c r="G2690">
        <v>2688</v>
      </c>
      <c r="H2690">
        <f t="shared" ca="1" si="86"/>
        <v>5.6128769179018372E-3</v>
      </c>
    </row>
    <row r="2691" spans="2:8" x14ac:dyDescent="0.3">
      <c r="B2691" s="113">
        <v>41444</v>
      </c>
      <c r="C2691">
        <v>218.71</v>
      </c>
      <c r="D2691">
        <f t="shared" ref="D2691:D2754" si="87">(C2691-C2692)/C2692</f>
        <v>0.70056760749552904</v>
      </c>
      <c r="E2691">
        <v>-7.7668128654965053E-4</v>
      </c>
      <c r="G2691">
        <v>2689</v>
      </c>
      <c r="H2691">
        <f t="shared" ca="1" si="86"/>
        <v>2.5251237596279022E-2</v>
      </c>
    </row>
    <row r="2692" spans="2:8" x14ac:dyDescent="0.3">
      <c r="B2692" s="113">
        <v>40710</v>
      </c>
      <c r="C2692">
        <v>128.61000000000001</v>
      </c>
      <c r="D2692">
        <f t="shared" si="87"/>
        <v>-0.40281389301634468</v>
      </c>
      <c r="E2692">
        <v>-7.7694040867061075E-4</v>
      </c>
      <c r="G2692">
        <v>2690</v>
      </c>
      <c r="H2692">
        <f t="shared" ref="H2692:H2755" ca="1" si="88">_xlfn.NORM.INV(RAND(),$L$4,$L$6)</f>
        <v>2.4956332907736078E-2</v>
      </c>
    </row>
    <row r="2693" spans="2:8" x14ac:dyDescent="0.3">
      <c r="B2693" s="113">
        <v>42374</v>
      </c>
      <c r="C2693">
        <v>215.36</v>
      </c>
      <c r="D2693">
        <f t="shared" si="87"/>
        <v>4.7582887700534764</v>
      </c>
      <c r="E2693">
        <v>-7.8875330580423838E-4</v>
      </c>
      <c r="G2693">
        <v>2691</v>
      </c>
      <c r="H2693">
        <f t="shared" ca="1" si="88"/>
        <v>-1.6155230271678391E-2</v>
      </c>
    </row>
    <row r="2694" spans="2:8" x14ac:dyDescent="0.3">
      <c r="B2694" s="113">
        <v>38560</v>
      </c>
      <c r="C2694">
        <v>37.4</v>
      </c>
      <c r="D2694">
        <f t="shared" si="87"/>
        <v>-0.39667688336828527</v>
      </c>
      <c r="E2694">
        <v>-8.0149612610208761E-4</v>
      </c>
      <c r="G2694">
        <v>2692</v>
      </c>
      <c r="H2694">
        <f t="shared" ca="1" si="88"/>
        <v>4.7910970771400411E-3</v>
      </c>
    </row>
    <row r="2695" spans="2:8" x14ac:dyDescent="0.3">
      <c r="B2695" s="113">
        <v>39916</v>
      </c>
      <c r="C2695">
        <v>61.99</v>
      </c>
      <c r="D2695">
        <f t="shared" si="87"/>
        <v>0.26175452880113981</v>
      </c>
      <c r="E2695">
        <v>-8.0593165699544098E-4</v>
      </c>
      <c r="G2695">
        <v>2693</v>
      </c>
      <c r="H2695">
        <f t="shared" ca="1" si="88"/>
        <v>-8.0700367261341676E-3</v>
      </c>
    </row>
    <row r="2696" spans="2:8" x14ac:dyDescent="0.3">
      <c r="B2696" s="113">
        <v>39177</v>
      </c>
      <c r="C2696">
        <v>49.13</v>
      </c>
      <c r="D2696">
        <f t="shared" si="87"/>
        <v>-0.83918166939443539</v>
      </c>
      <c r="E2696">
        <v>-8.1350416920884978E-4</v>
      </c>
      <c r="G2696">
        <v>2694</v>
      </c>
      <c r="H2696">
        <f t="shared" ca="1" si="88"/>
        <v>2.8399584177422874E-2</v>
      </c>
    </row>
    <row r="2697" spans="2:8" x14ac:dyDescent="0.3">
      <c r="B2697" s="113">
        <v>43570</v>
      </c>
      <c r="C2697">
        <v>305.5</v>
      </c>
      <c r="D2697">
        <f t="shared" si="87"/>
        <v>11.71856786011657</v>
      </c>
      <c r="E2697">
        <v>-8.1766148814390845E-4</v>
      </c>
      <c r="G2697">
        <v>2695</v>
      </c>
      <c r="H2697">
        <f t="shared" ca="1" si="88"/>
        <v>-1.0377816196591342E-2</v>
      </c>
    </row>
    <row r="2698" spans="2:8" x14ac:dyDescent="0.3">
      <c r="B2698" s="113">
        <v>38093</v>
      </c>
      <c r="C2698">
        <v>24.02</v>
      </c>
      <c r="D2698">
        <f t="shared" si="87"/>
        <v>-0.91990663554518182</v>
      </c>
      <c r="E2698">
        <v>-8.3194675540763626E-4</v>
      </c>
      <c r="G2698">
        <v>2696</v>
      </c>
      <c r="H2698">
        <f t="shared" ca="1" si="88"/>
        <v>-2.2335083133539269E-2</v>
      </c>
    </row>
    <row r="2699" spans="2:8" x14ac:dyDescent="0.3">
      <c r="B2699" s="113">
        <v>42879</v>
      </c>
      <c r="C2699">
        <v>299.89999999999998</v>
      </c>
      <c r="D2699">
        <f t="shared" si="87"/>
        <v>4.0209275071153527</v>
      </c>
      <c r="E2699">
        <v>-8.3291687489588551E-4</v>
      </c>
      <c r="G2699">
        <v>2697</v>
      </c>
      <c r="H2699">
        <f t="shared" ca="1" si="88"/>
        <v>-2.5573822069030513E-2</v>
      </c>
    </row>
    <row r="2700" spans="2:8" x14ac:dyDescent="0.3">
      <c r="B2700" s="113">
        <v>39855</v>
      </c>
      <c r="C2700">
        <v>59.73</v>
      </c>
      <c r="D2700">
        <f t="shared" si="87"/>
        <v>1.5054530201342282</v>
      </c>
      <c r="E2700">
        <v>-8.3640013382409271E-4</v>
      </c>
      <c r="G2700">
        <v>2698</v>
      </c>
      <c r="H2700">
        <f t="shared" ca="1" si="88"/>
        <v>-7.2787784479224106E-3</v>
      </c>
    </row>
    <row r="2701" spans="2:8" x14ac:dyDescent="0.3">
      <c r="B2701" s="113">
        <v>38036</v>
      </c>
      <c r="C2701">
        <v>23.84</v>
      </c>
      <c r="D2701">
        <f t="shared" si="87"/>
        <v>-0.91906297742318799</v>
      </c>
      <c r="E2701">
        <v>-8.3822296730928639E-4</v>
      </c>
      <c r="G2701">
        <v>2699</v>
      </c>
      <c r="H2701">
        <f t="shared" ca="1" si="88"/>
        <v>2.0334134380720195E-2</v>
      </c>
    </row>
    <row r="2702" spans="2:8" x14ac:dyDescent="0.3">
      <c r="B2702" s="113">
        <v>43560</v>
      </c>
      <c r="C2702">
        <v>294.55</v>
      </c>
      <c r="D2702">
        <f t="shared" si="87"/>
        <v>11.679724494188548</v>
      </c>
      <c r="E2702">
        <v>-8.4803256445047483E-4</v>
      </c>
      <c r="G2702">
        <v>2700</v>
      </c>
      <c r="H2702">
        <f t="shared" ca="1" si="88"/>
        <v>1.6130109230055732E-2</v>
      </c>
    </row>
    <row r="2703" spans="2:8" x14ac:dyDescent="0.3">
      <c r="B2703" s="113">
        <v>38195</v>
      </c>
      <c r="C2703">
        <v>23.23</v>
      </c>
      <c r="D2703">
        <f t="shared" si="87"/>
        <v>-0.86641748131109841</v>
      </c>
      <c r="E2703">
        <v>-8.6021505376342254E-4</v>
      </c>
      <c r="G2703">
        <v>2701</v>
      </c>
      <c r="H2703">
        <f t="shared" ca="1" si="88"/>
        <v>-1.1667253593884442E-2</v>
      </c>
    </row>
    <row r="2704" spans="2:8" x14ac:dyDescent="0.3">
      <c r="B2704" s="113">
        <v>43956</v>
      </c>
      <c r="C2704">
        <v>173.9</v>
      </c>
      <c r="D2704">
        <f t="shared" si="87"/>
        <v>4.0014380212827145</v>
      </c>
      <c r="E2704">
        <v>-8.6182131571390795E-4</v>
      </c>
      <c r="G2704">
        <v>2702</v>
      </c>
      <c r="H2704">
        <f t="shared" ca="1" si="88"/>
        <v>-1.3410277593628181E-2</v>
      </c>
    </row>
    <row r="2705" spans="2:8" x14ac:dyDescent="0.3">
      <c r="B2705" s="113">
        <v>38526</v>
      </c>
      <c r="C2705">
        <v>34.770000000000003</v>
      </c>
      <c r="D2705">
        <f t="shared" si="87"/>
        <v>1.7286084701815694E-3</v>
      </c>
      <c r="E2705">
        <v>-8.6206896551706995E-4</v>
      </c>
      <c r="G2705">
        <v>2703</v>
      </c>
      <c r="H2705">
        <f t="shared" ca="1" si="88"/>
        <v>-1.2614310538659156E-3</v>
      </c>
    </row>
    <row r="2706" spans="2:8" x14ac:dyDescent="0.3">
      <c r="B2706" s="113">
        <v>38517</v>
      </c>
      <c r="C2706">
        <v>34.71</v>
      </c>
      <c r="D2706">
        <f t="shared" si="87"/>
        <v>-0.38653234358430538</v>
      </c>
      <c r="E2706">
        <v>-8.6355785837654393E-4</v>
      </c>
      <c r="G2706">
        <v>2704</v>
      </c>
      <c r="H2706">
        <f t="shared" ca="1" si="88"/>
        <v>1.8548306170677056E-2</v>
      </c>
    </row>
    <row r="2707" spans="2:8" x14ac:dyDescent="0.3">
      <c r="B2707" s="113">
        <v>39224</v>
      </c>
      <c r="C2707">
        <v>56.58</v>
      </c>
      <c r="D2707">
        <f t="shared" si="87"/>
        <v>-0.79996464557185798</v>
      </c>
      <c r="E2707">
        <v>-8.8292424509984568E-4</v>
      </c>
      <c r="G2707">
        <v>2705</v>
      </c>
      <c r="H2707">
        <f t="shared" ca="1" si="88"/>
        <v>3.6253605522984719E-2</v>
      </c>
    </row>
    <row r="2708" spans="2:8" x14ac:dyDescent="0.3">
      <c r="B2708" s="113">
        <v>42983</v>
      </c>
      <c r="C2708">
        <v>282.85000000000002</v>
      </c>
      <c r="D2708">
        <f t="shared" si="87"/>
        <v>4.4389204545454541E-3</v>
      </c>
      <c r="E2708">
        <v>-8.8308018368067815E-4</v>
      </c>
      <c r="G2708">
        <v>2706</v>
      </c>
      <c r="H2708">
        <f t="shared" ca="1" si="88"/>
        <v>1.9956171419049394E-2</v>
      </c>
    </row>
    <row r="2709" spans="2:8" x14ac:dyDescent="0.3">
      <c r="B2709" s="113">
        <v>42968</v>
      </c>
      <c r="C2709">
        <v>281.60000000000002</v>
      </c>
      <c r="D2709">
        <f t="shared" si="87"/>
        <v>1.5022214323795984</v>
      </c>
      <c r="E2709">
        <v>-8.8699662941280814E-4</v>
      </c>
      <c r="G2709">
        <v>2707</v>
      </c>
      <c r="H2709">
        <f t="shared" ca="1" si="88"/>
        <v>2.0711668246649557E-2</v>
      </c>
    </row>
    <row r="2710" spans="2:8" x14ac:dyDescent="0.3">
      <c r="B2710" s="113">
        <v>40539</v>
      </c>
      <c r="C2710">
        <v>112.54</v>
      </c>
      <c r="D2710">
        <f t="shared" si="87"/>
        <v>0.69411410507300908</v>
      </c>
      <c r="E2710">
        <v>-8.8778409090904046E-4</v>
      </c>
      <c r="G2710">
        <v>2708</v>
      </c>
      <c r="H2710">
        <f t="shared" ca="1" si="88"/>
        <v>-1.4109241865001329E-2</v>
      </c>
    </row>
    <row r="2711" spans="2:8" x14ac:dyDescent="0.3">
      <c r="B2711" s="113">
        <v>38828</v>
      </c>
      <c r="C2711">
        <v>66.430000000000007</v>
      </c>
      <c r="D2711">
        <f t="shared" si="87"/>
        <v>0.20650199782055947</v>
      </c>
      <c r="E2711">
        <v>-9.0239133704298488E-4</v>
      </c>
      <c r="G2711">
        <v>2709</v>
      </c>
      <c r="H2711">
        <f t="shared" ca="1" si="88"/>
        <v>-1.6227061047022436E-2</v>
      </c>
    </row>
    <row r="2712" spans="2:8" x14ac:dyDescent="0.3">
      <c r="B2712" s="113">
        <v>39226</v>
      </c>
      <c r="C2712">
        <v>55.06</v>
      </c>
      <c r="D2712">
        <f t="shared" si="87"/>
        <v>-0.7973127185716915</v>
      </c>
      <c r="E2712">
        <v>-9.0727635637810123E-4</v>
      </c>
      <c r="G2712">
        <v>2710</v>
      </c>
      <c r="H2712">
        <f t="shared" ca="1" si="88"/>
        <v>-2.0997812699956545E-2</v>
      </c>
    </row>
    <row r="2713" spans="2:8" x14ac:dyDescent="0.3">
      <c r="B2713" s="113">
        <v>43251</v>
      </c>
      <c r="C2713">
        <v>271.64999999999998</v>
      </c>
      <c r="D2713">
        <f t="shared" si="87"/>
        <v>0.25115143699336762</v>
      </c>
      <c r="E2713">
        <v>-9.1945568223611625E-4</v>
      </c>
      <c r="G2713">
        <v>2711</v>
      </c>
      <c r="H2713">
        <f t="shared" ca="1" si="88"/>
        <v>1.234214126033798E-2</v>
      </c>
    </row>
    <row r="2714" spans="2:8" x14ac:dyDescent="0.3">
      <c r="B2714" s="113">
        <v>42370</v>
      </c>
      <c r="C2714">
        <v>217.12</v>
      </c>
      <c r="D2714">
        <f t="shared" si="87"/>
        <v>-0.19955760368663591</v>
      </c>
      <c r="E2714">
        <v>-9.2030185900970288E-4</v>
      </c>
      <c r="G2714">
        <v>2712</v>
      </c>
      <c r="H2714">
        <f t="shared" ca="1" si="88"/>
        <v>1.0337955247474075E-2</v>
      </c>
    </row>
    <row r="2715" spans="2:8" x14ac:dyDescent="0.3">
      <c r="B2715" s="113">
        <v>42961</v>
      </c>
      <c r="C2715">
        <v>271.25</v>
      </c>
      <c r="D2715">
        <f t="shared" si="87"/>
        <v>1.4967259120673527E-2</v>
      </c>
      <c r="E2715">
        <v>-9.2081031307550648E-4</v>
      </c>
      <c r="G2715">
        <v>2713</v>
      </c>
      <c r="H2715">
        <f t="shared" ca="1" si="88"/>
        <v>6.9481292320091182E-4</v>
      </c>
    </row>
    <row r="2716" spans="2:8" x14ac:dyDescent="0.3">
      <c r="B2716" s="113">
        <v>43025</v>
      </c>
      <c r="C2716">
        <v>267.25</v>
      </c>
      <c r="D2716">
        <f t="shared" si="87"/>
        <v>6.9706103993972222E-3</v>
      </c>
      <c r="E2716">
        <v>-9.3457943925233649E-4</v>
      </c>
      <c r="G2716">
        <v>2714</v>
      </c>
      <c r="H2716">
        <f t="shared" ca="1" si="88"/>
        <v>2.5706297085677017E-2</v>
      </c>
    </row>
    <row r="2717" spans="2:8" x14ac:dyDescent="0.3">
      <c r="B2717" s="113">
        <v>43042</v>
      </c>
      <c r="C2717">
        <v>265.39999999999998</v>
      </c>
      <c r="D2717">
        <f t="shared" si="87"/>
        <v>0.25141456054319106</v>
      </c>
      <c r="E2717">
        <v>-9.4108789760963686E-4</v>
      </c>
      <c r="G2717">
        <v>2715</v>
      </c>
      <c r="H2717">
        <f t="shared" ca="1" si="88"/>
        <v>1.0184089833623565E-2</v>
      </c>
    </row>
    <row r="2718" spans="2:8" x14ac:dyDescent="0.3">
      <c r="B2718" s="113">
        <v>42241</v>
      </c>
      <c r="C2718">
        <v>212.08</v>
      </c>
      <c r="D2718">
        <f t="shared" si="87"/>
        <v>3.78644452858771E-3</v>
      </c>
      <c r="E2718">
        <v>-9.4215187488217746E-4</v>
      </c>
      <c r="G2718">
        <v>2716</v>
      </c>
      <c r="H2718">
        <f t="shared" ca="1" si="88"/>
        <v>-2.9159318716656842E-3</v>
      </c>
    </row>
    <row r="2719" spans="2:8" x14ac:dyDescent="0.3">
      <c r="B2719" s="113">
        <v>41584</v>
      </c>
      <c r="C2719">
        <v>211.28</v>
      </c>
      <c r="D2719">
        <f t="shared" si="87"/>
        <v>-0.19680669074320475</v>
      </c>
      <c r="E2719">
        <v>-9.4571590694150103E-4</v>
      </c>
      <c r="G2719">
        <v>2717</v>
      </c>
      <c r="H2719">
        <f t="shared" ca="1" si="88"/>
        <v>1.7184072600220656E-2</v>
      </c>
    </row>
    <row r="2720" spans="2:8" x14ac:dyDescent="0.3">
      <c r="B2720" s="113">
        <v>43090</v>
      </c>
      <c r="C2720">
        <v>263.05</v>
      </c>
      <c r="D2720">
        <f t="shared" si="87"/>
        <v>0.32126174092119147</v>
      </c>
      <c r="E2720">
        <v>-9.4948727687048991E-4</v>
      </c>
      <c r="G2720">
        <v>2718</v>
      </c>
      <c r="H2720">
        <f t="shared" ca="1" si="88"/>
        <v>-1.7137872329537854E-2</v>
      </c>
    </row>
    <row r="2721" spans="2:8" x14ac:dyDescent="0.3">
      <c r="B2721" s="113">
        <v>41323</v>
      </c>
      <c r="C2721">
        <v>199.09</v>
      </c>
      <c r="D2721">
        <f t="shared" si="87"/>
        <v>1.7209238759054257</v>
      </c>
      <c r="E2721">
        <v>-9.5343235648332858E-4</v>
      </c>
      <c r="G2721">
        <v>2719</v>
      </c>
      <c r="H2721">
        <f t="shared" ca="1" si="88"/>
        <v>1.2481955233427515E-2</v>
      </c>
    </row>
    <row r="2722" spans="2:8" x14ac:dyDescent="0.3">
      <c r="B2722" s="113">
        <v>39573</v>
      </c>
      <c r="C2722">
        <v>73.17</v>
      </c>
      <c r="D2722">
        <f t="shared" si="87"/>
        <v>-0.64788257940327232</v>
      </c>
      <c r="E2722">
        <v>-9.5576187875468573E-4</v>
      </c>
      <c r="G2722">
        <v>2720</v>
      </c>
      <c r="H2722">
        <f t="shared" ca="1" si="88"/>
        <v>-2.1055199070575785E-2</v>
      </c>
    </row>
    <row r="2723" spans="2:8" x14ac:dyDescent="0.3">
      <c r="B2723" s="113">
        <v>44264</v>
      </c>
      <c r="C2723">
        <v>207.8</v>
      </c>
      <c r="D2723">
        <f t="shared" si="87"/>
        <v>-0.3318327974276527</v>
      </c>
      <c r="E2723">
        <v>-9.6153846153840684E-4</v>
      </c>
      <c r="G2723">
        <v>2721</v>
      </c>
      <c r="H2723">
        <f t="shared" ca="1" si="88"/>
        <v>4.9284133145246429E-3</v>
      </c>
    </row>
    <row r="2724" spans="2:8" x14ac:dyDescent="0.3">
      <c r="B2724" s="113">
        <v>42909</v>
      </c>
      <c r="C2724">
        <v>311</v>
      </c>
      <c r="D2724">
        <f t="shared" si="87"/>
        <v>5.0341482343810631</v>
      </c>
      <c r="E2724">
        <v>-9.6370061034375639E-4</v>
      </c>
      <c r="G2724">
        <v>2722</v>
      </c>
      <c r="H2724">
        <f t="shared" ca="1" si="88"/>
        <v>7.3562120879683834E-3</v>
      </c>
    </row>
    <row r="2725" spans="2:8" x14ac:dyDescent="0.3">
      <c r="B2725" s="113">
        <v>39269</v>
      </c>
      <c r="C2725">
        <v>51.54</v>
      </c>
      <c r="D2725">
        <f t="shared" si="87"/>
        <v>9.994121105232177E-3</v>
      </c>
      <c r="E2725">
        <v>-9.6918007365776819E-4</v>
      </c>
      <c r="G2725">
        <v>2723</v>
      </c>
      <c r="H2725">
        <f t="shared" ca="1" si="88"/>
        <v>4.3154819496213012E-3</v>
      </c>
    </row>
    <row r="2726" spans="2:8" x14ac:dyDescent="0.3">
      <c r="B2726" s="113">
        <v>39282</v>
      </c>
      <c r="C2726">
        <v>51.03</v>
      </c>
      <c r="D2726">
        <f t="shared" si="87"/>
        <v>-0.74298665323596069</v>
      </c>
      <c r="E2726">
        <v>-9.7885669537974072E-4</v>
      </c>
      <c r="G2726">
        <v>2724</v>
      </c>
      <c r="H2726">
        <f t="shared" ca="1" si="88"/>
        <v>3.8280565828114296E-3</v>
      </c>
    </row>
    <row r="2727" spans="2:8" x14ac:dyDescent="0.3">
      <c r="B2727" s="113">
        <v>44061</v>
      </c>
      <c r="C2727">
        <v>198.55</v>
      </c>
      <c r="D2727">
        <f t="shared" si="87"/>
        <v>-0.12813419400166856</v>
      </c>
      <c r="E2727">
        <v>-1.0062893081760433E-3</v>
      </c>
      <c r="G2727">
        <v>2725</v>
      </c>
      <c r="H2727">
        <f t="shared" ca="1" si="88"/>
        <v>-2.4550184468891515E-2</v>
      </c>
    </row>
    <row r="2728" spans="2:8" x14ac:dyDescent="0.3">
      <c r="B2728" s="113">
        <v>41740</v>
      </c>
      <c r="C2728">
        <v>227.73</v>
      </c>
      <c r="D2728">
        <f t="shared" si="87"/>
        <v>2.9507619131506541E-3</v>
      </c>
      <c r="E2728">
        <v>-1.0089489384103273E-3</v>
      </c>
      <c r="G2728">
        <v>2726</v>
      </c>
      <c r="H2728">
        <f t="shared" ca="1" si="88"/>
        <v>2.4758655722648879E-2</v>
      </c>
    </row>
    <row r="2729" spans="2:8" x14ac:dyDescent="0.3">
      <c r="B2729" s="113">
        <v>41788</v>
      </c>
      <c r="C2729">
        <v>227.06</v>
      </c>
      <c r="D2729">
        <f t="shared" si="87"/>
        <v>-7.9610863396838219E-2</v>
      </c>
      <c r="E2729">
        <v>-1.0119230938448228E-3</v>
      </c>
      <c r="G2729">
        <v>2727</v>
      </c>
      <c r="H2729">
        <f t="shared" ca="1" si="88"/>
        <v>1.6282087040913853E-2</v>
      </c>
    </row>
    <row r="2730" spans="2:8" x14ac:dyDescent="0.3">
      <c r="B2730" s="113">
        <v>43797</v>
      </c>
      <c r="C2730">
        <v>246.7</v>
      </c>
      <c r="D2730">
        <f t="shared" si="87"/>
        <v>7.3683853459972859</v>
      </c>
      <c r="E2730">
        <v>-1.0123506782749544E-3</v>
      </c>
      <c r="G2730">
        <v>2728</v>
      </c>
      <c r="H2730">
        <f t="shared" ca="1" si="88"/>
        <v>-1.0135418002181257E-2</v>
      </c>
    </row>
    <row r="2731" spans="2:8" x14ac:dyDescent="0.3">
      <c r="B2731" s="113">
        <v>38428</v>
      </c>
      <c r="C2731">
        <v>29.48</v>
      </c>
      <c r="D2731">
        <f t="shared" si="87"/>
        <v>-0.89941999317639021</v>
      </c>
      <c r="E2731">
        <v>-1.0166045408336543E-3</v>
      </c>
      <c r="G2731">
        <v>2729</v>
      </c>
      <c r="H2731">
        <f t="shared" ca="1" si="88"/>
        <v>1.2756053889629488E-2</v>
      </c>
    </row>
    <row r="2732" spans="2:8" x14ac:dyDescent="0.3">
      <c r="B2732" s="113">
        <v>43551</v>
      </c>
      <c r="C2732">
        <v>293.10000000000002</v>
      </c>
      <c r="D2732">
        <f t="shared" si="87"/>
        <v>0.30725658980420145</v>
      </c>
      <c r="E2732">
        <v>-1.0224948875254074E-3</v>
      </c>
      <c r="G2732">
        <v>2730</v>
      </c>
      <c r="H2732">
        <f t="shared" ca="1" si="88"/>
        <v>-3.3272567142801919E-2</v>
      </c>
    </row>
    <row r="2733" spans="2:8" x14ac:dyDescent="0.3">
      <c r="B2733" s="113">
        <v>42074</v>
      </c>
      <c r="C2733">
        <v>224.21</v>
      </c>
      <c r="D2733">
        <f t="shared" si="87"/>
        <v>2.8550550206327379</v>
      </c>
      <c r="E2733">
        <v>-1.0247727677775342E-3</v>
      </c>
      <c r="G2733">
        <v>2731</v>
      </c>
      <c r="H2733">
        <f t="shared" ca="1" si="88"/>
        <v>-1.563582101300099E-2</v>
      </c>
    </row>
    <row r="2734" spans="2:8" x14ac:dyDescent="0.3">
      <c r="B2734" s="113">
        <v>39842</v>
      </c>
      <c r="C2734">
        <v>58.16</v>
      </c>
      <c r="D2734">
        <f t="shared" si="87"/>
        <v>1.0264808362369338</v>
      </c>
      <c r="E2734">
        <v>-1.0305736860185895E-3</v>
      </c>
      <c r="G2734">
        <v>2732</v>
      </c>
      <c r="H2734">
        <f t="shared" ca="1" si="88"/>
        <v>-4.6577487529281059E-3</v>
      </c>
    </row>
    <row r="2735" spans="2:8" x14ac:dyDescent="0.3">
      <c r="B2735" s="113">
        <v>38345</v>
      </c>
      <c r="C2735">
        <v>28.7</v>
      </c>
      <c r="D2735">
        <f t="shared" si="87"/>
        <v>-0.84886782517114279</v>
      </c>
      <c r="E2735">
        <v>-1.0442046641142059E-3</v>
      </c>
      <c r="G2735">
        <v>2733</v>
      </c>
      <c r="H2735">
        <f t="shared" ca="1" si="88"/>
        <v>-3.2431835757670648E-3</v>
      </c>
    </row>
    <row r="2736" spans="2:8" x14ac:dyDescent="0.3">
      <c r="B2736" s="113">
        <v>41198</v>
      </c>
      <c r="C2736">
        <v>189.9</v>
      </c>
      <c r="D2736">
        <f t="shared" si="87"/>
        <v>-0.10458317615993967</v>
      </c>
      <c r="E2736">
        <v>-1.0520778537611187E-3</v>
      </c>
      <c r="G2736">
        <v>2734</v>
      </c>
      <c r="H2736">
        <f t="shared" ca="1" si="88"/>
        <v>-2.6392794226429536E-2</v>
      </c>
    </row>
    <row r="2737" spans="2:8" x14ac:dyDescent="0.3">
      <c r="B2737" s="113">
        <v>42438</v>
      </c>
      <c r="C2737">
        <v>212.08</v>
      </c>
      <c r="D2737">
        <f t="shared" si="87"/>
        <v>2.3288337780568198</v>
      </c>
      <c r="E2737">
        <v>-1.083321558098958E-3</v>
      </c>
      <c r="G2737">
        <v>2735</v>
      </c>
      <c r="H2737">
        <f t="shared" ca="1" si="88"/>
        <v>-1.1228349898526793E-2</v>
      </c>
    </row>
    <row r="2738" spans="2:8" x14ac:dyDescent="0.3">
      <c r="B2738" s="113">
        <v>39966</v>
      </c>
      <c r="C2738">
        <v>63.71</v>
      </c>
      <c r="D2738">
        <f t="shared" si="87"/>
        <v>-0.6457603558520989</v>
      </c>
      <c r="E2738">
        <v>-1.0975227343995027E-3</v>
      </c>
      <c r="G2738">
        <v>2736</v>
      </c>
      <c r="H2738">
        <f t="shared" ca="1" si="88"/>
        <v>-4.3805679364336901E-2</v>
      </c>
    </row>
    <row r="2739" spans="2:8" x14ac:dyDescent="0.3">
      <c r="B2739" s="113">
        <v>43948</v>
      </c>
      <c r="C2739">
        <v>179.85</v>
      </c>
      <c r="D2739">
        <f t="shared" si="87"/>
        <v>9.0531022917831176</v>
      </c>
      <c r="E2739">
        <v>-1.1108025548459707E-3</v>
      </c>
      <c r="G2739">
        <v>2737</v>
      </c>
      <c r="H2739">
        <f t="shared" ca="1" si="88"/>
        <v>7.1745618275497218E-3</v>
      </c>
    </row>
    <row r="2740" spans="2:8" x14ac:dyDescent="0.3">
      <c r="B2740" s="113">
        <v>37897</v>
      </c>
      <c r="C2740">
        <v>17.89</v>
      </c>
      <c r="D2740">
        <f t="shared" si="87"/>
        <v>-0.91968574635241307</v>
      </c>
      <c r="E2740">
        <v>-1.1166945840312436E-3</v>
      </c>
      <c r="G2740">
        <v>2738</v>
      </c>
      <c r="H2740">
        <f t="shared" ca="1" si="88"/>
        <v>5.3848531546972674E-3</v>
      </c>
    </row>
    <row r="2741" spans="2:8" x14ac:dyDescent="0.3">
      <c r="B2741" s="113">
        <v>44608</v>
      </c>
      <c r="C2741">
        <v>222.75</v>
      </c>
      <c r="D2741">
        <f t="shared" si="87"/>
        <v>4.2349087505849377E-2</v>
      </c>
      <c r="E2741">
        <v>-1.1210762331838565E-3</v>
      </c>
      <c r="G2741">
        <v>2739</v>
      </c>
      <c r="H2741">
        <f t="shared" ca="1" si="88"/>
        <v>-1.8973474235053075E-2</v>
      </c>
    </row>
    <row r="2742" spans="2:8" x14ac:dyDescent="0.3">
      <c r="B2742" s="113">
        <v>41446</v>
      </c>
      <c r="C2742">
        <v>213.7</v>
      </c>
      <c r="D2742">
        <f t="shared" si="87"/>
        <v>-0.31164438717990017</v>
      </c>
      <c r="E2742">
        <v>-1.12180985322992E-3</v>
      </c>
      <c r="G2742">
        <v>2740</v>
      </c>
      <c r="H2742">
        <f t="shared" ca="1" si="88"/>
        <v>1.355139164738493E-2</v>
      </c>
    </row>
    <row r="2743" spans="2:8" x14ac:dyDescent="0.3">
      <c r="B2743" s="113">
        <v>43350</v>
      </c>
      <c r="C2743">
        <v>310.45</v>
      </c>
      <c r="D2743">
        <f t="shared" si="87"/>
        <v>0.18221629855293206</v>
      </c>
      <c r="E2743">
        <v>-1.1261261261261992E-3</v>
      </c>
      <c r="G2743">
        <v>2741</v>
      </c>
      <c r="H2743">
        <f t="shared" ca="1" si="88"/>
        <v>6.2541010196363956E-3</v>
      </c>
    </row>
    <row r="2744" spans="2:8" x14ac:dyDescent="0.3">
      <c r="B2744" s="113">
        <v>42619</v>
      </c>
      <c r="C2744">
        <v>262.60000000000002</v>
      </c>
      <c r="D2744">
        <f t="shared" si="87"/>
        <v>2.8642352491884664E-3</v>
      </c>
      <c r="E2744">
        <v>-1.1411182959298386E-3</v>
      </c>
      <c r="G2744">
        <v>2742</v>
      </c>
      <c r="H2744">
        <f t="shared" ca="1" si="88"/>
        <v>1.9401712536008937E-2</v>
      </c>
    </row>
    <row r="2745" spans="2:8" x14ac:dyDescent="0.3">
      <c r="B2745" s="113">
        <v>43097</v>
      </c>
      <c r="C2745">
        <v>261.85000000000002</v>
      </c>
      <c r="D2745">
        <f t="shared" si="87"/>
        <v>3.2954396325459321</v>
      </c>
      <c r="E2745">
        <v>-1.1443829868394222E-3</v>
      </c>
      <c r="G2745">
        <v>2743</v>
      </c>
      <c r="H2745">
        <f t="shared" ca="1" si="88"/>
        <v>1.7541884285614973E-3</v>
      </c>
    </row>
    <row r="2746" spans="2:8" x14ac:dyDescent="0.3">
      <c r="B2746" s="113">
        <v>39961</v>
      </c>
      <c r="C2746">
        <v>60.96</v>
      </c>
      <c r="D2746">
        <f t="shared" si="87"/>
        <v>-0.10838086880210623</v>
      </c>
      <c r="E2746">
        <v>-1.14697689660823E-3</v>
      </c>
      <c r="G2746">
        <v>2744</v>
      </c>
      <c r="H2746">
        <f t="shared" ca="1" si="88"/>
        <v>-1.1523905553814266E-2</v>
      </c>
    </row>
    <row r="2747" spans="2:8" x14ac:dyDescent="0.3">
      <c r="B2747" s="113">
        <v>39538</v>
      </c>
      <c r="C2747">
        <v>68.37</v>
      </c>
      <c r="D2747">
        <f t="shared" si="87"/>
        <v>-0.4969465087190052</v>
      </c>
      <c r="E2747">
        <v>-1.168736303871414E-3</v>
      </c>
      <c r="G2747">
        <v>2745</v>
      </c>
      <c r="H2747">
        <f t="shared" ca="1" si="88"/>
        <v>-1.38596591000758E-2</v>
      </c>
    </row>
    <row r="2748" spans="2:8" x14ac:dyDescent="0.3">
      <c r="B2748" s="113">
        <v>40971</v>
      </c>
      <c r="C2748">
        <v>135.91</v>
      </c>
      <c r="D2748">
        <f t="shared" si="87"/>
        <v>-0.35188364329995231</v>
      </c>
      <c r="E2748">
        <v>-1.1758653634158639E-3</v>
      </c>
      <c r="G2748">
        <v>2746</v>
      </c>
      <c r="H2748">
        <f t="shared" ca="1" si="88"/>
        <v>2.2990686044220915E-2</v>
      </c>
    </row>
    <row r="2749" spans="2:8" x14ac:dyDescent="0.3">
      <c r="B2749" s="113">
        <v>44259</v>
      </c>
      <c r="C2749">
        <v>209.7</v>
      </c>
      <c r="D2749">
        <f t="shared" si="87"/>
        <v>-7.1302037201062984E-2</v>
      </c>
      <c r="E2749">
        <v>-1.1907597046915933E-3</v>
      </c>
      <c r="G2749">
        <v>2747</v>
      </c>
      <c r="H2749">
        <f t="shared" ca="1" si="88"/>
        <v>2.5470602429335073E-2</v>
      </c>
    </row>
    <row r="2750" spans="2:8" x14ac:dyDescent="0.3">
      <c r="B2750" s="113">
        <v>42101</v>
      </c>
      <c r="C2750">
        <v>225.8</v>
      </c>
      <c r="D2750">
        <f t="shared" si="87"/>
        <v>8.06413017468295E-2</v>
      </c>
      <c r="E2750">
        <v>-1.1943203432564331E-3</v>
      </c>
      <c r="G2750">
        <v>2748</v>
      </c>
      <c r="H2750">
        <f t="shared" ca="1" si="88"/>
        <v>7.5431286810664668E-3</v>
      </c>
    </row>
    <row r="2751" spans="2:8" x14ac:dyDescent="0.3">
      <c r="B2751" s="113">
        <v>44426</v>
      </c>
      <c r="C2751">
        <v>208.95</v>
      </c>
      <c r="D2751">
        <f t="shared" si="87"/>
        <v>4.0349397590361447</v>
      </c>
      <c r="E2751">
        <v>-1.1950286806883365E-3</v>
      </c>
      <c r="G2751">
        <v>2749</v>
      </c>
      <c r="H2751">
        <f t="shared" ca="1" si="88"/>
        <v>2.3853777806509872E-2</v>
      </c>
    </row>
    <row r="2752" spans="2:8" x14ac:dyDescent="0.3">
      <c r="B2752" s="113">
        <v>38611</v>
      </c>
      <c r="C2752">
        <v>41.5</v>
      </c>
      <c r="D2752">
        <f t="shared" si="87"/>
        <v>-0.79956532238589717</v>
      </c>
      <c r="E2752">
        <v>-1.2033694344162976E-3</v>
      </c>
      <c r="G2752">
        <v>2750</v>
      </c>
      <c r="H2752">
        <f t="shared" ca="1" si="88"/>
        <v>3.4776525978400703E-2</v>
      </c>
    </row>
    <row r="2753" spans="2:8" x14ac:dyDescent="0.3">
      <c r="B2753" s="113">
        <v>44362</v>
      </c>
      <c r="C2753">
        <v>207.05</v>
      </c>
      <c r="D2753">
        <f t="shared" si="87"/>
        <v>-3.7871747211895804E-2</v>
      </c>
      <c r="E2753">
        <v>-1.20598166907863E-3</v>
      </c>
      <c r="G2753">
        <v>2751</v>
      </c>
      <c r="H2753">
        <f t="shared" ca="1" si="88"/>
        <v>-3.951429404195245E-4</v>
      </c>
    </row>
    <row r="2754" spans="2:8" x14ac:dyDescent="0.3">
      <c r="B2754" s="113">
        <v>41669</v>
      </c>
      <c r="C2754">
        <v>215.2</v>
      </c>
      <c r="D2754">
        <f t="shared" si="87"/>
        <v>0.62623743671125198</v>
      </c>
      <c r="E2754">
        <v>-1.2067205049662087E-3</v>
      </c>
      <c r="G2754">
        <v>2752</v>
      </c>
      <c r="H2754">
        <f t="shared" ca="1" si="88"/>
        <v>3.1726037139267672E-2</v>
      </c>
    </row>
    <row r="2755" spans="2:8" x14ac:dyDescent="0.3">
      <c r="B2755" s="113">
        <v>40892</v>
      </c>
      <c r="C2755">
        <v>132.33000000000001</v>
      </c>
      <c r="D2755">
        <f t="shared" ref="D2755:D2818" si="89">(C2755-C2756)/C2756</f>
        <v>0.60946241790318678</v>
      </c>
      <c r="E2755">
        <v>-1.2076383123254327E-3</v>
      </c>
      <c r="G2755">
        <v>2753</v>
      </c>
      <c r="H2755">
        <f t="shared" ca="1" si="88"/>
        <v>-3.7676664988470598E-3</v>
      </c>
    </row>
    <row r="2756" spans="2:8" x14ac:dyDescent="0.3">
      <c r="B2756" s="113">
        <v>40215</v>
      </c>
      <c r="C2756">
        <v>82.22</v>
      </c>
      <c r="D2756">
        <f t="shared" si="89"/>
        <v>-0.66631493506493511</v>
      </c>
      <c r="E2756">
        <v>-1.2147716229348193E-3</v>
      </c>
      <c r="G2756">
        <v>2754</v>
      </c>
      <c r="H2756">
        <f t="shared" ref="H2756:H2819" ca="1" si="90">_xlfn.NORM.INV(RAND(),$L$4,$L$6)</f>
        <v>1.9140208805403184E-2</v>
      </c>
    </row>
    <row r="2757" spans="2:8" x14ac:dyDescent="0.3">
      <c r="B2757" s="113">
        <v>43798</v>
      </c>
      <c r="C2757">
        <v>246.4</v>
      </c>
      <c r="D2757">
        <f t="shared" si="89"/>
        <v>4.1508157916983653E-2</v>
      </c>
      <c r="E2757">
        <v>-1.2160518848803525E-3</v>
      </c>
      <c r="G2757">
        <v>2755</v>
      </c>
      <c r="H2757">
        <f t="shared" ca="1" si="90"/>
        <v>9.8802689966880214E-3</v>
      </c>
    </row>
    <row r="2758" spans="2:8" x14ac:dyDescent="0.3">
      <c r="B2758" s="113">
        <v>41865</v>
      </c>
      <c r="C2758">
        <v>236.58</v>
      </c>
      <c r="D2758">
        <f t="shared" si="89"/>
        <v>1.0778148603548219</v>
      </c>
      <c r="E2758">
        <v>-1.2243002490817411E-3</v>
      </c>
      <c r="G2758">
        <v>2756</v>
      </c>
      <c r="H2758">
        <f t="shared" ca="1" si="90"/>
        <v>-8.631350289363687E-3</v>
      </c>
    </row>
    <row r="2759" spans="2:8" x14ac:dyDescent="0.3">
      <c r="B2759" s="113">
        <v>40611</v>
      </c>
      <c r="C2759">
        <v>113.86</v>
      </c>
      <c r="D2759">
        <f t="shared" si="89"/>
        <v>0.27760323159784556</v>
      </c>
      <c r="E2759">
        <v>-1.2280701754386015E-3</v>
      </c>
      <c r="G2759">
        <v>2757</v>
      </c>
      <c r="H2759">
        <f t="shared" ca="1" si="90"/>
        <v>2.2704481460474255E-2</v>
      </c>
    </row>
    <row r="2760" spans="2:8" x14ac:dyDescent="0.3">
      <c r="B2760" s="113">
        <v>40267</v>
      </c>
      <c r="C2760">
        <v>89.12</v>
      </c>
      <c r="D2760">
        <f t="shared" si="89"/>
        <v>-0.68458679879667317</v>
      </c>
      <c r="E2760">
        <v>-1.2327692480107522E-3</v>
      </c>
      <c r="G2760">
        <v>2758</v>
      </c>
      <c r="H2760">
        <f t="shared" ca="1" si="90"/>
        <v>-2.3364296265964864E-2</v>
      </c>
    </row>
    <row r="2761" spans="2:8" x14ac:dyDescent="0.3">
      <c r="B2761" s="113">
        <v>42970</v>
      </c>
      <c r="C2761">
        <v>282.55</v>
      </c>
      <c r="D2761">
        <f t="shared" si="89"/>
        <v>4.0026558073654401</v>
      </c>
      <c r="E2761">
        <v>-1.2371862849062068E-3</v>
      </c>
      <c r="G2761">
        <v>2759</v>
      </c>
      <c r="H2761">
        <f t="shared" ca="1" si="90"/>
        <v>-4.9819313691169961E-4</v>
      </c>
    </row>
    <row r="2762" spans="2:8" x14ac:dyDescent="0.3">
      <c r="B2762" s="113">
        <v>39836</v>
      </c>
      <c r="C2762">
        <v>56.48</v>
      </c>
      <c r="D2762">
        <f t="shared" si="89"/>
        <v>-0.73070137796214185</v>
      </c>
      <c r="E2762">
        <v>-1.237842617152967E-3</v>
      </c>
      <c r="G2762">
        <v>2760</v>
      </c>
      <c r="H2762">
        <f t="shared" ca="1" si="90"/>
        <v>-1.498333905383136E-2</v>
      </c>
    </row>
    <row r="2763" spans="2:8" x14ac:dyDescent="0.3">
      <c r="B2763" s="113">
        <v>42229</v>
      </c>
      <c r="C2763">
        <v>209.73</v>
      </c>
      <c r="D2763">
        <f t="shared" si="89"/>
        <v>4.2913973147687696E-2</v>
      </c>
      <c r="E2763">
        <v>-1.2381541978190357E-3</v>
      </c>
      <c r="G2763">
        <v>2761</v>
      </c>
      <c r="H2763">
        <f t="shared" ca="1" si="90"/>
        <v>2.9150026297922033E-2</v>
      </c>
    </row>
    <row r="2764" spans="2:8" x14ac:dyDescent="0.3">
      <c r="B2764" s="113">
        <v>44389</v>
      </c>
      <c r="C2764">
        <v>201.1</v>
      </c>
      <c r="D2764">
        <f t="shared" si="89"/>
        <v>7.3513289036544851</v>
      </c>
      <c r="E2764">
        <v>-1.2416190712689348E-3</v>
      </c>
      <c r="G2764">
        <v>2762</v>
      </c>
      <c r="H2764">
        <f t="shared" ca="1" si="90"/>
        <v>-4.6925763825579588E-3</v>
      </c>
    </row>
    <row r="2765" spans="2:8" x14ac:dyDescent="0.3">
      <c r="B2765" s="113">
        <v>38040</v>
      </c>
      <c r="C2765">
        <v>24.08</v>
      </c>
      <c r="D2765">
        <f t="shared" si="89"/>
        <v>-0.76850605652759085</v>
      </c>
      <c r="E2765">
        <v>-1.2442969722107481E-3</v>
      </c>
      <c r="G2765">
        <v>2763</v>
      </c>
      <c r="H2765">
        <f t="shared" ca="1" si="90"/>
        <v>2.3566288778366529E-2</v>
      </c>
    </row>
    <row r="2766" spans="2:8" x14ac:dyDescent="0.3">
      <c r="B2766" s="113">
        <v>40590</v>
      </c>
      <c r="C2766">
        <v>104.02</v>
      </c>
      <c r="D2766">
        <f t="shared" si="89"/>
        <v>-0.6267671331180481</v>
      </c>
      <c r="E2766">
        <v>-1.2481997119540053E-3</v>
      </c>
      <c r="G2766">
        <v>2764</v>
      </c>
      <c r="H2766">
        <f t="shared" ca="1" si="90"/>
        <v>5.6700158720943087E-3</v>
      </c>
    </row>
    <row r="2767" spans="2:8" x14ac:dyDescent="0.3">
      <c r="B2767" s="113">
        <v>42844</v>
      </c>
      <c r="C2767">
        <v>278.7</v>
      </c>
      <c r="D2767">
        <f t="shared" si="89"/>
        <v>1.5053937432578208</v>
      </c>
      <c r="E2767">
        <v>-1.2542555097653566E-3</v>
      </c>
      <c r="G2767">
        <v>2765</v>
      </c>
      <c r="H2767">
        <f t="shared" ca="1" si="90"/>
        <v>2.7757402335313201E-2</v>
      </c>
    </row>
    <row r="2768" spans="2:8" x14ac:dyDescent="0.3">
      <c r="B2768" s="113">
        <v>40570</v>
      </c>
      <c r="C2768">
        <v>111.24</v>
      </c>
      <c r="D2768">
        <f t="shared" si="89"/>
        <v>-0.17158176943699738</v>
      </c>
      <c r="E2768">
        <v>-1.2569581612497807E-3</v>
      </c>
      <c r="G2768">
        <v>2766</v>
      </c>
      <c r="H2768">
        <f t="shared" ca="1" si="90"/>
        <v>-2.2927133929697179E-2</v>
      </c>
    </row>
    <row r="2769" spans="2:8" x14ac:dyDescent="0.3">
      <c r="B2769" s="113">
        <v>40953</v>
      </c>
      <c r="C2769">
        <v>134.28</v>
      </c>
      <c r="D2769">
        <f t="shared" si="89"/>
        <v>1.133121525019857</v>
      </c>
      <c r="E2769">
        <v>-1.2644105615469505E-3</v>
      </c>
      <c r="G2769">
        <v>2767</v>
      </c>
      <c r="H2769">
        <f t="shared" ca="1" si="90"/>
        <v>-2.0789290657183053E-2</v>
      </c>
    </row>
    <row r="2770" spans="2:8" x14ac:dyDescent="0.3">
      <c r="B2770" s="113">
        <v>39666</v>
      </c>
      <c r="C2770">
        <v>62.95</v>
      </c>
      <c r="D2770">
        <f t="shared" si="89"/>
        <v>-0.79881751358261432</v>
      </c>
      <c r="E2770">
        <v>-1.2692368713310852E-3</v>
      </c>
      <c r="G2770">
        <v>2768</v>
      </c>
      <c r="H2770">
        <f t="shared" ca="1" si="90"/>
        <v>4.1216132353226681E-3</v>
      </c>
    </row>
    <row r="2771" spans="2:8" x14ac:dyDescent="0.3">
      <c r="B2771" s="113">
        <v>43333</v>
      </c>
      <c r="C2771">
        <v>312.89999999999998</v>
      </c>
      <c r="D2771">
        <f t="shared" si="89"/>
        <v>4.0354039266173158</v>
      </c>
      <c r="E2771">
        <v>-1.2767315671881076E-3</v>
      </c>
      <c r="G2771">
        <v>2769</v>
      </c>
      <c r="H2771">
        <f t="shared" ca="1" si="90"/>
        <v>-7.7304077722664261E-3</v>
      </c>
    </row>
    <row r="2772" spans="2:8" x14ac:dyDescent="0.3">
      <c r="B2772" s="113">
        <v>39020</v>
      </c>
      <c r="C2772">
        <v>62.14</v>
      </c>
      <c r="D2772">
        <f t="shared" si="89"/>
        <v>1.0110032362459549</v>
      </c>
      <c r="E2772">
        <v>-1.2857602057216055E-3</v>
      </c>
      <c r="G2772">
        <v>2770</v>
      </c>
      <c r="H2772">
        <f t="shared" ca="1" si="90"/>
        <v>-9.6418963074991915E-3</v>
      </c>
    </row>
    <row r="2773" spans="2:8" x14ac:dyDescent="0.3">
      <c r="B2773" s="113">
        <v>38453</v>
      </c>
      <c r="C2773">
        <v>30.9</v>
      </c>
      <c r="D2773">
        <f t="shared" si="89"/>
        <v>-0.69149361022364209</v>
      </c>
      <c r="E2773">
        <v>-1.2928248222366741E-3</v>
      </c>
      <c r="G2773">
        <v>2771</v>
      </c>
      <c r="H2773">
        <f t="shared" ca="1" si="90"/>
        <v>-2.1345180780022138E-3</v>
      </c>
    </row>
    <row r="2774" spans="2:8" x14ac:dyDescent="0.3">
      <c r="B2774" s="113">
        <v>40364</v>
      </c>
      <c r="C2774">
        <v>100.16</v>
      </c>
      <c r="D2774">
        <f t="shared" si="89"/>
        <v>0.30808410604675468</v>
      </c>
      <c r="E2774">
        <v>-1.2962409013860768E-3</v>
      </c>
      <c r="G2774">
        <v>2772</v>
      </c>
      <c r="H2774">
        <f t="shared" ca="1" si="90"/>
        <v>5.4656188570152545E-2</v>
      </c>
    </row>
    <row r="2775" spans="2:8" x14ac:dyDescent="0.3">
      <c r="B2775" s="113">
        <v>39455</v>
      </c>
      <c r="C2775">
        <v>76.569999999999993</v>
      </c>
      <c r="D2775">
        <f t="shared" si="89"/>
        <v>-0.22991048979181344</v>
      </c>
      <c r="E2775">
        <v>-1.304291117777599E-3</v>
      </c>
      <c r="G2775">
        <v>2773</v>
      </c>
      <c r="H2775">
        <f t="shared" ca="1" si="90"/>
        <v>-3.613241529712536E-2</v>
      </c>
    </row>
    <row r="2776" spans="2:8" x14ac:dyDescent="0.3">
      <c r="B2776" s="113">
        <v>40371</v>
      </c>
      <c r="C2776">
        <v>99.43</v>
      </c>
      <c r="D2776">
        <f t="shared" si="89"/>
        <v>0.63321287779237845</v>
      </c>
      <c r="E2776">
        <v>-1.3057452792285601E-3</v>
      </c>
      <c r="G2776">
        <v>2774</v>
      </c>
      <c r="H2776">
        <f t="shared" ca="1" si="90"/>
        <v>1.5211728951372528E-2</v>
      </c>
    </row>
    <row r="2777" spans="2:8" x14ac:dyDescent="0.3">
      <c r="B2777" s="113">
        <v>39962</v>
      </c>
      <c r="C2777">
        <v>60.88</v>
      </c>
      <c r="D2777">
        <f t="shared" si="89"/>
        <v>-0.72386265705084596</v>
      </c>
      <c r="E2777">
        <v>-1.3123359580052214E-3</v>
      </c>
      <c r="G2777">
        <v>2775</v>
      </c>
      <c r="H2777">
        <f t="shared" ca="1" si="90"/>
        <v>-6.4946026683148058E-3</v>
      </c>
    </row>
    <row r="2778" spans="2:8" x14ac:dyDescent="0.3">
      <c r="B2778" s="113">
        <v>42143</v>
      </c>
      <c r="C2778">
        <v>220.47</v>
      </c>
      <c r="D2778">
        <f t="shared" si="89"/>
        <v>-0.26800358577642019</v>
      </c>
      <c r="E2778">
        <v>-1.3136437760463491E-3</v>
      </c>
      <c r="G2778">
        <v>2776</v>
      </c>
      <c r="H2778">
        <f t="shared" ca="1" si="90"/>
        <v>-3.3018450058997353E-2</v>
      </c>
    </row>
    <row r="2779" spans="2:8" x14ac:dyDescent="0.3">
      <c r="B2779" s="113">
        <v>44771</v>
      </c>
      <c r="C2779">
        <v>301.19</v>
      </c>
      <c r="D2779">
        <f t="shared" si="89"/>
        <v>19.052596537949402</v>
      </c>
      <c r="E2779">
        <v>-1.3263039225437756E-3</v>
      </c>
      <c r="G2779">
        <v>2777</v>
      </c>
      <c r="H2779">
        <f t="shared" ca="1" si="90"/>
        <v>1.4925942276634338E-2</v>
      </c>
    </row>
    <row r="2780" spans="2:8" x14ac:dyDescent="0.3">
      <c r="B2780" s="113">
        <v>37746</v>
      </c>
      <c r="C2780">
        <v>15.02</v>
      </c>
      <c r="D2780">
        <f t="shared" si="89"/>
        <v>2.0013342228151674E-3</v>
      </c>
      <c r="E2780">
        <v>-1.329787234042525E-3</v>
      </c>
      <c r="G2780">
        <v>2778</v>
      </c>
      <c r="H2780">
        <f t="shared" ca="1" si="90"/>
        <v>-3.2650988627143052E-2</v>
      </c>
    </row>
    <row r="2781" spans="2:8" x14ac:dyDescent="0.3">
      <c r="B2781" s="113">
        <v>37503</v>
      </c>
      <c r="C2781">
        <v>14.99</v>
      </c>
      <c r="D2781">
        <f t="shared" si="89"/>
        <v>-0.70870579090555763</v>
      </c>
      <c r="E2781">
        <v>-1.3324450366422101E-3</v>
      </c>
      <c r="G2781">
        <v>2779</v>
      </c>
      <c r="H2781">
        <f t="shared" ca="1" si="90"/>
        <v>-1.0427237398872703E-2</v>
      </c>
    </row>
    <row r="2782" spans="2:8" x14ac:dyDescent="0.3">
      <c r="B2782" s="113">
        <v>38747</v>
      </c>
      <c r="C2782">
        <v>51.46</v>
      </c>
      <c r="D2782">
        <f t="shared" si="89"/>
        <v>-0.41282519397535372</v>
      </c>
      <c r="E2782">
        <v>-1.3584319813700811E-3</v>
      </c>
      <c r="G2782">
        <v>2780</v>
      </c>
      <c r="H2782">
        <f t="shared" ca="1" si="90"/>
        <v>1.1343885927669614E-2</v>
      </c>
    </row>
    <row r="2783" spans="2:8" x14ac:dyDescent="0.3">
      <c r="B2783" s="113">
        <v>40263</v>
      </c>
      <c r="C2783">
        <v>87.64</v>
      </c>
      <c r="D2783">
        <f t="shared" si="89"/>
        <v>-0.5987179487179487</v>
      </c>
      <c r="E2783">
        <v>-1.3673655423883835E-3</v>
      </c>
      <c r="G2783">
        <v>2781</v>
      </c>
      <c r="H2783">
        <f t="shared" ca="1" si="90"/>
        <v>-4.9502519210887254E-3</v>
      </c>
    </row>
    <row r="2784" spans="2:8" x14ac:dyDescent="0.3">
      <c r="B2784" s="113">
        <v>44568</v>
      </c>
      <c r="C2784">
        <v>218.4</v>
      </c>
      <c r="D2784">
        <f t="shared" si="89"/>
        <v>14.114186851211075</v>
      </c>
      <c r="E2784">
        <v>-1.3717421124827753E-3</v>
      </c>
      <c r="G2784">
        <v>2782</v>
      </c>
      <c r="H2784">
        <f t="shared" ca="1" si="90"/>
        <v>8.8277769528012206E-3</v>
      </c>
    </row>
    <row r="2785" spans="2:8" x14ac:dyDescent="0.3">
      <c r="B2785" s="113">
        <v>37644</v>
      </c>
      <c r="C2785">
        <v>14.45</v>
      </c>
      <c r="D2785">
        <f t="shared" si="89"/>
        <v>1.3860013860013565E-3</v>
      </c>
      <c r="E2785">
        <v>-1.3821700069109432E-3</v>
      </c>
      <c r="G2785">
        <v>2783</v>
      </c>
      <c r="H2785">
        <f t="shared" ca="1" si="90"/>
        <v>-5.1034364319841726E-3</v>
      </c>
    </row>
    <row r="2786" spans="2:8" x14ac:dyDescent="0.3">
      <c r="B2786" s="113">
        <v>37645</v>
      </c>
      <c r="C2786">
        <v>14.43</v>
      </c>
      <c r="D2786">
        <f t="shared" si="89"/>
        <v>-0.93885852294394301</v>
      </c>
      <c r="E2786">
        <v>-1.3840830449826694E-3</v>
      </c>
      <c r="G2786">
        <v>2784</v>
      </c>
      <c r="H2786">
        <f t="shared" ca="1" si="90"/>
        <v>-1.0663291791480477E-2</v>
      </c>
    </row>
    <row r="2787" spans="2:8" x14ac:dyDescent="0.3">
      <c r="B2787" s="113">
        <v>42304</v>
      </c>
      <c r="C2787">
        <v>236.01</v>
      </c>
      <c r="D2787">
        <f t="shared" si="89"/>
        <v>0.44622832281389785</v>
      </c>
      <c r="E2787">
        <v>-1.3962934755014493E-3</v>
      </c>
      <c r="G2787">
        <v>2785</v>
      </c>
      <c r="H2787">
        <f t="shared" ca="1" si="90"/>
        <v>-1.6451701922933627E-3</v>
      </c>
    </row>
    <row r="2788" spans="2:8" x14ac:dyDescent="0.3">
      <c r="B2788" s="113">
        <v>41094</v>
      </c>
      <c r="C2788">
        <v>163.19</v>
      </c>
      <c r="D2788">
        <f t="shared" si="89"/>
        <v>-0.42192702798441378</v>
      </c>
      <c r="E2788">
        <v>-1.4074164728918725E-3</v>
      </c>
      <c r="G2788">
        <v>2786</v>
      </c>
      <c r="H2788">
        <f t="shared" ca="1" si="90"/>
        <v>2.6719233448374447E-2</v>
      </c>
    </row>
    <row r="2789" spans="2:8" x14ac:dyDescent="0.3">
      <c r="B2789" s="113">
        <v>43229</v>
      </c>
      <c r="C2789">
        <v>282.3</v>
      </c>
      <c r="D2789">
        <f t="shared" si="89"/>
        <v>3.4498738965952085</v>
      </c>
      <c r="E2789">
        <v>-1.414927484966315E-3</v>
      </c>
      <c r="G2789">
        <v>2787</v>
      </c>
      <c r="H2789">
        <f t="shared" ca="1" si="90"/>
        <v>3.5770871157496761E-2</v>
      </c>
    </row>
    <row r="2790" spans="2:8" x14ac:dyDescent="0.3">
      <c r="B2790" s="113">
        <v>39703</v>
      </c>
      <c r="C2790">
        <v>63.44</v>
      </c>
      <c r="D2790">
        <f t="shared" si="89"/>
        <v>-0.6987654320987654</v>
      </c>
      <c r="E2790">
        <v>-1.4166535495042248E-3</v>
      </c>
      <c r="G2790">
        <v>2788</v>
      </c>
      <c r="H2790">
        <f t="shared" ca="1" si="90"/>
        <v>-1.0304375964555648E-2</v>
      </c>
    </row>
    <row r="2791" spans="2:8" x14ac:dyDescent="0.3">
      <c r="B2791" s="113">
        <v>44342</v>
      </c>
      <c r="C2791">
        <v>210.6</v>
      </c>
      <c r="D2791">
        <f t="shared" si="89"/>
        <v>14.032119914346895</v>
      </c>
      <c r="E2791">
        <v>-1.4224751066856868E-3</v>
      </c>
      <c r="G2791">
        <v>2789</v>
      </c>
      <c r="H2791">
        <f t="shared" ca="1" si="90"/>
        <v>-2.051196122625468E-2</v>
      </c>
    </row>
    <row r="2792" spans="2:8" x14ac:dyDescent="0.3">
      <c r="B2792" s="113">
        <v>37466</v>
      </c>
      <c r="C2792">
        <v>14.01</v>
      </c>
      <c r="D2792">
        <f t="shared" si="89"/>
        <v>-0.94255842558425584</v>
      </c>
      <c r="E2792">
        <v>-1.4255167498217801E-3</v>
      </c>
      <c r="G2792">
        <v>2790</v>
      </c>
      <c r="H2792">
        <f t="shared" ca="1" si="90"/>
        <v>9.5749291797281701E-4</v>
      </c>
    </row>
    <row r="2793" spans="2:8" x14ac:dyDescent="0.3">
      <c r="B2793" s="113">
        <v>43714</v>
      </c>
      <c r="C2793">
        <v>243.9</v>
      </c>
      <c r="D2793">
        <f t="shared" si="89"/>
        <v>-0.2215129269071178</v>
      </c>
      <c r="E2793">
        <v>-1.4329580348003861E-3</v>
      </c>
      <c r="G2793">
        <v>2791</v>
      </c>
      <c r="H2793">
        <f t="shared" ca="1" si="90"/>
        <v>2.0518134011280241E-2</v>
      </c>
    </row>
    <row r="2794" spans="2:8" x14ac:dyDescent="0.3">
      <c r="B2794" s="113">
        <v>43332</v>
      </c>
      <c r="C2794">
        <v>313.3</v>
      </c>
      <c r="D2794">
        <f t="shared" si="89"/>
        <v>0.50083832335329348</v>
      </c>
      <c r="E2794">
        <v>-1.4342629482071352E-3</v>
      </c>
      <c r="G2794">
        <v>2792</v>
      </c>
      <c r="H2794">
        <f t="shared" ca="1" si="90"/>
        <v>-1.8537560867042949E-2</v>
      </c>
    </row>
    <row r="2795" spans="2:8" x14ac:dyDescent="0.3">
      <c r="B2795" s="113">
        <v>44351</v>
      </c>
      <c r="C2795">
        <v>208.75</v>
      </c>
      <c r="D2795">
        <f t="shared" si="89"/>
        <v>0.88096954406199313</v>
      </c>
      <c r="E2795">
        <v>-1.4350633819660912E-3</v>
      </c>
      <c r="G2795">
        <v>2793</v>
      </c>
      <c r="H2795">
        <f t="shared" ca="1" si="90"/>
        <v>4.9051252576866365E-3</v>
      </c>
    </row>
    <row r="2796" spans="2:8" x14ac:dyDescent="0.3">
      <c r="B2796" s="113">
        <v>40437</v>
      </c>
      <c r="C2796">
        <v>110.98</v>
      </c>
      <c r="D2796">
        <f t="shared" si="89"/>
        <v>-0.59855308374027849</v>
      </c>
      <c r="E2796">
        <v>-1.4396256973186665E-3</v>
      </c>
      <c r="G2796">
        <v>2794</v>
      </c>
      <c r="H2796">
        <f t="shared" ca="1" si="90"/>
        <v>2.9155449378267764E-2</v>
      </c>
    </row>
    <row r="2797" spans="2:8" x14ac:dyDescent="0.3">
      <c r="B2797" s="113">
        <v>43418</v>
      </c>
      <c r="C2797">
        <v>276.45</v>
      </c>
      <c r="D2797">
        <f t="shared" si="89"/>
        <v>4.9073064340238665E-3</v>
      </c>
      <c r="E2797">
        <v>-1.4448257178979016E-3</v>
      </c>
      <c r="G2797">
        <v>2795</v>
      </c>
      <c r="H2797">
        <f t="shared" ca="1" si="90"/>
        <v>2.2997282162175874E-2</v>
      </c>
    </row>
    <row r="2798" spans="2:8" x14ac:dyDescent="0.3">
      <c r="B2798" s="113">
        <v>43523</v>
      </c>
      <c r="C2798">
        <v>275.10000000000002</v>
      </c>
      <c r="D2798">
        <f t="shared" si="89"/>
        <v>0.33343027482914073</v>
      </c>
      <c r="E2798">
        <v>-1.4519056261342188E-3</v>
      </c>
      <c r="G2798">
        <v>2796</v>
      </c>
      <c r="H2798">
        <f t="shared" ca="1" si="90"/>
        <v>-4.2873795085414584E-2</v>
      </c>
    </row>
    <row r="2799" spans="2:8" x14ac:dyDescent="0.3">
      <c r="B2799" s="113">
        <v>42213</v>
      </c>
      <c r="C2799">
        <v>206.31</v>
      </c>
      <c r="D2799">
        <f t="shared" si="89"/>
        <v>9.0053346265761398</v>
      </c>
      <c r="E2799">
        <v>-1.4520110352839231E-3</v>
      </c>
      <c r="G2799">
        <v>2797</v>
      </c>
      <c r="H2799">
        <f t="shared" ca="1" si="90"/>
        <v>-1.010793226800275E-3</v>
      </c>
    </row>
    <row r="2800" spans="2:8" x14ac:dyDescent="0.3">
      <c r="B2800" s="113">
        <v>38119</v>
      </c>
      <c r="C2800">
        <v>20.62</v>
      </c>
      <c r="D2800">
        <f t="shared" si="89"/>
        <v>-0.90858713481402664</v>
      </c>
      <c r="E2800">
        <v>-1.4527845036318443E-3</v>
      </c>
      <c r="G2800">
        <v>2798</v>
      </c>
      <c r="H2800">
        <f t="shared" ca="1" si="90"/>
        <v>1.8499935349626934E-2</v>
      </c>
    </row>
    <row r="2801" spans="2:8" x14ac:dyDescent="0.3">
      <c r="B2801" s="113">
        <v>41761</v>
      </c>
      <c r="C2801">
        <v>225.57</v>
      </c>
      <c r="D2801">
        <f t="shared" si="89"/>
        <v>-0.26631972678484306</v>
      </c>
      <c r="E2801">
        <v>-1.4608233731740262E-3</v>
      </c>
      <c r="G2801">
        <v>2799</v>
      </c>
      <c r="H2801">
        <f t="shared" ca="1" si="90"/>
        <v>-3.6276670565928121E-2</v>
      </c>
    </row>
    <row r="2802" spans="2:8" x14ac:dyDescent="0.3">
      <c r="B2802" s="113">
        <v>43328</v>
      </c>
      <c r="C2802">
        <v>307.45</v>
      </c>
      <c r="D2802">
        <f t="shared" si="89"/>
        <v>4.6516544117647056</v>
      </c>
      <c r="E2802">
        <v>-1.4615134784020417E-3</v>
      </c>
      <c r="G2802">
        <v>2800</v>
      </c>
      <c r="H2802">
        <f t="shared" ca="1" si="90"/>
        <v>1.0587784022743586E-2</v>
      </c>
    </row>
    <row r="2803" spans="2:8" x14ac:dyDescent="0.3">
      <c r="B2803" s="113">
        <v>38923</v>
      </c>
      <c r="C2803">
        <v>54.4</v>
      </c>
      <c r="D2803">
        <f t="shared" si="89"/>
        <v>-0.73241515002459423</v>
      </c>
      <c r="E2803">
        <v>-1.4684287812040803E-3</v>
      </c>
      <c r="G2803">
        <v>2801</v>
      </c>
      <c r="H2803">
        <f t="shared" ca="1" si="90"/>
        <v>1.1230766374171893E-2</v>
      </c>
    </row>
    <row r="2804" spans="2:8" x14ac:dyDescent="0.3">
      <c r="B2804" s="113">
        <v>44376</v>
      </c>
      <c r="C2804">
        <v>203.3</v>
      </c>
      <c r="D2804">
        <f t="shared" si="89"/>
        <v>-0.11535616378747657</v>
      </c>
      <c r="E2804">
        <v>-1.4734774066796805E-3</v>
      </c>
      <c r="G2804">
        <v>2802</v>
      </c>
      <c r="H2804">
        <f t="shared" ca="1" si="90"/>
        <v>-2.0930457197329676E-2</v>
      </c>
    </row>
    <row r="2805" spans="2:8" x14ac:dyDescent="0.3">
      <c r="B2805" s="113">
        <v>42104</v>
      </c>
      <c r="C2805">
        <v>229.81</v>
      </c>
      <c r="D2805">
        <f t="shared" si="89"/>
        <v>-7.9655586704044809E-2</v>
      </c>
      <c r="E2805">
        <v>-1.4772974147295389E-3</v>
      </c>
      <c r="G2805">
        <v>2803</v>
      </c>
      <c r="H2805">
        <f t="shared" ca="1" si="90"/>
        <v>-1.3163340779784585E-2</v>
      </c>
    </row>
    <row r="2806" spans="2:8" x14ac:dyDescent="0.3">
      <c r="B2806" s="113">
        <v>41907</v>
      </c>
      <c r="C2806">
        <v>249.7</v>
      </c>
      <c r="D2806">
        <f t="shared" si="89"/>
        <v>3.6629318394024275</v>
      </c>
      <c r="E2806">
        <v>-1.4795857159995384E-3</v>
      </c>
      <c r="G2806">
        <v>2804</v>
      </c>
      <c r="H2806">
        <f t="shared" ca="1" si="90"/>
        <v>-1.3739888078726401E-2</v>
      </c>
    </row>
    <row r="2807" spans="2:8" x14ac:dyDescent="0.3">
      <c r="B2807" s="113">
        <v>39198</v>
      </c>
      <c r="C2807">
        <v>53.55</v>
      </c>
      <c r="D2807">
        <f t="shared" si="89"/>
        <v>-0.4660484594675442</v>
      </c>
      <c r="E2807">
        <v>-1.4917024053702293E-3</v>
      </c>
      <c r="G2807">
        <v>2805</v>
      </c>
      <c r="H2807">
        <f t="shared" ca="1" si="90"/>
        <v>-1.1149429555104964E-2</v>
      </c>
    </row>
    <row r="2808" spans="2:8" x14ac:dyDescent="0.3">
      <c r="B2808" s="113">
        <v>40361</v>
      </c>
      <c r="C2808">
        <v>100.29</v>
      </c>
      <c r="D2808">
        <f t="shared" si="89"/>
        <v>4.0831221490116576</v>
      </c>
      <c r="E2808">
        <v>-1.4934289127836666E-3</v>
      </c>
      <c r="G2808">
        <v>2806</v>
      </c>
      <c r="H2808">
        <f t="shared" ca="1" si="90"/>
        <v>2.873707311978506E-3</v>
      </c>
    </row>
    <row r="2809" spans="2:8" x14ac:dyDescent="0.3">
      <c r="B2809" s="113">
        <v>38147</v>
      </c>
      <c r="C2809">
        <v>19.73</v>
      </c>
      <c r="D2809">
        <f t="shared" si="89"/>
        <v>1.9111570247933935E-2</v>
      </c>
      <c r="E2809">
        <v>-1.5182186234818389E-3</v>
      </c>
      <c r="G2809">
        <v>2807</v>
      </c>
      <c r="H2809">
        <f t="shared" ca="1" si="90"/>
        <v>-3.2521149664458278E-3</v>
      </c>
    </row>
    <row r="2810" spans="2:8" x14ac:dyDescent="0.3">
      <c r="B2810" s="113">
        <v>38142</v>
      </c>
      <c r="C2810">
        <v>19.36</v>
      </c>
      <c r="D2810">
        <f t="shared" si="89"/>
        <v>-0.65981374099455281</v>
      </c>
      <c r="E2810">
        <v>-1.5471892728211004E-3</v>
      </c>
      <c r="G2810">
        <v>2808</v>
      </c>
      <c r="H2810">
        <f t="shared" ca="1" si="90"/>
        <v>1.359180963000791E-2</v>
      </c>
    </row>
    <row r="2811" spans="2:8" x14ac:dyDescent="0.3">
      <c r="B2811" s="113">
        <v>39813</v>
      </c>
      <c r="C2811">
        <v>56.91</v>
      </c>
      <c r="D2811">
        <f t="shared" si="89"/>
        <v>-0.73525307033866771</v>
      </c>
      <c r="E2811">
        <v>-1.5789473684211124E-3</v>
      </c>
      <c r="G2811">
        <v>2809</v>
      </c>
      <c r="H2811">
        <f t="shared" ca="1" si="90"/>
        <v>1.0889702628391267E-2</v>
      </c>
    </row>
    <row r="2812" spans="2:8" x14ac:dyDescent="0.3">
      <c r="B2812" s="113">
        <v>42402</v>
      </c>
      <c r="C2812">
        <v>214.96</v>
      </c>
      <c r="D2812">
        <f t="shared" si="89"/>
        <v>-2.7990052000904351E-2</v>
      </c>
      <c r="E2812">
        <v>-1.5791918253599787E-3</v>
      </c>
      <c r="G2812">
        <v>2810</v>
      </c>
      <c r="H2812">
        <f t="shared" ca="1" si="90"/>
        <v>7.2534117909785947E-3</v>
      </c>
    </row>
    <row r="2813" spans="2:8" x14ac:dyDescent="0.3">
      <c r="B2813" s="113">
        <v>44530</v>
      </c>
      <c r="C2813">
        <v>221.15</v>
      </c>
      <c r="D2813">
        <f t="shared" si="89"/>
        <v>-0.12189795513202299</v>
      </c>
      <c r="E2813">
        <v>-1.5801354401805611E-3</v>
      </c>
      <c r="G2813">
        <v>2811</v>
      </c>
      <c r="H2813">
        <f t="shared" ca="1" si="90"/>
        <v>-2.7393681914398911E-3</v>
      </c>
    </row>
    <row r="2814" spans="2:8" x14ac:dyDescent="0.3">
      <c r="B2814" s="113">
        <v>42627</v>
      </c>
      <c r="C2814">
        <v>251.85</v>
      </c>
      <c r="D2814">
        <f t="shared" si="89"/>
        <v>-0.10928381962864724</v>
      </c>
      <c r="E2814">
        <v>-1.5857284440039868E-3</v>
      </c>
      <c r="G2814">
        <v>2812</v>
      </c>
      <c r="H2814">
        <f t="shared" ca="1" si="90"/>
        <v>-1.7481320694423371E-2</v>
      </c>
    </row>
    <row r="2815" spans="2:8" x14ac:dyDescent="0.3">
      <c r="B2815" s="113">
        <v>42824</v>
      </c>
      <c r="C2815">
        <v>282.75</v>
      </c>
      <c r="D2815">
        <f t="shared" si="89"/>
        <v>0.29553264604810997</v>
      </c>
      <c r="E2815">
        <v>-1.5889830508474176E-3</v>
      </c>
      <c r="G2815">
        <v>2813</v>
      </c>
      <c r="H2815">
        <f t="shared" ca="1" si="90"/>
        <v>8.4722283755717352E-3</v>
      </c>
    </row>
    <row r="2816" spans="2:8" x14ac:dyDescent="0.3">
      <c r="B2816" s="113">
        <v>44243</v>
      </c>
      <c r="C2816">
        <v>218.25</v>
      </c>
      <c r="D2816">
        <f t="shared" si="89"/>
        <v>2.214759169244366</v>
      </c>
      <c r="E2816">
        <v>-1.6010978956998826E-3</v>
      </c>
      <c r="G2816">
        <v>2814</v>
      </c>
      <c r="H2816">
        <f t="shared" ca="1" si="90"/>
        <v>2.2829865784375659E-2</v>
      </c>
    </row>
    <row r="2817" spans="2:8" x14ac:dyDescent="0.3">
      <c r="B2817" s="113">
        <v>39482</v>
      </c>
      <c r="C2817">
        <v>67.89</v>
      </c>
      <c r="D2817">
        <f t="shared" si="89"/>
        <v>0.10444119082479261</v>
      </c>
      <c r="E2817">
        <v>-1.617647058823521E-3</v>
      </c>
      <c r="G2817">
        <v>2815</v>
      </c>
      <c r="H2817">
        <f t="shared" ca="1" si="90"/>
        <v>2.009449731050603E-2</v>
      </c>
    </row>
    <row r="2818" spans="2:8" x14ac:dyDescent="0.3">
      <c r="B2818" s="113">
        <v>39037</v>
      </c>
      <c r="C2818">
        <v>61.47</v>
      </c>
      <c r="D2818">
        <f t="shared" si="89"/>
        <v>1.7926988265971225E-3</v>
      </c>
      <c r="E2818">
        <v>-1.6241676140977979E-3</v>
      </c>
      <c r="G2818">
        <v>2816</v>
      </c>
      <c r="H2818">
        <f t="shared" ca="1" si="90"/>
        <v>-1.5273836769654435E-2</v>
      </c>
    </row>
    <row r="2819" spans="2:8" x14ac:dyDescent="0.3">
      <c r="B2819" s="113">
        <v>39408</v>
      </c>
      <c r="C2819">
        <v>61.36</v>
      </c>
      <c r="D2819">
        <f t="shared" ref="D2819:D2882" si="91">(C2819-C2820)/C2820</f>
        <v>-0.77703488372093021</v>
      </c>
      <c r="E2819">
        <v>-1.6270745200130396E-3</v>
      </c>
      <c r="G2819">
        <v>2817</v>
      </c>
      <c r="H2819">
        <f t="shared" ca="1" si="90"/>
        <v>-6.899949972208997E-4</v>
      </c>
    </row>
    <row r="2820" spans="2:8" x14ac:dyDescent="0.3">
      <c r="B2820" s="113">
        <v>43130</v>
      </c>
      <c r="C2820">
        <v>275.2</v>
      </c>
      <c r="D2820">
        <f t="shared" si="91"/>
        <v>0.12556237218813901</v>
      </c>
      <c r="E2820">
        <v>-1.6325049882096451E-3</v>
      </c>
      <c r="G2820">
        <v>2818</v>
      </c>
      <c r="H2820">
        <f t="shared" ref="H2820:H2883" ca="1" si="92">_xlfn.NORM.INV(RAND(),$L$4,$L$6)</f>
        <v>-6.9856501774426634E-3</v>
      </c>
    </row>
    <row r="2821" spans="2:8" x14ac:dyDescent="0.3">
      <c r="B2821" s="113">
        <v>44641</v>
      </c>
      <c r="C2821">
        <v>244.5</v>
      </c>
      <c r="D2821">
        <f t="shared" si="91"/>
        <v>9.8629521455852562E-2</v>
      </c>
      <c r="E2821">
        <v>-1.6333197223356703E-3</v>
      </c>
      <c r="G2821">
        <v>2819</v>
      </c>
      <c r="H2821">
        <f t="shared" ca="1" si="92"/>
        <v>-1.6120484336002553E-2</v>
      </c>
    </row>
    <row r="2822" spans="2:8" x14ac:dyDescent="0.3">
      <c r="B2822" s="113">
        <v>41810</v>
      </c>
      <c r="C2822">
        <v>222.55</v>
      </c>
      <c r="D2822">
        <f t="shared" si="91"/>
        <v>2.7060782681099087</v>
      </c>
      <c r="E2822">
        <v>-1.6597882648482691E-3</v>
      </c>
      <c r="G2822">
        <v>2820</v>
      </c>
      <c r="H2822">
        <f t="shared" ca="1" si="92"/>
        <v>-1.8062240429130932E-2</v>
      </c>
    </row>
    <row r="2823" spans="2:8" x14ac:dyDescent="0.3">
      <c r="B2823" s="113">
        <v>38911</v>
      </c>
      <c r="C2823">
        <v>60.05</v>
      </c>
      <c r="D2823">
        <f t="shared" si="91"/>
        <v>-0.72206794408960473</v>
      </c>
      <c r="E2823">
        <v>-1.6625103906899655E-3</v>
      </c>
      <c r="G2823">
        <v>2821</v>
      </c>
      <c r="H2823">
        <f t="shared" ca="1" si="92"/>
        <v>1.5145662852532955E-2</v>
      </c>
    </row>
    <row r="2824" spans="2:8" x14ac:dyDescent="0.3">
      <c r="B2824" s="113">
        <v>42466</v>
      </c>
      <c r="C2824">
        <v>216.06</v>
      </c>
      <c r="D2824">
        <f t="shared" si="91"/>
        <v>8.0024999999999995</v>
      </c>
      <c r="E2824">
        <v>-1.6634322151371649E-3</v>
      </c>
      <c r="G2824">
        <v>2822</v>
      </c>
      <c r="H2824">
        <f t="shared" ca="1" si="92"/>
        <v>7.5549620361162169E-3</v>
      </c>
    </row>
    <row r="2825" spans="2:8" x14ac:dyDescent="0.3">
      <c r="B2825" s="113">
        <v>38292</v>
      </c>
      <c r="C2825">
        <v>24</v>
      </c>
      <c r="D2825">
        <f t="shared" si="91"/>
        <v>-0.89918084436042844</v>
      </c>
      <c r="E2825">
        <v>-1.6638935108152725E-3</v>
      </c>
      <c r="G2825">
        <v>2823</v>
      </c>
      <c r="H2825">
        <f t="shared" ca="1" si="92"/>
        <v>2.060619979830465E-2</v>
      </c>
    </row>
    <row r="2826" spans="2:8" x14ac:dyDescent="0.3">
      <c r="B2826" s="113">
        <v>43852</v>
      </c>
      <c r="C2826">
        <v>238.05</v>
      </c>
      <c r="D2826">
        <f t="shared" si="91"/>
        <v>2.9449922158796063E-2</v>
      </c>
      <c r="E2826">
        <v>-1.6775005242188185E-3</v>
      </c>
      <c r="G2826">
        <v>2824</v>
      </c>
      <c r="H2826">
        <f t="shared" ca="1" si="92"/>
        <v>-5.9381454448399519E-3</v>
      </c>
    </row>
    <row r="2827" spans="2:8" x14ac:dyDescent="0.3">
      <c r="B2827" s="113">
        <v>42293</v>
      </c>
      <c r="C2827">
        <v>231.24</v>
      </c>
      <c r="D2827">
        <f t="shared" si="91"/>
        <v>8.3751230257299553E-2</v>
      </c>
      <c r="E2827">
        <v>-1.726817475392753E-3</v>
      </c>
      <c r="G2827">
        <v>2825</v>
      </c>
      <c r="H2827">
        <f t="shared" ca="1" si="92"/>
        <v>6.3644593593947824E-3</v>
      </c>
    </row>
    <row r="2828" spans="2:8" x14ac:dyDescent="0.3">
      <c r="B2828" s="113">
        <v>41639</v>
      </c>
      <c r="C2828">
        <v>213.37</v>
      </c>
      <c r="D2828">
        <f t="shared" si="91"/>
        <v>2.858657925183189E-2</v>
      </c>
      <c r="E2828">
        <v>-1.731075138018174E-3</v>
      </c>
      <c r="G2828">
        <v>2826</v>
      </c>
      <c r="H2828">
        <f t="shared" ca="1" si="92"/>
        <v>-5.8018596312948431E-3</v>
      </c>
    </row>
    <row r="2829" spans="2:8" x14ac:dyDescent="0.3">
      <c r="B2829" s="113">
        <v>42255</v>
      </c>
      <c r="C2829">
        <v>207.44</v>
      </c>
      <c r="D2829">
        <f t="shared" si="91"/>
        <v>6.2837078651685392</v>
      </c>
      <c r="E2829">
        <v>-1.7324350336863023E-3</v>
      </c>
      <c r="G2829">
        <v>2827</v>
      </c>
      <c r="H2829">
        <f t="shared" ca="1" si="92"/>
        <v>-1.3292893516200058E-2</v>
      </c>
    </row>
    <row r="2830" spans="2:8" x14ac:dyDescent="0.3">
      <c r="B2830" s="113">
        <v>38321</v>
      </c>
      <c r="C2830">
        <v>28.48</v>
      </c>
      <c r="D2830">
        <f t="shared" si="91"/>
        <v>0.67234292425132114</v>
      </c>
      <c r="E2830">
        <v>-1.7525411847178656E-3</v>
      </c>
      <c r="G2830">
        <v>2828</v>
      </c>
      <c r="H2830">
        <f t="shared" ca="1" si="92"/>
        <v>-2.0470605801356373E-2</v>
      </c>
    </row>
    <row r="2831" spans="2:8" x14ac:dyDescent="0.3">
      <c r="B2831" s="113">
        <v>37846</v>
      </c>
      <c r="C2831">
        <v>17.03</v>
      </c>
      <c r="D2831">
        <f t="shared" si="91"/>
        <v>-0.93984457788767228</v>
      </c>
      <c r="E2831">
        <v>-1.7584994138333872E-3</v>
      </c>
      <c r="G2831">
        <v>2829</v>
      </c>
      <c r="H2831">
        <f t="shared" ca="1" si="92"/>
        <v>-5.0804068633698241E-2</v>
      </c>
    </row>
    <row r="2832" spans="2:8" x14ac:dyDescent="0.3">
      <c r="B2832" s="113">
        <v>42982</v>
      </c>
      <c r="C2832">
        <v>283.10000000000002</v>
      </c>
      <c r="D2832">
        <f t="shared" si="91"/>
        <v>0.66725559481743224</v>
      </c>
      <c r="E2832">
        <v>-1.7630465444287728E-3</v>
      </c>
      <c r="G2832">
        <v>2830</v>
      </c>
      <c r="H2832">
        <f t="shared" ca="1" si="92"/>
        <v>1.0194367572838502E-2</v>
      </c>
    </row>
    <row r="2833" spans="2:8" x14ac:dyDescent="0.3">
      <c r="B2833" s="113">
        <v>44139</v>
      </c>
      <c r="C2833">
        <v>169.8</v>
      </c>
      <c r="D2833">
        <f t="shared" si="91"/>
        <v>-0.18572867213350591</v>
      </c>
      <c r="E2833">
        <v>-1.7636684303349967E-3</v>
      </c>
      <c r="G2833">
        <v>2831</v>
      </c>
      <c r="H2833">
        <f t="shared" ca="1" si="92"/>
        <v>2.7490427309088E-2</v>
      </c>
    </row>
    <row r="2834" spans="2:8" x14ac:dyDescent="0.3">
      <c r="B2834" s="113">
        <v>42209</v>
      </c>
      <c r="C2834">
        <v>208.53</v>
      </c>
      <c r="D2834">
        <f t="shared" si="91"/>
        <v>3.6494983277591975</v>
      </c>
      <c r="E2834">
        <v>-1.771182383915771E-3</v>
      </c>
      <c r="G2834">
        <v>2832</v>
      </c>
      <c r="H2834">
        <f t="shared" ca="1" si="92"/>
        <v>3.0066292201669639E-3</v>
      </c>
    </row>
    <row r="2835" spans="2:8" x14ac:dyDescent="0.3">
      <c r="B2835" s="113">
        <v>38694</v>
      </c>
      <c r="C2835">
        <v>44.85</v>
      </c>
      <c r="D2835">
        <f t="shared" si="91"/>
        <v>-0.79946344735077135</v>
      </c>
      <c r="E2835">
        <v>-1.7805475183618584E-3</v>
      </c>
      <c r="G2835">
        <v>2833</v>
      </c>
      <c r="H2835">
        <f t="shared" ca="1" si="92"/>
        <v>-1.068600144205145E-2</v>
      </c>
    </row>
    <row r="2836" spans="2:8" x14ac:dyDescent="0.3">
      <c r="B2836" s="113">
        <v>41800</v>
      </c>
      <c r="C2836">
        <v>223.65</v>
      </c>
      <c r="D2836">
        <f t="shared" si="91"/>
        <v>0.15342960288808663</v>
      </c>
      <c r="E2836">
        <v>-1.785315777728211E-3</v>
      </c>
      <c r="G2836">
        <v>2834</v>
      </c>
      <c r="H2836">
        <f t="shared" ca="1" si="92"/>
        <v>1.5611324817532354E-3</v>
      </c>
    </row>
    <row r="2837" spans="2:8" x14ac:dyDescent="0.3">
      <c r="B2837" s="113">
        <v>43994</v>
      </c>
      <c r="C2837">
        <v>193.9</v>
      </c>
      <c r="D2837">
        <f t="shared" si="91"/>
        <v>0.16969294806056581</v>
      </c>
      <c r="E2837">
        <v>-1.8018018018017726E-3</v>
      </c>
      <c r="G2837">
        <v>2835</v>
      </c>
      <c r="H2837">
        <f t="shared" ca="1" si="92"/>
        <v>-5.4831228739990632E-3</v>
      </c>
    </row>
    <row r="2838" spans="2:8" x14ac:dyDescent="0.3">
      <c r="B2838" s="113">
        <v>41085</v>
      </c>
      <c r="C2838">
        <v>165.77</v>
      </c>
      <c r="D2838">
        <f t="shared" si="91"/>
        <v>-0.24769684592693436</v>
      </c>
      <c r="E2838">
        <v>-1.8064671524055094E-3</v>
      </c>
      <c r="G2838">
        <v>2836</v>
      </c>
      <c r="H2838">
        <f t="shared" ca="1" si="92"/>
        <v>2.0006399049900436E-3</v>
      </c>
    </row>
    <row r="2839" spans="2:8" x14ac:dyDescent="0.3">
      <c r="B2839" s="113">
        <v>44580</v>
      </c>
      <c r="C2839">
        <v>220.35</v>
      </c>
      <c r="D2839">
        <f t="shared" si="91"/>
        <v>-0.19945504087193464</v>
      </c>
      <c r="E2839">
        <v>-1.8120045300113509E-3</v>
      </c>
      <c r="G2839">
        <v>2837</v>
      </c>
      <c r="H2839">
        <f t="shared" ca="1" si="92"/>
        <v>-5.5447775046246787E-3</v>
      </c>
    </row>
    <row r="2840" spans="2:8" x14ac:dyDescent="0.3">
      <c r="B2840" s="113">
        <v>43623</v>
      </c>
      <c r="C2840">
        <v>275.25</v>
      </c>
      <c r="D2840">
        <f t="shared" si="91"/>
        <v>0.25073840141773074</v>
      </c>
      <c r="E2840">
        <v>-1.8132366273798731E-3</v>
      </c>
      <c r="G2840">
        <v>2838</v>
      </c>
      <c r="H2840">
        <f t="shared" ca="1" si="92"/>
        <v>-1.6465930952965394E-2</v>
      </c>
    </row>
    <row r="2841" spans="2:8" x14ac:dyDescent="0.3">
      <c r="B2841" s="113">
        <v>42144</v>
      </c>
      <c r="C2841">
        <v>220.07</v>
      </c>
      <c r="D2841">
        <f t="shared" si="91"/>
        <v>9.0949541284403654</v>
      </c>
      <c r="E2841">
        <v>-1.8143058012428253E-3</v>
      </c>
      <c r="G2841">
        <v>2839</v>
      </c>
      <c r="H2841">
        <f t="shared" ca="1" si="92"/>
        <v>-1.1503823177211771E-2</v>
      </c>
    </row>
    <row r="2842" spans="2:8" x14ac:dyDescent="0.3">
      <c r="B2842" s="113">
        <v>37977</v>
      </c>
      <c r="C2842">
        <v>21.8</v>
      </c>
      <c r="D2842">
        <f t="shared" si="91"/>
        <v>0.33496631965707307</v>
      </c>
      <c r="E2842">
        <v>-1.8315018315017925E-3</v>
      </c>
      <c r="G2842">
        <v>2840</v>
      </c>
      <c r="H2842">
        <f t="shared" ca="1" si="92"/>
        <v>7.3023068768055177E-3</v>
      </c>
    </row>
    <row r="2843" spans="2:8" x14ac:dyDescent="0.3">
      <c r="B2843" s="113">
        <v>37831</v>
      </c>
      <c r="C2843">
        <v>16.329999999999998</v>
      </c>
      <c r="D2843">
        <f t="shared" si="91"/>
        <v>-0.94536634325861502</v>
      </c>
      <c r="E2843">
        <v>-1.8337408312959131E-3</v>
      </c>
      <c r="G2843">
        <v>2841</v>
      </c>
      <c r="H2843">
        <f t="shared" ca="1" si="92"/>
        <v>1.5932971710808271E-2</v>
      </c>
    </row>
    <row r="2844" spans="2:8" x14ac:dyDescent="0.3">
      <c r="B2844" s="113">
        <v>43544</v>
      </c>
      <c r="C2844">
        <v>298.89999999999998</v>
      </c>
      <c r="D2844">
        <f t="shared" si="91"/>
        <v>0.28321813420340863</v>
      </c>
      <c r="E2844">
        <v>-1.8367006177993368E-3</v>
      </c>
      <c r="G2844">
        <v>2842</v>
      </c>
      <c r="H2844">
        <f t="shared" ca="1" si="92"/>
        <v>-1.2118659441980937E-2</v>
      </c>
    </row>
    <row r="2845" spans="2:8" x14ac:dyDescent="0.3">
      <c r="B2845" s="113">
        <v>41933</v>
      </c>
      <c r="C2845">
        <v>232.93</v>
      </c>
      <c r="D2845">
        <f t="shared" si="91"/>
        <v>0.43553556021200557</v>
      </c>
      <c r="E2845">
        <v>-1.8426465546794943E-3</v>
      </c>
      <c r="G2845">
        <v>2843</v>
      </c>
      <c r="H2845">
        <f t="shared" ca="1" si="92"/>
        <v>-1.3316694138480576E-2</v>
      </c>
    </row>
    <row r="2846" spans="2:8" x14ac:dyDescent="0.3">
      <c r="B2846" s="113">
        <v>41022</v>
      </c>
      <c r="C2846">
        <v>162.26</v>
      </c>
      <c r="D2846">
        <f t="shared" si="91"/>
        <v>-0.2484483557202409</v>
      </c>
      <c r="E2846">
        <v>-1.8454724409449519E-3</v>
      </c>
      <c r="G2846">
        <v>2844</v>
      </c>
      <c r="H2846">
        <f t="shared" ca="1" si="92"/>
        <v>-1.6865114490718848E-4</v>
      </c>
    </row>
    <row r="2847" spans="2:8" x14ac:dyDescent="0.3">
      <c r="B2847" s="113">
        <v>44179</v>
      </c>
      <c r="C2847">
        <v>215.9</v>
      </c>
      <c r="D2847">
        <f t="shared" si="91"/>
        <v>9.0185614849187932</v>
      </c>
      <c r="E2847">
        <v>-1.8492834026814871E-3</v>
      </c>
      <c r="G2847">
        <v>2845</v>
      </c>
      <c r="H2847">
        <f t="shared" ca="1" si="92"/>
        <v>4.9573035160589548E-3</v>
      </c>
    </row>
    <row r="2848" spans="2:8" x14ac:dyDescent="0.3">
      <c r="B2848" s="113">
        <v>37981</v>
      </c>
      <c r="C2848">
        <v>21.55</v>
      </c>
      <c r="D2848">
        <f t="shared" si="91"/>
        <v>-0.90633692628650897</v>
      </c>
      <c r="E2848">
        <v>-1.8527095877720772E-3</v>
      </c>
      <c r="G2848">
        <v>2846</v>
      </c>
      <c r="H2848">
        <f t="shared" ca="1" si="92"/>
        <v>3.5355703950924549E-3</v>
      </c>
    </row>
    <row r="2849" spans="2:8" x14ac:dyDescent="0.3">
      <c r="B2849" s="113">
        <v>41863</v>
      </c>
      <c r="C2849">
        <v>230.08</v>
      </c>
      <c r="D2849">
        <f t="shared" si="91"/>
        <v>-0.13144582861457141</v>
      </c>
      <c r="E2849">
        <v>-1.8654288317208729E-3</v>
      </c>
      <c r="G2849">
        <v>2847</v>
      </c>
      <c r="H2849">
        <f t="shared" ca="1" si="92"/>
        <v>3.7418272553003513E-2</v>
      </c>
    </row>
    <row r="2850" spans="2:8" x14ac:dyDescent="0.3">
      <c r="B2850" s="113">
        <v>43045</v>
      </c>
      <c r="C2850">
        <v>264.89999999999998</v>
      </c>
      <c r="D2850">
        <f t="shared" si="91"/>
        <v>0.25455837082642657</v>
      </c>
      <c r="E2850">
        <v>-1.8839487565938209E-3</v>
      </c>
      <c r="G2850">
        <v>2848</v>
      </c>
      <c r="H2850">
        <f t="shared" ca="1" si="92"/>
        <v>-1.4491994608071376E-2</v>
      </c>
    </row>
    <row r="2851" spans="2:8" x14ac:dyDescent="0.3">
      <c r="B2851" s="113">
        <v>44195</v>
      </c>
      <c r="C2851">
        <v>211.15</v>
      </c>
      <c r="D2851">
        <f t="shared" si="91"/>
        <v>2.7108963093145872</v>
      </c>
      <c r="E2851">
        <v>-1.8908059560387882E-3</v>
      </c>
      <c r="G2851">
        <v>2849</v>
      </c>
      <c r="H2851">
        <f t="shared" ca="1" si="92"/>
        <v>2.1511159450932536E-2</v>
      </c>
    </row>
    <row r="2852" spans="2:8" x14ac:dyDescent="0.3">
      <c r="B2852" s="113">
        <v>39098</v>
      </c>
      <c r="C2852">
        <v>56.9</v>
      </c>
      <c r="D2852">
        <f t="shared" si="91"/>
        <v>-0.14794848757112911</v>
      </c>
      <c r="E2852">
        <v>-1.9294860550780465E-3</v>
      </c>
      <c r="G2852">
        <v>2850</v>
      </c>
      <c r="H2852">
        <f t="shared" ca="1" si="92"/>
        <v>7.8139644864532194E-3</v>
      </c>
    </row>
    <row r="2853" spans="2:8" x14ac:dyDescent="0.3">
      <c r="B2853" s="113">
        <v>39504</v>
      </c>
      <c r="C2853">
        <v>66.78</v>
      </c>
      <c r="D2853">
        <f t="shared" si="91"/>
        <v>1.2017804154302671</v>
      </c>
      <c r="E2853">
        <v>-1.9429083843968832E-3</v>
      </c>
      <c r="G2853">
        <v>2851</v>
      </c>
      <c r="H2853">
        <f t="shared" ca="1" si="92"/>
        <v>6.2535427627466592E-3</v>
      </c>
    </row>
    <row r="2854" spans="2:8" x14ac:dyDescent="0.3">
      <c r="B2854" s="113">
        <v>38462</v>
      </c>
      <c r="C2854">
        <v>30.33</v>
      </c>
      <c r="D2854">
        <f t="shared" si="91"/>
        <v>-0.8884229113784351</v>
      </c>
      <c r="E2854">
        <v>-1.9743336623890186E-3</v>
      </c>
      <c r="G2854">
        <v>2852</v>
      </c>
      <c r="H2854">
        <f t="shared" ca="1" si="92"/>
        <v>-4.5507709350810659E-2</v>
      </c>
    </row>
    <row r="2855" spans="2:8" x14ac:dyDescent="0.3">
      <c r="B2855" s="113">
        <v>44742</v>
      </c>
      <c r="C2855">
        <v>271.83</v>
      </c>
      <c r="D2855">
        <f t="shared" si="91"/>
        <v>0.26221210995542332</v>
      </c>
      <c r="E2855">
        <v>-1.9825972023351339E-3</v>
      </c>
      <c r="G2855">
        <v>2853</v>
      </c>
      <c r="H2855">
        <f t="shared" ca="1" si="92"/>
        <v>3.9813487605856193E-2</v>
      </c>
    </row>
    <row r="2856" spans="2:8" x14ac:dyDescent="0.3">
      <c r="B2856" s="113">
        <v>41656</v>
      </c>
      <c r="C2856">
        <v>215.36</v>
      </c>
      <c r="D2856">
        <f t="shared" si="91"/>
        <v>0.59360663016131443</v>
      </c>
      <c r="E2856">
        <v>-1.9926780666387617E-3</v>
      </c>
      <c r="G2856">
        <v>2854</v>
      </c>
      <c r="H2856">
        <f t="shared" ca="1" si="92"/>
        <v>1.6946870258776608E-3</v>
      </c>
    </row>
    <row r="2857" spans="2:8" x14ac:dyDescent="0.3">
      <c r="B2857" s="113">
        <v>40773</v>
      </c>
      <c r="C2857">
        <v>135.13999999999999</v>
      </c>
      <c r="D2857">
        <f t="shared" si="91"/>
        <v>5.7875439477649415</v>
      </c>
      <c r="E2857">
        <v>-1.9939443172587714E-3</v>
      </c>
      <c r="G2857">
        <v>2855</v>
      </c>
      <c r="H2857">
        <f t="shared" ca="1" si="92"/>
        <v>7.718406904695314E-3</v>
      </c>
    </row>
    <row r="2858" spans="2:8" x14ac:dyDescent="0.3">
      <c r="B2858" s="113">
        <v>38140</v>
      </c>
      <c r="C2858">
        <v>19.91</v>
      </c>
      <c r="D2858">
        <f t="shared" si="91"/>
        <v>-0.79878726629610919</v>
      </c>
      <c r="E2858">
        <v>-2.0050125313282783E-3</v>
      </c>
      <c r="G2858">
        <v>2856</v>
      </c>
      <c r="H2858">
        <f t="shared" ca="1" si="92"/>
        <v>1.7828265913389062E-2</v>
      </c>
    </row>
    <row r="2859" spans="2:8" x14ac:dyDescent="0.3">
      <c r="B2859" s="113">
        <v>40373</v>
      </c>
      <c r="C2859">
        <v>98.95</v>
      </c>
      <c r="D2859">
        <f t="shared" si="91"/>
        <v>-0.5970434924254765</v>
      </c>
      <c r="E2859">
        <v>-2.0171457387796552E-3</v>
      </c>
      <c r="G2859">
        <v>2857</v>
      </c>
      <c r="H2859">
        <f t="shared" ca="1" si="92"/>
        <v>-5.8203154826046342E-2</v>
      </c>
    </row>
    <row r="2860" spans="2:8" x14ac:dyDescent="0.3">
      <c r="B2860" s="113">
        <v>42047</v>
      </c>
      <c r="C2860">
        <v>245.56</v>
      </c>
      <c r="D2860">
        <f t="shared" si="91"/>
        <v>6.1864208369915126</v>
      </c>
      <c r="E2860">
        <v>-2.0320247094204667E-3</v>
      </c>
      <c r="G2860">
        <v>2858</v>
      </c>
      <c r="H2860">
        <f t="shared" ca="1" si="92"/>
        <v>-1.0956618975719727E-2</v>
      </c>
    </row>
    <row r="2861" spans="2:8" x14ac:dyDescent="0.3">
      <c r="B2861" s="113">
        <v>38520</v>
      </c>
      <c r="C2861">
        <v>34.17</v>
      </c>
      <c r="D2861">
        <f t="shared" si="91"/>
        <v>1.3388090349075978</v>
      </c>
      <c r="E2861">
        <v>-2.044392523364494E-3</v>
      </c>
      <c r="G2861">
        <v>2859</v>
      </c>
      <c r="H2861">
        <f t="shared" ca="1" si="92"/>
        <v>-1.1348844539739998E-2</v>
      </c>
    </row>
    <row r="2862" spans="2:8" x14ac:dyDescent="0.3">
      <c r="B2862" s="113">
        <v>37621</v>
      </c>
      <c r="C2862">
        <v>14.61</v>
      </c>
      <c r="D2862">
        <f t="shared" si="91"/>
        <v>-0.24457083764219237</v>
      </c>
      <c r="E2862">
        <v>-2.0491803278689302E-3</v>
      </c>
      <c r="G2862">
        <v>2860</v>
      </c>
      <c r="H2862">
        <f t="shared" ca="1" si="92"/>
        <v>3.4576072876101871E-2</v>
      </c>
    </row>
    <row r="2863" spans="2:8" x14ac:dyDescent="0.3">
      <c r="B2863" s="113">
        <v>37958</v>
      </c>
      <c r="C2863">
        <v>19.34</v>
      </c>
      <c r="D2863">
        <f t="shared" si="91"/>
        <v>-0.9111008963456676</v>
      </c>
      <c r="E2863">
        <v>-2.063983488132051E-3</v>
      </c>
      <c r="G2863">
        <v>2861</v>
      </c>
      <c r="H2863">
        <f t="shared" ca="1" si="92"/>
        <v>1.4801881752593372E-2</v>
      </c>
    </row>
    <row r="2864" spans="2:8" x14ac:dyDescent="0.3">
      <c r="B2864" s="113">
        <v>44557</v>
      </c>
      <c r="C2864">
        <v>217.55</v>
      </c>
      <c r="D2864">
        <f t="shared" si="91"/>
        <v>4.6718629715165549E-2</v>
      </c>
      <c r="E2864">
        <v>-2.0642201834861862E-3</v>
      </c>
      <c r="G2864">
        <v>2862</v>
      </c>
      <c r="H2864">
        <f t="shared" ca="1" si="92"/>
        <v>-7.3907574765581258E-3</v>
      </c>
    </row>
    <row r="2865" spans="2:8" x14ac:dyDescent="0.3">
      <c r="B2865" s="113">
        <v>41606</v>
      </c>
      <c r="C2865">
        <v>207.84</v>
      </c>
      <c r="D2865">
        <f t="shared" si="91"/>
        <v>1.6960695291218055</v>
      </c>
      <c r="E2865">
        <v>-2.0646276468046613E-3</v>
      </c>
      <c r="G2865">
        <v>2863</v>
      </c>
      <c r="H2865">
        <f t="shared" ca="1" si="92"/>
        <v>-4.309427369239445E-2</v>
      </c>
    </row>
    <row r="2866" spans="2:8" x14ac:dyDescent="0.3">
      <c r="B2866" s="113">
        <v>40087</v>
      </c>
      <c r="C2866">
        <v>77.09</v>
      </c>
      <c r="D2866">
        <f t="shared" si="91"/>
        <v>2.2000830220008303</v>
      </c>
      <c r="E2866">
        <v>-2.0711974110031923E-3</v>
      </c>
      <c r="G2866">
        <v>2864</v>
      </c>
      <c r="H2866">
        <f t="shared" ca="1" si="92"/>
        <v>-3.3510090249838649E-2</v>
      </c>
    </row>
    <row r="2867" spans="2:8" x14ac:dyDescent="0.3">
      <c r="B2867" s="113">
        <v>38085</v>
      </c>
      <c r="C2867">
        <v>24.09</v>
      </c>
      <c r="D2867">
        <f t="shared" si="91"/>
        <v>-0.9166147455867083</v>
      </c>
      <c r="E2867">
        <v>-2.0712510356255473E-3</v>
      </c>
      <c r="G2867">
        <v>2865</v>
      </c>
      <c r="H2867">
        <f t="shared" ca="1" si="92"/>
        <v>-1.7407075622394321E-2</v>
      </c>
    </row>
    <row r="2868" spans="2:8" x14ac:dyDescent="0.3">
      <c r="B2868" s="113">
        <v>42937</v>
      </c>
      <c r="C2868">
        <v>288.89999999999998</v>
      </c>
      <c r="D2868">
        <f t="shared" si="91"/>
        <v>-7.2849807445443018E-2</v>
      </c>
      <c r="E2868">
        <v>-2.0725388601037053E-3</v>
      </c>
      <c r="G2868">
        <v>2866</v>
      </c>
      <c r="H2868">
        <f t="shared" ca="1" si="92"/>
        <v>1.3657088236072668E-2</v>
      </c>
    </row>
    <row r="2869" spans="2:8" x14ac:dyDescent="0.3">
      <c r="B2869" s="113">
        <v>42894</v>
      </c>
      <c r="C2869">
        <v>311.60000000000002</v>
      </c>
      <c r="D2869">
        <f t="shared" si="91"/>
        <v>0.30158730158730163</v>
      </c>
      <c r="E2869">
        <v>-2.08166533226574E-3</v>
      </c>
      <c r="G2869">
        <v>2867</v>
      </c>
      <c r="H2869">
        <f t="shared" ca="1" si="92"/>
        <v>-8.679657136975133E-3</v>
      </c>
    </row>
    <row r="2870" spans="2:8" x14ac:dyDescent="0.3">
      <c r="B2870" s="113">
        <v>43724</v>
      </c>
      <c r="C2870">
        <v>239.4</v>
      </c>
      <c r="D2870">
        <f t="shared" si="91"/>
        <v>5.2555526522079949</v>
      </c>
      <c r="E2870">
        <v>-2.0842017507294707E-3</v>
      </c>
      <c r="G2870">
        <v>2868</v>
      </c>
      <c r="H2870">
        <f t="shared" ca="1" si="92"/>
        <v>-2.0751100800214552E-2</v>
      </c>
    </row>
    <row r="2871" spans="2:8" x14ac:dyDescent="0.3">
      <c r="B2871" s="113">
        <v>38653</v>
      </c>
      <c r="C2871">
        <v>38.270000000000003</v>
      </c>
      <c r="D2871">
        <f t="shared" si="91"/>
        <v>1.0089238845144357</v>
      </c>
      <c r="E2871">
        <v>-2.0860495436766176E-3</v>
      </c>
      <c r="G2871">
        <v>2869</v>
      </c>
      <c r="H2871">
        <f t="shared" ca="1" si="92"/>
        <v>5.0389646818801556E-3</v>
      </c>
    </row>
    <row r="2872" spans="2:8" x14ac:dyDescent="0.3">
      <c r="B2872" s="113">
        <v>37935</v>
      </c>
      <c r="C2872">
        <v>19.05</v>
      </c>
      <c r="D2872">
        <f t="shared" si="91"/>
        <v>-0.91985696255784599</v>
      </c>
      <c r="E2872">
        <v>-2.0953378732320141E-3</v>
      </c>
      <c r="G2872">
        <v>2870</v>
      </c>
      <c r="H2872">
        <f t="shared" ca="1" si="92"/>
        <v>-3.5996576009915573E-3</v>
      </c>
    </row>
    <row r="2873" spans="2:8" x14ac:dyDescent="0.3">
      <c r="B2873" s="113">
        <v>43830</v>
      </c>
      <c r="C2873">
        <v>237.7</v>
      </c>
      <c r="D2873">
        <f t="shared" si="91"/>
        <v>0.11178671655753029</v>
      </c>
      <c r="E2873">
        <v>-2.0990764063811922E-3</v>
      </c>
      <c r="G2873">
        <v>2871</v>
      </c>
      <c r="H2873">
        <f t="shared" ca="1" si="92"/>
        <v>-2.3734440877892702E-2</v>
      </c>
    </row>
    <row r="2874" spans="2:8" x14ac:dyDescent="0.3">
      <c r="B2874" s="113">
        <v>44417</v>
      </c>
      <c r="C2874">
        <v>213.8</v>
      </c>
      <c r="D2874">
        <f t="shared" si="91"/>
        <v>1.8744142455482927E-3</v>
      </c>
      <c r="E2874">
        <v>-2.100350058343004E-3</v>
      </c>
      <c r="G2874">
        <v>2872</v>
      </c>
      <c r="H2874">
        <f t="shared" ca="1" si="92"/>
        <v>2.1748485556515294E-2</v>
      </c>
    </row>
    <row r="2875" spans="2:8" x14ac:dyDescent="0.3">
      <c r="B2875" s="113">
        <v>44200</v>
      </c>
      <c r="C2875">
        <v>213.4</v>
      </c>
      <c r="D2875">
        <f t="shared" si="91"/>
        <v>-0.18159156279961647</v>
      </c>
      <c r="E2875">
        <v>-2.1042787000233277E-3</v>
      </c>
      <c r="G2875">
        <v>2873</v>
      </c>
      <c r="H2875">
        <f t="shared" ca="1" si="92"/>
        <v>2.120934022235341E-2</v>
      </c>
    </row>
    <row r="2876" spans="2:8" x14ac:dyDescent="0.3">
      <c r="B2876" s="113">
        <v>43773</v>
      </c>
      <c r="C2876">
        <v>260.75</v>
      </c>
      <c r="D2876">
        <f t="shared" si="91"/>
        <v>17.414548022598868</v>
      </c>
      <c r="E2876">
        <v>-2.1048603138155812E-3</v>
      </c>
      <c r="G2876">
        <v>2874</v>
      </c>
      <c r="H2876">
        <f t="shared" ca="1" si="92"/>
        <v>2.4332450590563996E-2</v>
      </c>
    </row>
    <row r="2877" spans="2:8" x14ac:dyDescent="0.3">
      <c r="B2877" s="113">
        <v>37540</v>
      </c>
      <c r="C2877">
        <v>14.16</v>
      </c>
      <c r="D2877">
        <f t="shared" si="91"/>
        <v>-0.94972483578909983</v>
      </c>
      <c r="E2877">
        <v>-2.1141649048625343E-3</v>
      </c>
      <c r="G2877">
        <v>2875</v>
      </c>
      <c r="H2877">
        <f t="shared" ca="1" si="92"/>
        <v>-1.3966402632517737E-2</v>
      </c>
    </row>
    <row r="2878" spans="2:8" x14ac:dyDescent="0.3">
      <c r="B2878" s="113">
        <v>43465</v>
      </c>
      <c r="C2878">
        <v>281.64999999999998</v>
      </c>
      <c r="D2878">
        <f t="shared" si="91"/>
        <v>9.023131672597863</v>
      </c>
      <c r="E2878">
        <v>-2.1257750221435703E-3</v>
      </c>
      <c r="G2878">
        <v>2876</v>
      </c>
      <c r="H2878">
        <f t="shared" ca="1" si="92"/>
        <v>-4.5750838512639532E-3</v>
      </c>
    </row>
    <row r="2879" spans="2:8" x14ac:dyDescent="0.3">
      <c r="B2879" s="113">
        <v>38363</v>
      </c>
      <c r="C2879">
        <v>28.1</v>
      </c>
      <c r="D2879">
        <f t="shared" si="91"/>
        <v>-0.79811768086787849</v>
      </c>
      <c r="E2879">
        <v>-2.1306818181817729E-3</v>
      </c>
      <c r="G2879">
        <v>2877</v>
      </c>
      <c r="H2879">
        <f t="shared" ca="1" si="92"/>
        <v>-3.1187302943724254E-3</v>
      </c>
    </row>
    <row r="2880" spans="2:8" x14ac:dyDescent="0.3">
      <c r="B2880" s="113">
        <v>40975</v>
      </c>
      <c r="C2880">
        <v>139.19</v>
      </c>
      <c r="D2880">
        <f t="shared" si="91"/>
        <v>-0.38566447455532504</v>
      </c>
      <c r="E2880">
        <v>-2.1506918058643012E-3</v>
      </c>
      <c r="G2880">
        <v>2878</v>
      </c>
      <c r="H2880">
        <f t="shared" ca="1" si="92"/>
        <v>-2.1501969220685424E-2</v>
      </c>
    </row>
    <row r="2881" spans="2:8" x14ac:dyDescent="0.3">
      <c r="B2881" s="113">
        <v>41789</v>
      </c>
      <c r="C2881">
        <v>226.57</v>
      </c>
      <c r="D2881">
        <f t="shared" si="91"/>
        <v>0.69474156631012041</v>
      </c>
      <c r="E2881">
        <v>-2.158019906632648E-3</v>
      </c>
      <c r="G2881">
        <v>2879</v>
      </c>
      <c r="H2881">
        <f t="shared" ca="1" si="92"/>
        <v>2.7752398985153711E-3</v>
      </c>
    </row>
    <row r="2882" spans="2:8" x14ac:dyDescent="0.3">
      <c r="B2882" s="113">
        <v>40915</v>
      </c>
      <c r="C2882">
        <v>133.69</v>
      </c>
      <c r="D2882">
        <f t="shared" si="91"/>
        <v>8.6666666666666661</v>
      </c>
      <c r="E2882">
        <v>-2.1645021645021051E-3</v>
      </c>
      <c r="G2882">
        <v>2880</v>
      </c>
      <c r="H2882">
        <f t="shared" ca="1" si="92"/>
        <v>1.9111310347312668E-3</v>
      </c>
    </row>
    <row r="2883" spans="2:8" x14ac:dyDescent="0.3">
      <c r="B2883" s="113">
        <v>37700</v>
      </c>
      <c r="C2883">
        <v>13.83</v>
      </c>
      <c r="D2883">
        <f t="shared" ref="D2883:D2946" si="93">(C2883-C2884)/C2884</f>
        <v>2.1739130434782145E-3</v>
      </c>
      <c r="E2883">
        <v>-2.1645021645021185E-3</v>
      </c>
      <c r="G2883">
        <v>2881</v>
      </c>
      <c r="H2883">
        <f t="shared" ca="1" si="92"/>
        <v>-1.4407447560345607E-2</v>
      </c>
    </row>
    <row r="2884" spans="2:8" x14ac:dyDescent="0.3">
      <c r="B2884" s="113">
        <v>37580</v>
      </c>
      <c r="C2884">
        <v>13.8</v>
      </c>
      <c r="D2884">
        <f t="shared" si="93"/>
        <v>-0.94982730412652239</v>
      </c>
      <c r="E2884">
        <v>-2.1691973969630773E-3</v>
      </c>
      <c r="G2884">
        <v>2882</v>
      </c>
      <c r="H2884">
        <f t="shared" ref="H2884:H2947" ca="1" si="94">_xlfn.NORM.INV(RAND(),$L$4,$L$6)</f>
        <v>2.1836700406496466E-2</v>
      </c>
    </row>
    <row r="2885" spans="2:8" x14ac:dyDescent="0.3">
      <c r="B2885" s="113">
        <v>43658</v>
      </c>
      <c r="C2885">
        <v>275.05</v>
      </c>
      <c r="D2885">
        <f t="shared" si="93"/>
        <v>-7.421743520700104E-2</v>
      </c>
      <c r="E2885">
        <v>-2.1766733176127912E-3</v>
      </c>
      <c r="G2885">
        <v>2883</v>
      </c>
      <c r="H2885">
        <f t="shared" ca="1" si="94"/>
        <v>1.9263639752725237E-3</v>
      </c>
    </row>
    <row r="2886" spans="2:8" x14ac:dyDescent="0.3">
      <c r="B2886" s="113">
        <v>43374</v>
      </c>
      <c r="C2886">
        <v>297.10000000000002</v>
      </c>
      <c r="D2886">
        <f t="shared" si="93"/>
        <v>0.75778014436161401</v>
      </c>
      <c r="E2886">
        <v>-2.1830394626363636E-3</v>
      </c>
      <c r="G2886">
        <v>2884</v>
      </c>
      <c r="H2886">
        <f t="shared" ca="1" si="94"/>
        <v>1.5845439722887884E-2</v>
      </c>
    </row>
    <row r="2887" spans="2:8" x14ac:dyDescent="0.3">
      <c r="B2887" s="113">
        <v>41108</v>
      </c>
      <c r="C2887">
        <v>169.02</v>
      </c>
      <c r="D2887">
        <f t="shared" si="93"/>
        <v>-5.8122039565338415E-2</v>
      </c>
      <c r="E2887">
        <v>-2.1843084007318976E-3</v>
      </c>
      <c r="G2887">
        <v>2885</v>
      </c>
      <c r="H2887">
        <f t="shared" ca="1" si="94"/>
        <v>-7.1996328383160443E-3</v>
      </c>
    </row>
    <row r="2888" spans="2:8" x14ac:dyDescent="0.3">
      <c r="B2888" s="113">
        <v>43949</v>
      </c>
      <c r="C2888">
        <v>179.45</v>
      </c>
      <c r="D2888">
        <f t="shared" si="93"/>
        <v>-0.24496150124121682</v>
      </c>
      <c r="E2888">
        <v>-2.2240756185710631E-3</v>
      </c>
      <c r="G2888">
        <v>2886</v>
      </c>
      <c r="H2888">
        <f t="shared" ca="1" si="94"/>
        <v>2.2215764733022401E-3</v>
      </c>
    </row>
    <row r="2889" spans="2:8" x14ac:dyDescent="0.3">
      <c r="B2889" s="113">
        <v>42520</v>
      </c>
      <c r="C2889">
        <v>237.67</v>
      </c>
      <c r="D2889">
        <f t="shared" si="93"/>
        <v>0.96389026607172368</v>
      </c>
      <c r="E2889">
        <v>-2.2250209907640687E-3</v>
      </c>
      <c r="G2889">
        <v>2887</v>
      </c>
      <c r="H2889">
        <f t="shared" ca="1" si="94"/>
        <v>2.2252215397613205E-2</v>
      </c>
    </row>
    <row r="2890" spans="2:8" x14ac:dyDescent="0.3">
      <c r="B2890" s="113">
        <v>40640</v>
      </c>
      <c r="C2890">
        <v>121.02</v>
      </c>
      <c r="D2890">
        <f t="shared" si="93"/>
        <v>0.8019654556283502</v>
      </c>
      <c r="E2890">
        <v>-2.2260697501855901E-3</v>
      </c>
      <c r="G2890">
        <v>2888</v>
      </c>
      <c r="H2890">
        <f t="shared" ca="1" si="94"/>
        <v>1.3972910752571623E-2</v>
      </c>
    </row>
    <row r="2891" spans="2:8" x14ac:dyDescent="0.3">
      <c r="B2891" s="113">
        <v>39968</v>
      </c>
      <c r="C2891">
        <v>67.16</v>
      </c>
      <c r="D2891">
        <f t="shared" si="93"/>
        <v>-0.67310781211973714</v>
      </c>
      <c r="E2891">
        <v>-2.2284950230278661E-3</v>
      </c>
      <c r="G2891">
        <v>2889</v>
      </c>
      <c r="H2891">
        <f t="shared" ca="1" si="94"/>
        <v>1.4803697945194642E-2</v>
      </c>
    </row>
    <row r="2892" spans="2:8" x14ac:dyDescent="0.3">
      <c r="B2892" s="113">
        <v>42195</v>
      </c>
      <c r="C2892">
        <v>205.45</v>
      </c>
      <c r="D2892">
        <f t="shared" si="93"/>
        <v>-0.23124415341440602</v>
      </c>
      <c r="E2892">
        <v>-2.2339857219173813E-3</v>
      </c>
      <c r="G2892">
        <v>2890</v>
      </c>
      <c r="H2892">
        <f t="shared" ca="1" si="94"/>
        <v>-4.5552069619125786E-2</v>
      </c>
    </row>
    <row r="2893" spans="2:8" x14ac:dyDescent="0.3">
      <c r="B2893" s="113">
        <v>43265</v>
      </c>
      <c r="C2893">
        <v>267.25</v>
      </c>
      <c r="D2893">
        <f t="shared" si="93"/>
        <v>0.13491591642602349</v>
      </c>
      <c r="E2893">
        <v>-2.2400597349263494E-3</v>
      </c>
      <c r="G2893">
        <v>2891</v>
      </c>
      <c r="H2893">
        <f t="shared" ca="1" si="94"/>
        <v>1.8255596937295546E-2</v>
      </c>
    </row>
    <row r="2894" spans="2:8" x14ac:dyDescent="0.3">
      <c r="B2894" s="113">
        <v>42305</v>
      </c>
      <c r="C2894">
        <v>235.48</v>
      </c>
      <c r="D2894">
        <f t="shared" si="93"/>
        <v>9.474000085737469E-3</v>
      </c>
      <c r="E2894">
        <v>-2.2456675564594768E-3</v>
      </c>
      <c r="G2894">
        <v>2892</v>
      </c>
      <c r="H2894">
        <f t="shared" ca="1" si="94"/>
        <v>-2.9110218620689392E-2</v>
      </c>
    </row>
    <row r="2895" spans="2:8" x14ac:dyDescent="0.3">
      <c r="B2895" s="113">
        <v>42534</v>
      </c>
      <c r="C2895">
        <v>233.27</v>
      </c>
      <c r="D2895">
        <f t="shared" si="93"/>
        <v>9.6273348519362205</v>
      </c>
      <c r="E2895">
        <v>-2.2668947818648465E-3</v>
      </c>
      <c r="G2895">
        <v>2893</v>
      </c>
      <c r="H2895">
        <f t="shared" ca="1" si="94"/>
        <v>3.5476789610636363E-2</v>
      </c>
    </row>
    <row r="2896" spans="2:8" x14ac:dyDescent="0.3">
      <c r="B2896" s="113">
        <v>38189</v>
      </c>
      <c r="C2896">
        <v>21.95</v>
      </c>
      <c r="D2896">
        <f t="shared" si="93"/>
        <v>-0.9163267639995426</v>
      </c>
      <c r="E2896">
        <v>-2.2727272727273051E-3</v>
      </c>
      <c r="G2896">
        <v>2894</v>
      </c>
      <c r="H2896">
        <f t="shared" ca="1" si="94"/>
        <v>-5.5064385573605956E-4</v>
      </c>
    </row>
    <row r="2897" spans="2:8" x14ac:dyDescent="0.3">
      <c r="B2897" s="113">
        <v>41985</v>
      </c>
      <c r="C2897">
        <v>262.33</v>
      </c>
      <c r="D2897">
        <f t="shared" si="93"/>
        <v>-7.5814690857847589E-2</v>
      </c>
      <c r="E2897">
        <v>-2.2819761913818229E-3</v>
      </c>
      <c r="G2897">
        <v>2895</v>
      </c>
      <c r="H2897">
        <f t="shared" ca="1" si="94"/>
        <v>2.2436624422031863E-2</v>
      </c>
    </row>
    <row r="2898" spans="2:8" x14ac:dyDescent="0.3">
      <c r="B2898" s="113">
        <v>43424</v>
      </c>
      <c r="C2898">
        <v>283.85000000000002</v>
      </c>
      <c r="D2898">
        <f t="shared" si="93"/>
        <v>0.30355912743972457</v>
      </c>
      <c r="E2898">
        <v>-2.2847100175746125E-3</v>
      </c>
      <c r="G2898">
        <v>2896</v>
      </c>
      <c r="H2898">
        <f t="shared" ca="1" si="94"/>
        <v>9.1845125437850974E-3</v>
      </c>
    </row>
    <row r="2899" spans="2:8" x14ac:dyDescent="0.3">
      <c r="B2899" s="113">
        <v>44244</v>
      </c>
      <c r="C2899">
        <v>217.75</v>
      </c>
      <c r="D2899">
        <f t="shared" si="93"/>
        <v>0.116953064888433</v>
      </c>
      <c r="E2899">
        <v>-2.2909507445589921E-3</v>
      </c>
      <c r="G2899">
        <v>2897</v>
      </c>
      <c r="H2899">
        <f t="shared" ca="1" si="94"/>
        <v>2.2459825197979465E-3</v>
      </c>
    </row>
    <row r="2900" spans="2:8" x14ac:dyDescent="0.3">
      <c r="B2900" s="113">
        <v>44069</v>
      </c>
      <c r="C2900">
        <v>194.95</v>
      </c>
      <c r="D2900">
        <f t="shared" si="93"/>
        <v>-0.30560997328584155</v>
      </c>
      <c r="E2900">
        <v>-2.3029682702150308E-3</v>
      </c>
      <c r="G2900">
        <v>2898</v>
      </c>
      <c r="H2900">
        <f t="shared" ca="1" si="94"/>
        <v>2.084778361554946E-2</v>
      </c>
    </row>
    <row r="2901" spans="2:8" x14ac:dyDescent="0.3">
      <c r="B2901" s="113">
        <v>42951</v>
      </c>
      <c r="C2901">
        <v>280.75</v>
      </c>
      <c r="D2901">
        <f t="shared" si="93"/>
        <v>-6.9100434364534558E-2</v>
      </c>
      <c r="E2901">
        <v>-2.3098791755507366E-3</v>
      </c>
      <c r="G2901">
        <v>2899</v>
      </c>
      <c r="H2901">
        <f t="shared" ca="1" si="94"/>
        <v>-7.2196670874588261E-5</v>
      </c>
    </row>
    <row r="2902" spans="2:8" x14ac:dyDescent="0.3">
      <c r="B2902" s="113">
        <v>44770</v>
      </c>
      <c r="C2902">
        <v>301.58999999999997</v>
      </c>
      <c r="D2902">
        <f t="shared" si="93"/>
        <v>1.6273663234804125E-3</v>
      </c>
      <c r="E2902">
        <v>-2.3156571504186225E-3</v>
      </c>
      <c r="G2902">
        <v>2900</v>
      </c>
      <c r="H2902">
        <f t="shared" ca="1" si="94"/>
        <v>1.3829294826044447E-2</v>
      </c>
    </row>
    <row r="2903" spans="2:8" x14ac:dyDescent="0.3">
      <c r="B2903" s="113">
        <v>43319</v>
      </c>
      <c r="C2903">
        <v>301.10000000000002</v>
      </c>
      <c r="D2903">
        <f t="shared" si="93"/>
        <v>3.6980808238414729</v>
      </c>
      <c r="E2903">
        <v>-2.3194168323392599E-3</v>
      </c>
      <c r="G2903">
        <v>2901</v>
      </c>
      <c r="H2903">
        <f t="shared" ca="1" si="94"/>
        <v>3.0134491904125468E-2</v>
      </c>
    </row>
    <row r="2904" spans="2:8" x14ac:dyDescent="0.3">
      <c r="B2904" s="113">
        <v>39982</v>
      </c>
      <c r="C2904">
        <v>64.09</v>
      </c>
      <c r="D2904">
        <f t="shared" si="93"/>
        <v>-0.66663198959687908</v>
      </c>
      <c r="E2904">
        <v>-2.3349937733498053E-3</v>
      </c>
      <c r="G2904">
        <v>2902</v>
      </c>
      <c r="H2904">
        <f t="shared" ca="1" si="94"/>
        <v>2.1653592485536725E-2</v>
      </c>
    </row>
    <row r="2905" spans="2:8" x14ac:dyDescent="0.3">
      <c r="B2905" s="113">
        <v>44033</v>
      </c>
      <c r="C2905">
        <v>192.25</v>
      </c>
      <c r="D2905">
        <f t="shared" si="93"/>
        <v>-0.35529845741113342</v>
      </c>
      <c r="E2905">
        <v>-2.3352361183185712E-3</v>
      </c>
      <c r="G2905">
        <v>2903</v>
      </c>
      <c r="H2905">
        <f t="shared" ca="1" si="94"/>
        <v>-8.554211739206799E-3</v>
      </c>
    </row>
    <row r="2906" spans="2:8" x14ac:dyDescent="0.3">
      <c r="B2906" s="113">
        <v>43546</v>
      </c>
      <c r="C2906">
        <v>298.2</v>
      </c>
      <c r="D2906">
        <f t="shared" si="93"/>
        <v>9</v>
      </c>
      <c r="E2906">
        <v>-2.3419203747072222E-3</v>
      </c>
      <c r="G2906">
        <v>2904</v>
      </c>
      <c r="H2906">
        <f t="shared" ca="1" si="94"/>
        <v>-2.4164929308619937E-2</v>
      </c>
    </row>
    <row r="2907" spans="2:8" x14ac:dyDescent="0.3">
      <c r="B2907" s="113">
        <v>38446</v>
      </c>
      <c r="C2907">
        <v>29.82</v>
      </c>
      <c r="D2907">
        <f t="shared" si="93"/>
        <v>-0.64975334742776603</v>
      </c>
      <c r="E2907">
        <v>-2.3419203747072695E-3</v>
      </c>
      <c r="G2907">
        <v>2905</v>
      </c>
      <c r="H2907">
        <f t="shared" ca="1" si="94"/>
        <v>3.3204918640862793E-2</v>
      </c>
    </row>
    <row r="2908" spans="2:8" x14ac:dyDescent="0.3">
      <c r="B2908" s="113">
        <v>40128</v>
      </c>
      <c r="C2908">
        <v>85.14</v>
      </c>
      <c r="D2908">
        <f t="shared" si="93"/>
        <v>-0.7092213114754099</v>
      </c>
      <c r="E2908">
        <v>-2.3435669088352805E-3</v>
      </c>
      <c r="G2908">
        <v>2906</v>
      </c>
      <c r="H2908">
        <f t="shared" ca="1" si="94"/>
        <v>1.6418528384182545E-2</v>
      </c>
    </row>
    <row r="2909" spans="2:8" x14ac:dyDescent="0.3">
      <c r="B2909" s="113">
        <v>44761</v>
      </c>
      <c r="C2909">
        <v>292.8</v>
      </c>
      <c r="D2909">
        <f t="shared" si="93"/>
        <v>4.3081943437273393</v>
      </c>
      <c r="E2909">
        <v>-2.351017070428286E-3</v>
      </c>
      <c r="G2909">
        <v>2907</v>
      </c>
      <c r="H2909">
        <f t="shared" ca="1" si="94"/>
        <v>-2.2191242245620552E-2</v>
      </c>
    </row>
    <row r="2910" spans="2:8" x14ac:dyDescent="0.3">
      <c r="B2910" s="113">
        <v>39230</v>
      </c>
      <c r="C2910">
        <v>55.16</v>
      </c>
      <c r="D2910">
        <f t="shared" si="93"/>
        <v>-0.73981132075471701</v>
      </c>
      <c r="E2910">
        <v>-2.3512389220474326E-3</v>
      </c>
      <c r="G2910">
        <v>2908</v>
      </c>
      <c r="H2910">
        <f t="shared" ca="1" si="94"/>
        <v>3.5580803302676543E-3</v>
      </c>
    </row>
    <row r="2911" spans="2:8" x14ac:dyDescent="0.3">
      <c r="B2911" s="113">
        <v>44552</v>
      </c>
      <c r="C2911">
        <v>212</v>
      </c>
      <c r="D2911">
        <f t="shared" si="93"/>
        <v>0.25073746312684364</v>
      </c>
      <c r="E2911">
        <v>-2.352941176470588E-3</v>
      </c>
      <c r="G2911">
        <v>2909</v>
      </c>
      <c r="H2911">
        <f t="shared" ca="1" si="94"/>
        <v>-2.3758095328299055E-2</v>
      </c>
    </row>
    <row r="2912" spans="2:8" x14ac:dyDescent="0.3">
      <c r="B2912" s="113">
        <v>44111</v>
      </c>
      <c r="C2912">
        <v>169.5</v>
      </c>
      <c r="D2912">
        <f t="shared" si="93"/>
        <v>-0.19763313609467456</v>
      </c>
      <c r="E2912">
        <v>-2.3543260741613046E-3</v>
      </c>
      <c r="G2912">
        <v>2910</v>
      </c>
      <c r="H2912">
        <f t="shared" ca="1" si="94"/>
        <v>1.8086259488991268E-2</v>
      </c>
    </row>
    <row r="2913" spans="2:8" x14ac:dyDescent="0.3">
      <c r="B2913" s="113">
        <v>44447</v>
      </c>
      <c r="C2913">
        <v>211.25</v>
      </c>
      <c r="D2913">
        <f t="shared" si="93"/>
        <v>0.85746944517717394</v>
      </c>
      <c r="E2913">
        <v>-2.3612750885478157E-3</v>
      </c>
      <c r="G2913">
        <v>2911</v>
      </c>
      <c r="H2913">
        <f t="shared" ca="1" si="94"/>
        <v>5.6939548238080424E-4</v>
      </c>
    </row>
    <row r="2914" spans="2:8" x14ac:dyDescent="0.3">
      <c r="B2914" s="113">
        <v>40469</v>
      </c>
      <c r="C2914">
        <v>113.73</v>
      </c>
      <c r="D2914">
        <f t="shared" si="93"/>
        <v>0.92926208651399489</v>
      </c>
      <c r="E2914">
        <v>-2.368421052631544E-3</v>
      </c>
      <c r="G2914">
        <v>2912</v>
      </c>
      <c r="H2914">
        <f t="shared" ca="1" si="94"/>
        <v>-7.4204080285643192E-3</v>
      </c>
    </row>
    <row r="2915" spans="2:8" x14ac:dyDescent="0.3">
      <c r="B2915" s="113">
        <v>39107</v>
      </c>
      <c r="C2915">
        <v>58.95</v>
      </c>
      <c r="D2915">
        <f t="shared" si="93"/>
        <v>-0.53236554021894333</v>
      </c>
      <c r="E2915">
        <v>-2.3692672194956942E-3</v>
      </c>
      <c r="G2915">
        <v>2913</v>
      </c>
      <c r="H2915">
        <f t="shared" ca="1" si="94"/>
        <v>-1.0807601061366452E-2</v>
      </c>
    </row>
    <row r="2916" spans="2:8" x14ac:dyDescent="0.3">
      <c r="B2916" s="113">
        <v>40654</v>
      </c>
      <c r="C2916">
        <v>126.06</v>
      </c>
      <c r="D2916">
        <f t="shared" si="93"/>
        <v>-0.49996033320111066</v>
      </c>
      <c r="E2916">
        <v>-2.3741690408356849E-3</v>
      </c>
      <c r="G2916">
        <v>2914</v>
      </c>
      <c r="H2916">
        <f t="shared" ca="1" si="94"/>
        <v>-2.5791711887906615E-2</v>
      </c>
    </row>
    <row r="2917" spans="2:8" x14ac:dyDescent="0.3">
      <c r="B2917" s="113">
        <v>42586</v>
      </c>
      <c r="C2917">
        <v>252.1</v>
      </c>
      <c r="D2917">
        <f t="shared" si="93"/>
        <v>14.095808383233534</v>
      </c>
      <c r="E2917">
        <v>-2.3743569449940416E-3</v>
      </c>
      <c r="G2917">
        <v>2915</v>
      </c>
      <c r="H2917">
        <f t="shared" ca="1" si="94"/>
        <v>3.5679832772388433E-2</v>
      </c>
    </row>
    <row r="2918" spans="2:8" x14ac:dyDescent="0.3">
      <c r="B2918" s="113">
        <v>37816</v>
      </c>
      <c r="C2918">
        <v>16.7</v>
      </c>
      <c r="D2918">
        <f t="shared" si="93"/>
        <v>3.6057692307691538E-3</v>
      </c>
      <c r="E2918">
        <v>-2.3894862604539515E-3</v>
      </c>
      <c r="G2918">
        <v>2916</v>
      </c>
      <c r="H2918">
        <f t="shared" ca="1" si="94"/>
        <v>-3.8493139145547584E-2</v>
      </c>
    </row>
    <row r="2919" spans="2:8" x14ac:dyDescent="0.3">
      <c r="B2919" s="113">
        <v>37819</v>
      </c>
      <c r="C2919">
        <v>16.64</v>
      </c>
      <c r="D2919">
        <f t="shared" si="93"/>
        <v>-0.73290529695024076</v>
      </c>
      <c r="E2919">
        <v>-2.3980815347721313E-3</v>
      </c>
      <c r="G2919">
        <v>2917</v>
      </c>
      <c r="H2919">
        <f t="shared" ca="1" si="94"/>
        <v>3.0784807362404577E-3</v>
      </c>
    </row>
    <row r="2920" spans="2:8" x14ac:dyDescent="0.3">
      <c r="B2920" s="113">
        <v>39944</v>
      </c>
      <c r="C2920">
        <v>62.3</v>
      </c>
      <c r="D2920">
        <f t="shared" si="93"/>
        <v>-0.7687882724067544</v>
      </c>
      <c r="E2920">
        <v>-2.4019215372298747E-3</v>
      </c>
      <c r="G2920">
        <v>2918</v>
      </c>
      <c r="H2920">
        <f t="shared" ca="1" si="94"/>
        <v>-4.3212377612636056E-2</v>
      </c>
    </row>
    <row r="2921" spans="2:8" x14ac:dyDescent="0.3">
      <c r="B2921" s="113">
        <v>43172</v>
      </c>
      <c r="C2921">
        <v>269.45</v>
      </c>
      <c r="D2921">
        <f t="shared" si="93"/>
        <v>9.8343385605146754</v>
      </c>
      <c r="E2921">
        <v>-2.4065161051463682E-3</v>
      </c>
      <c r="G2921">
        <v>2919</v>
      </c>
      <c r="H2921">
        <f t="shared" ca="1" si="94"/>
        <v>5.387640979625484E-3</v>
      </c>
    </row>
    <row r="2922" spans="2:8" x14ac:dyDescent="0.3">
      <c r="B2922" s="113">
        <v>38299</v>
      </c>
      <c r="C2922">
        <v>24.87</v>
      </c>
      <c r="D2922">
        <f t="shared" si="93"/>
        <v>-0.8926814533528955</v>
      </c>
      <c r="E2922">
        <v>-2.4067388688326806E-3</v>
      </c>
      <c r="G2922">
        <v>2920</v>
      </c>
      <c r="H2922">
        <f t="shared" ca="1" si="94"/>
        <v>2.6062506951149995E-2</v>
      </c>
    </row>
    <row r="2923" spans="2:8" x14ac:dyDescent="0.3">
      <c r="B2923" s="113">
        <v>41939</v>
      </c>
      <c r="C2923">
        <v>231.74</v>
      </c>
      <c r="D2923">
        <f t="shared" si="93"/>
        <v>1.6790751445086707</v>
      </c>
      <c r="E2923">
        <v>-2.4106758501937246E-3</v>
      </c>
      <c r="G2923">
        <v>2921</v>
      </c>
      <c r="H2923">
        <f t="shared" ca="1" si="94"/>
        <v>1.5823541705380285E-2</v>
      </c>
    </row>
    <row r="2924" spans="2:8" x14ac:dyDescent="0.3">
      <c r="B2924" s="113">
        <v>40260</v>
      </c>
      <c r="C2924">
        <v>86.5</v>
      </c>
      <c r="D2924">
        <f t="shared" si="93"/>
        <v>-0.62474513036310786</v>
      </c>
      <c r="E2924">
        <v>-2.4218659900818104E-3</v>
      </c>
      <c r="G2924">
        <v>2922</v>
      </c>
      <c r="H2924">
        <f t="shared" ca="1" si="94"/>
        <v>-1.2735268899525559E-2</v>
      </c>
    </row>
    <row r="2925" spans="2:8" x14ac:dyDescent="0.3">
      <c r="B2925" s="113">
        <v>41862</v>
      </c>
      <c r="C2925">
        <v>230.51</v>
      </c>
      <c r="D2925">
        <f t="shared" si="93"/>
        <v>2.4716603689708835E-2</v>
      </c>
      <c r="E2925">
        <v>-2.4235080278703523E-3</v>
      </c>
      <c r="G2925">
        <v>2923</v>
      </c>
      <c r="H2925">
        <f t="shared" ca="1" si="94"/>
        <v>-2.9950526043786826E-2</v>
      </c>
    </row>
    <row r="2926" spans="2:8" x14ac:dyDescent="0.3">
      <c r="B2926" s="113">
        <v>44627</v>
      </c>
      <c r="C2926">
        <v>224.95</v>
      </c>
      <c r="D2926">
        <f t="shared" si="93"/>
        <v>2.6750530958993624</v>
      </c>
      <c r="E2926">
        <v>-2.4390243902439527E-3</v>
      </c>
      <c r="G2926">
        <v>2924</v>
      </c>
      <c r="H2926">
        <f t="shared" ca="1" si="94"/>
        <v>-3.4549589165552438E-2</v>
      </c>
    </row>
    <row r="2927" spans="2:8" x14ac:dyDescent="0.3">
      <c r="B2927" s="113">
        <v>39409</v>
      </c>
      <c r="C2927">
        <v>61.21</v>
      </c>
      <c r="D2927">
        <f t="shared" si="93"/>
        <v>1.510664479081214</v>
      </c>
      <c r="E2927">
        <v>-2.4445893089960653E-3</v>
      </c>
      <c r="G2927">
        <v>2925</v>
      </c>
      <c r="H2927">
        <f t="shared" ca="1" si="94"/>
        <v>-6.0301841189336195E-5</v>
      </c>
    </row>
    <row r="2928" spans="2:8" x14ac:dyDescent="0.3">
      <c r="B2928" s="113">
        <v>38243</v>
      </c>
      <c r="C2928">
        <v>24.38</v>
      </c>
      <c r="D2928">
        <f t="shared" si="93"/>
        <v>-0.91986852917009043</v>
      </c>
      <c r="E2928">
        <v>-2.4549918166940372E-3</v>
      </c>
      <c r="G2928">
        <v>2926</v>
      </c>
      <c r="H2928">
        <f t="shared" ca="1" si="94"/>
        <v>-9.7554313342334033E-3</v>
      </c>
    </row>
    <row r="2929" spans="2:8" x14ac:dyDescent="0.3">
      <c r="B2929" s="113">
        <v>43588</v>
      </c>
      <c r="C2929">
        <v>304.25</v>
      </c>
      <c r="D2929">
        <f t="shared" si="93"/>
        <v>4.0016439256945588</v>
      </c>
      <c r="E2929">
        <v>-2.4590163934426232E-3</v>
      </c>
      <c r="G2929">
        <v>2927</v>
      </c>
      <c r="H2929">
        <f t="shared" ca="1" si="94"/>
        <v>-3.0403333828551906E-4</v>
      </c>
    </row>
    <row r="2930" spans="2:8" x14ac:dyDescent="0.3">
      <c r="B2930" s="113">
        <v>39688</v>
      </c>
      <c r="C2930">
        <v>60.83</v>
      </c>
      <c r="D2930">
        <f t="shared" si="93"/>
        <v>1.0297292808503528E-2</v>
      </c>
      <c r="E2930">
        <v>-2.4598228927516985E-3</v>
      </c>
      <c r="G2930">
        <v>2928</v>
      </c>
      <c r="H2930">
        <f t="shared" ca="1" si="94"/>
        <v>1.5216908601119721E-2</v>
      </c>
    </row>
    <row r="2931" spans="2:8" x14ac:dyDescent="0.3">
      <c r="B2931" s="113">
        <v>38972</v>
      </c>
      <c r="C2931">
        <v>60.21</v>
      </c>
      <c r="D2931">
        <f t="shared" si="93"/>
        <v>-0.73582836082836078</v>
      </c>
      <c r="E2931">
        <v>-2.4850894632206526E-3</v>
      </c>
      <c r="G2931">
        <v>2929</v>
      </c>
      <c r="H2931">
        <f t="shared" ca="1" si="94"/>
        <v>-4.1340014759761378E-3</v>
      </c>
    </row>
    <row r="2932" spans="2:8" x14ac:dyDescent="0.3">
      <c r="B2932" s="113">
        <v>41786</v>
      </c>
      <c r="C2932">
        <v>227.92</v>
      </c>
      <c r="D2932">
        <f t="shared" si="93"/>
        <v>-2.3186045514936034E-2</v>
      </c>
      <c r="E2932">
        <v>-2.4946387150423283E-3</v>
      </c>
      <c r="G2932">
        <v>2930</v>
      </c>
      <c r="H2932">
        <f t="shared" ca="1" si="94"/>
        <v>-3.5022149309365386E-4</v>
      </c>
    </row>
    <row r="2933" spans="2:8" x14ac:dyDescent="0.3">
      <c r="B2933" s="113">
        <v>41730</v>
      </c>
      <c r="C2933">
        <v>233.33</v>
      </c>
      <c r="D2933">
        <f t="shared" si="93"/>
        <v>0.7359571460456813</v>
      </c>
      <c r="E2933">
        <v>-2.522229822161316E-3</v>
      </c>
      <c r="G2933">
        <v>2931</v>
      </c>
      <c r="H2933">
        <f t="shared" ca="1" si="94"/>
        <v>1.3574355749463641E-4</v>
      </c>
    </row>
    <row r="2934" spans="2:8" x14ac:dyDescent="0.3">
      <c r="B2934" s="113">
        <v>40791</v>
      </c>
      <c r="C2934">
        <v>134.41</v>
      </c>
      <c r="D2934">
        <f t="shared" si="93"/>
        <v>0.62252535007242871</v>
      </c>
      <c r="E2934">
        <v>-2.5231910946196916E-3</v>
      </c>
      <c r="G2934">
        <v>2932</v>
      </c>
      <c r="H2934">
        <f t="shared" ca="1" si="94"/>
        <v>-2.5577528384447965E-2</v>
      </c>
    </row>
    <row r="2935" spans="2:8" x14ac:dyDescent="0.3">
      <c r="B2935" s="113">
        <v>40197</v>
      </c>
      <c r="C2935">
        <v>82.84</v>
      </c>
      <c r="D2935">
        <f t="shared" si="93"/>
        <v>0.61544461778471138</v>
      </c>
      <c r="E2935">
        <v>-2.5285972305839105E-3</v>
      </c>
      <c r="G2935">
        <v>2933</v>
      </c>
      <c r="H2935">
        <f t="shared" ca="1" si="94"/>
        <v>-3.7059116964367274E-3</v>
      </c>
    </row>
    <row r="2936" spans="2:8" x14ac:dyDescent="0.3">
      <c r="B2936" s="113">
        <v>39262</v>
      </c>
      <c r="C2936">
        <v>51.28</v>
      </c>
      <c r="D2936">
        <f t="shared" si="93"/>
        <v>-0.81386569872958259</v>
      </c>
      <c r="E2936">
        <v>-2.5286909161640822E-3</v>
      </c>
      <c r="G2936">
        <v>2934</v>
      </c>
      <c r="H2936">
        <f t="shared" ca="1" si="94"/>
        <v>-7.0144593074710805E-3</v>
      </c>
    </row>
    <row r="2937" spans="2:8" x14ac:dyDescent="0.3">
      <c r="B2937" s="113">
        <v>43213</v>
      </c>
      <c r="C2937">
        <v>275.5</v>
      </c>
      <c r="D2937">
        <f t="shared" si="93"/>
        <v>4.3966699314397646</v>
      </c>
      <c r="E2937">
        <v>-2.5343953656770044E-3</v>
      </c>
      <c r="G2937">
        <v>2935</v>
      </c>
      <c r="H2937">
        <f t="shared" ca="1" si="94"/>
        <v>-2.456167577207017E-2</v>
      </c>
    </row>
    <row r="2938" spans="2:8" x14ac:dyDescent="0.3">
      <c r="B2938" s="113">
        <v>39255</v>
      </c>
      <c r="C2938">
        <v>51.05</v>
      </c>
      <c r="D2938">
        <f t="shared" si="93"/>
        <v>0.182808155699722</v>
      </c>
      <c r="E2938">
        <v>-2.5400547088707025E-3</v>
      </c>
      <c r="G2938">
        <v>2936</v>
      </c>
      <c r="H2938">
        <f t="shared" ca="1" si="94"/>
        <v>-1.5884892929038122E-2</v>
      </c>
    </row>
    <row r="2939" spans="2:8" x14ac:dyDescent="0.3">
      <c r="B2939" s="113">
        <v>38673</v>
      </c>
      <c r="C2939">
        <v>43.16</v>
      </c>
      <c r="D2939">
        <f t="shared" si="93"/>
        <v>-0.79953553181607062</v>
      </c>
      <c r="E2939">
        <v>-2.5421770279640981E-3</v>
      </c>
      <c r="G2939">
        <v>2937</v>
      </c>
      <c r="H2939">
        <f t="shared" ca="1" si="94"/>
        <v>-4.802561620420611E-3</v>
      </c>
    </row>
    <row r="2940" spans="2:8" x14ac:dyDescent="0.3">
      <c r="B2940" s="113">
        <v>44622</v>
      </c>
      <c r="C2940">
        <v>215.3</v>
      </c>
      <c r="D2940">
        <f t="shared" si="93"/>
        <v>-0.19813780260707631</v>
      </c>
      <c r="E2940">
        <v>-2.5480657864256798E-3</v>
      </c>
      <c r="G2940">
        <v>2938</v>
      </c>
      <c r="H2940">
        <f t="shared" ca="1" si="94"/>
        <v>5.2855102802905219E-3</v>
      </c>
    </row>
    <row r="2941" spans="2:8" x14ac:dyDescent="0.3">
      <c r="B2941" s="113">
        <v>44722</v>
      </c>
      <c r="C2941">
        <v>268.5</v>
      </c>
      <c r="D2941">
        <f t="shared" si="93"/>
        <v>3.3278529980657643</v>
      </c>
      <c r="E2941">
        <v>-2.5632452914298369E-3</v>
      </c>
      <c r="G2941">
        <v>2939</v>
      </c>
      <c r="H2941">
        <f t="shared" ca="1" si="94"/>
        <v>2.0410044461732497E-3</v>
      </c>
    </row>
    <row r="2942" spans="2:8" x14ac:dyDescent="0.3">
      <c r="B2942" s="113">
        <v>39350</v>
      </c>
      <c r="C2942">
        <v>62.04</v>
      </c>
      <c r="D2942">
        <f t="shared" si="93"/>
        <v>-0.70907385697538106</v>
      </c>
      <c r="E2942">
        <v>-2.5723472668810884E-3</v>
      </c>
      <c r="G2942">
        <v>2940</v>
      </c>
      <c r="H2942">
        <f t="shared" ca="1" si="94"/>
        <v>9.3518613366569379E-3</v>
      </c>
    </row>
    <row r="2943" spans="2:8" x14ac:dyDescent="0.3">
      <c r="B2943" s="113">
        <v>44294</v>
      </c>
      <c r="C2943">
        <v>213.25</v>
      </c>
      <c r="D2943">
        <f t="shared" si="93"/>
        <v>-1.4966049240149703E-2</v>
      </c>
      <c r="E2943">
        <v>-2.5724976613658154E-3</v>
      </c>
      <c r="G2943">
        <v>2941</v>
      </c>
      <c r="H2943">
        <f t="shared" ca="1" si="94"/>
        <v>-8.9434903434115285E-3</v>
      </c>
    </row>
    <row r="2944" spans="2:8" x14ac:dyDescent="0.3">
      <c r="B2944" s="113">
        <v>42087</v>
      </c>
      <c r="C2944">
        <v>216.49</v>
      </c>
      <c r="D2944">
        <f t="shared" si="93"/>
        <v>1.0786365818530965</v>
      </c>
      <c r="E2944">
        <v>-2.5800506795669305E-3</v>
      </c>
      <c r="G2944">
        <v>2942</v>
      </c>
      <c r="H2944">
        <f t="shared" ca="1" si="94"/>
        <v>-1.465954735874217E-2</v>
      </c>
    </row>
    <row r="2945" spans="2:8" x14ac:dyDescent="0.3">
      <c r="B2945" s="113">
        <v>40589</v>
      </c>
      <c r="C2945">
        <v>104.15</v>
      </c>
      <c r="D2945">
        <f t="shared" si="93"/>
        <v>-0.54979683582605687</v>
      </c>
      <c r="E2945">
        <v>-2.5857115495115496E-3</v>
      </c>
      <c r="G2945">
        <v>2943</v>
      </c>
      <c r="H2945">
        <f t="shared" ca="1" si="94"/>
        <v>4.5065702328633203E-2</v>
      </c>
    </row>
    <row r="2946" spans="2:8" x14ac:dyDescent="0.3">
      <c r="B2946" s="113">
        <v>41541</v>
      </c>
      <c r="C2946">
        <v>231.34</v>
      </c>
      <c r="D2946">
        <f t="shared" si="93"/>
        <v>-0.14207305766734649</v>
      </c>
      <c r="E2946">
        <v>-2.5868759161851956E-3</v>
      </c>
      <c r="G2946">
        <v>2944</v>
      </c>
      <c r="H2946">
        <f t="shared" ca="1" si="94"/>
        <v>5.8272819456250333E-3</v>
      </c>
    </row>
    <row r="2947" spans="2:8" x14ac:dyDescent="0.3">
      <c r="B2947" s="113">
        <v>43027</v>
      </c>
      <c r="C2947">
        <v>269.64999999999998</v>
      </c>
      <c r="D2947">
        <f t="shared" ref="D2947:D3010" si="95">(C2947-C2948)/C2948</f>
        <v>3.3852658968938032</v>
      </c>
      <c r="E2947">
        <v>-2.5892361753284462E-3</v>
      </c>
      <c r="G2947">
        <v>2945</v>
      </c>
      <c r="H2947">
        <f t="shared" ca="1" si="94"/>
        <v>4.2676895987106729E-3</v>
      </c>
    </row>
    <row r="2948" spans="2:8" x14ac:dyDescent="0.3">
      <c r="B2948" s="113">
        <v>39034</v>
      </c>
      <c r="C2948">
        <v>61.49</v>
      </c>
      <c r="D2948">
        <f t="shared" si="95"/>
        <v>-0.70844001896633468</v>
      </c>
      <c r="E2948">
        <v>-2.5952960259529052E-3</v>
      </c>
      <c r="G2948">
        <v>2946</v>
      </c>
      <c r="H2948">
        <f t="shared" ref="H2948:H3011" ca="1" si="96">_xlfn.NORM.INV(RAND(),$L$4,$L$6)</f>
        <v>-1.5852308166458103E-2</v>
      </c>
    </row>
    <row r="2949" spans="2:8" x14ac:dyDescent="0.3">
      <c r="B2949" s="113">
        <v>44424</v>
      </c>
      <c r="C2949">
        <v>210.9</v>
      </c>
      <c r="D2949">
        <f t="shared" si="95"/>
        <v>2.4511536573392245</v>
      </c>
      <c r="E2949">
        <v>-2.6010877275950955E-3</v>
      </c>
      <c r="G2949">
        <v>2947</v>
      </c>
      <c r="H2949">
        <f t="shared" ca="1" si="96"/>
        <v>-3.3592223468685779E-3</v>
      </c>
    </row>
    <row r="2950" spans="2:8" x14ac:dyDescent="0.3">
      <c r="B2950" s="113">
        <v>39904</v>
      </c>
      <c r="C2950">
        <v>61.11</v>
      </c>
      <c r="D2950">
        <f t="shared" si="95"/>
        <v>1.0022935779816513</v>
      </c>
      <c r="E2950">
        <v>-2.6113921984658671E-3</v>
      </c>
      <c r="G2950">
        <v>2948</v>
      </c>
      <c r="H2950">
        <f t="shared" ca="1" si="96"/>
        <v>-4.6767582712841767E-2</v>
      </c>
    </row>
    <row r="2951" spans="2:8" x14ac:dyDescent="0.3">
      <c r="B2951" s="113">
        <v>38468</v>
      </c>
      <c r="C2951">
        <v>30.52</v>
      </c>
      <c r="D2951">
        <f t="shared" si="95"/>
        <v>-0.84858857964974943</v>
      </c>
      <c r="E2951">
        <v>-2.6143790849673804E-3</v>
      </c>
      <c r="G2951">
        <v>2949</v>
      </c>
      <c r="H2951">
        <f t="shared" ca="1" si="96"/>
        <v>1.2906698159380536E-2</v>
      </c>
    </row>
    <row r="2952" spans="2:8" x14ac:dyDescent="0.3">
      <c r="B2952" s="113">
        <v>41312</v>
      </c>
      <c r="C2952">
        <v>201.57</v>
      </c>
      <c r="D2952">
        <f t="shared" si="95"/>
        <v>0.77500880591757648</v>
      </c>
      <c r="E2952">
        <v>-2.6224641266699711E-3</v>
      </c>
      <c r="G2952">
        <v>2950</v>
      </c>
      <c r="H2952">
        <f t="shared" ca="1" si="96"/>
        <v>7.2045603693535699E-3</v>
      </c>
    </row>
    <row r="2953" spans="2:8" x14ac:dyDescent="0.3">
      <c r="B2953" s="113">
        <v>40612</v>
      </c>
      <c r="C2953">
        <v>113.56</v>
      </c>
      <c r="D2953">
        <f t="shared" si="95"/>
        <v>-0.4540384615384615</v>
      </c>
      <c r="E2953">
        <v>-2.6348146847004843E-3</v>
      </c>
      <c r="G2953">
        <v>2951</v>
      </c>
      <c r="H2953">
        <f t="shared" ca="1" si="96"/>
        <v>2.0745294002446169E-2</v>
      </c>
    </row>
    <row r="2954" spans="2:8" x14ac:dyDescent="0.3">
      <c r="B2954" s="113">
        <v>44263</v>
      </c>
      <c r="C2954">
        <v>208</v>
      </c>
      <c r="D2954">
        <f t="shared" si="95"/>
        <v>0.53868915520047334</v>
      </c>
      <c r="E2954">
        <v>-2.6372572524574985E-3</v>
      </c>
      <c r="G2954">
        <v>2952</v>
      </c>
      <c r="H2954">
        <f t="shared" ca="1" si="96"/>
        <v>-1.2743404183232044E-2</v>
      </c>
    </row>
    <row r="2955" spans="2:8" x14ac:dyDescent="0.3">
      <c r="B2955" s="113">
        <v>40948</v>
      </c>
      <c r="C2955">
        <v>135.18</v>
      </c>
      <c r="D2955">
        <f t="shared" si="95"/>
        <v>-0.54917458729364688</v>
      </c>
      <c r="E2955">
        <v>-2.6560424966798378E-3</v>
      </c>
      <c r="G2955">
        <v>2953</v>
      </c>
      <c r="H2955">
        <f t="shared" ca="1" si="96"/>
        <v>-2.1114023071465166E-2</v>
      </c>
    </row>
    <row r="2956" spans="2:8" x14ac:dyDescent="0.3">
      <c r="B2956" s="113">
        <v>43594</v>
      </c>
      <c r="C2956">
        <v>299.85000000000002</v>
      </c>
      <c r="D2956">
        <f t="shared" si="95"/>
        <v>4.3354092526690398</v>
      </c>
      <c r="E2956">
        <v>-2.6609013803424401E-3</v>
      </c>
      <c r="G2956">
        <v>2954</v>
      </c>
      <c r="H2956">
        <f t="shared" ca="1" si="96"/>
        <v>1.2936101753516522E-2</v>
      </c>
    </row>
    <row r="2957" spans="2:8" x14ac:dyDescent="0.3">
      <c r="B2957" s="113">
        <v>39766</v>
      </c>
      <c r="C2957">
        <v>56.2</v>
      </c>
      <c r="D2957">
        <f t="shared" si="95"/>
        <v>-0.7268529769137303</v>
      </c>
      <c r="E2957">
        <v>-2.6619343389529472E-3</v>
      </c>
      <c r="G2957">
        <v>2955</v>
      </c>
      <c r="H2957">
        <f t="shared" ca="1" si="96"/>
        <v>-3.1987285681297044E-2</v>
      </c>
    </row>
    <row r="2958" spans="2:8" x14ac:dyDescent="0.3">
      <c r="B2958" s="113">
        <v>44432</v>
      </c>
      <c r="C2958">
        <v>205.75</v>
      </c>
      <c r="D2958">
        <f t="shared" si="95"/>
        <v>1.9478938397857594E-3</v>
      </c>
      <c r="E2958">
        <v>-2.6660203587009759E-3</v>
      </c>
      <c r="G2958">
        <v>2956</v>
      </c>
      <c r="H2958">
        <f t="shared" ca="1" si="96"/>
        <v>-6.2756100654178804E-3</v>
      </c>
    </row>
    <row r="2959" spans="2:8" x14ac:dyDescent="0.3">
      <c r="B2959" s="113">
        <v>44309</v>
      </c>
      <c r="C2959">
        <v>205.35</v>
      </c>
      <c r="D2959">
        <f t="shared" si="95"/>
        <v>-3.2326469063663418E-2</v>
      </c>
      <c r="E2959">
        <v>-2.6711996114619297E-3</v>
      </c>
      <c r="G2959">
        <v>2957</v>
      </c>
      <c r="H2959">
        <f t="shared" ca="1" si="96"/>
        <v>-1.4996982717350138E-2</v>
      </c>
    </row>
    <row r="2960" spans="2:8" x14ac:dyDescent="0.3">
      <c r="B2960" s="113">
        <v>42227</v>
      </c>
      <c r="C2960">
        <v>212.21</v>
      </c>
      <c r="D2960">
        <f t="shared" si="95"/>
        <v>1.2006636938712019</v>
      </c>
      <c r="E2960">
        <v>-2.6788231976689219E-3</v>
      </c>
      <c r="G2960">
        <v>2958</v>
      </c>
      <c r="H2960">
        <f t="shared" ca="1" si="96"/>
        <v>-9.3904657886707699E-3</v>
      </c>
    </row>
    <row r="2961" spans="2:8" x14ac:dyDescent="0.3">
      <c r="B2961" s="113">
        <v>40345</v>
      </c>
      <c r="C2961">
        <v>96.43</v>
      </c>
      <c r="D2961">
        <f t="shared" si="95"/>
        <v>0.53112099079072739</v>
      </c>
      <c r="E2961">
        <v>-2.6890061019752914E-3</v>
      </c>
      <c r="G2961">
        <v>2959</v>
      </c>
      <c r="H2961">
        <f t="shared" ca="1" si="96"/>
        <v>-1.65495123520863E-2</v>
      </c>
    </row>
    <row r="2962" spans="2:8" x14ac:dyDescent="0.3">
      <c r="B2962" s="113">
        <v>39926</v>
      </c>
      <c r="C2962">
        <v>62.98</v>
      </c>
      <c r="D2962">
        <f t="shared" si="95"/>
        <v>-0.60292541453880599</v>
      </c>
      <c r="E2962">
        <v>-2.6920031670625766E-3</v>
      </c>
      <c r="G2962">
        <v>2960</v>
      </c>
      <c r="H2962">
        <f t="shared" ca="1" si="96"/>
        <v>-2.3098862203085251E-2</v>
      </c>
    </row>
    <row r="2963" spans="2:8" x14ac:dyDescent="0.3">
      <c r="B2963" s="113">
        <v>41039</v>
      </c>
      <c r="C2963">
        <v>158.61000000000001</v>
      </c>
      <c r="D2963">
        <f t="shared" si="95"/>
        <v>9.7532203389830521</v>
      </c>
      <c r="E2963">
        <v>-2.7037223340038883E-3</v>
      </c>
      <c r="G2963">
        <v>2961</v>
      </c>
      <c r="H2963">
        <f t="shared" ca="1" si="96"/>
        <v>-7.2233219999036924E-3</v>
      </c>
    </row>
    <row r="2964" spans="2:8" x14ac:dyDescent="0.3">
      <c r="B2964" s="113">
        <v>37613</v>
      </c>
      <c r="C2964">
        <v>14.75</v>
      </c>
      <c r="D2964">
        <f t="shared" si="95"/>
        <v>-0.94655797101449279</v>
      </c>
      <c r="E2964">
        <v>-2.7045300878971706E-3</v>
      </c>
      <c r="G2964">
        <v>2962</v>
      </c>
      <c r="H2964">
        <f t="shared" ca="1" si="96"/>
        <v>-2.6836356013611389E-2</v>
      </c>
    </row>
    <row r="2965" spans="2:8" x14ac:dyDescent="0.3">
      <c r="B2965" s="113">
        <v>43458</v>
      </c>
      <c r="C2965">
        <v>276</v>
      </c>
      <c r="D2965">
        <f t="shared" si="95"/>
        <v>2.5426807119505578E-3</v>
      </c>
      <c r="E2965">
        <v>-2.7100271002710027E-3</v>
      </c>
      <c r="G2965">
        <v>2963</v>
      </c>
      <c r="H2965">
        <f t="shared" ca="1" si="96"/>
        <v>3.647074956308189E-2</v>
      </c>
    </row>
    <row r="2966" spans="2:8" x14ac:dyDescent="0.3">
      <c r="B2966" s="113">
        <v>43447</v>
      </c>
      <c r="C2966">
        <v>275.3</v>
      </c>
      <c r="D2966">
        <f t="shared" si="95"/>
        <v>3.1712121212121214</v>
      </c>
      <c r="E2966">
        <v>-2.7168991124796233E-3</v>
      </c>
      <c r="G2966">
        <v>2964</v>
      </c>
      <c r="H2966">
        <f t="shared" ca="1" si="96"/>
        <v>3.7837537294804234E-2</v>
      </c>
    </row>
    <row r="2967" spans="2:8" x14ac:dyDescent="0.3">
      <c r="B2967" s="113">
        <v>38817</v>
      </c>
      <c r="C2967">
        <v>66</v>
      </c>
      <c r="D2967">
        <f t="shared" si="95"/>
        <v>3.5051194539249146</v>
      </c>
      <c r="E2967">
        <v>-2.7198549410699124E-3</v>
      </c>
      <c r="G2967">
        <v>2965</v>
      </c>
      <c r="H2967">
        <f t="shared" ca="1" si="96"/>
        <v>-1.4993311628621804E-2</v>
      </c>
    </row>
    <row r="2968" spans="2:8" x14ac:dyDescent="0.3">
      <c r="B2968" s="113">
        <v>37735</v>
      </c>
      <c r="C2968">
        <v>14.65</v>
      </c>
      <c r="D2968">
        <f t="shared" si="95"/>
        <v>-0.94659132336857466</v>
      </c>
      <c r="E2968">
        <v>-2.7229407760380633E-3</v>
      </c>
      <c r="G2968">
        <v>2966</v>
      </c>
      <c r="H2968">
        <f t="shared" ca="1" si="96"/>
        <v>1.5092321411239895E-2</v>
      </c>
    </row>
    <row r="2969" spans="2:8" x14ac:dyDescent="0.3">
      <c r="B2969" s="113">
        <v>43518</v>
      </c>
      <c r="C2969">
        <v>274.3</v>
      </c>
      <c r="D2969">
        <f t="shared" si="95"/>
        <v>17.826355525051476</v>
      </c>
      <c r="E2969">
        <v>-2.7267769496455187E-3</v>
      </c>
      <c r="G2969">
        <v>2967</v>
      </c>
      <c r="H2969">
        <f t="shared" ca="1" si="96"/>
        <v>-3.3915406444940809E-2</v>
      </c>
    </row>
    <row r="2970" spans="2:8" x14ac:dyDescent="0.3">
      <c r="B2970" s="113">
        <v>37622</v>
      </c>
      <c r="C2970">
        <v>14.57</v>
      </c>
      <c r="D2970">
        <f t="shared" si="95"/>
        <v>-0.7330524001465738</v>
      </c>
      <c r="E2970">
        <v>-2.7378507871320431E-3</v>
      </c>
      <c r="G2970">
        <v>2968</v>
      </c>
      <c r="H2970">
        <f t="shared" ca="1" si="96"/>
        <v>1.2848578392812195E-2</v>
      </c>
    </row>
    <row r="2971" spans="2:8" x14ac:dyDescent="0.3">
      <c r="B2971" s="113">
        <v>39772</v>
      </c>
      <c r="C2971">
        <v>54.58</v>
      </c>
      <c r="D2971">
        <f t="shared" si="95"/>
        <v>-0.76133630679085229</v>
      </c>
      <c r="E2971">
        <v>-2.7407272062853752E-3</v>
      </c>
      <c r="G2971">
        <v>2969</v>
      </c>
      <c r="H2971">
        <f t="shared" ca="1" si="96"/>
        <v>4.4211266342178E-2</v>
      </c>
    </row>
    <row r="2972" spans="2:8" x14ac:dyDescent="0.3">
      <c r="B2972" s="113">
        <v>41834</v>
      </c>
      <c r="C2972">
        <v>228.69</v>
      </c>
      <c r="D2972">
        <f t="shared" si="95"/>
        <v>-0.21032458563535919</v>
      </c>
      <c r="E2972">
        <v>-2.7472527472527275E-3</v>
      </c>
      <c r="G2972">
        <v>2970</v>
      </c>
      <c r="H2972">
        <f t="shared" ca="1" si="96"/>
        <v>-3.3557071177209177E-4</v>
      </c>
    </row>
    <row r="2973" spans="2:8" x14ac:dyDescent="0.3">
      <c r="B2973" s="113">
        <v>43475</v>
      </c>
      <c r="C2973">
        <v>289.60000000000002</v>
      </c>
      <c r="D2973">
        <f t="shared" si="95"/>
        <v>0.27414316511945108</v>
      </c>
      <c r="E2973">
        <v>-2.754820936638962E-3</v>
      </c>
      <c r="G2973">
        <v>2971</v>
      </c>
      <c r="H2973">
        <f t="shared" ca="1" si="96"/>
        <v>7.3840762031386654E-3</v>
      </c>
    </row>
    <row r="2974" spans="2:8" x14ac:dyDescent="0.3">
      <c r="B2974" s="113">
        <v>41787</v>
      </c>
      <c r="C2974">
        <v>227.29</v>
      </c>
      <c r="D2974">
        <f t="shared" si="95"/>
        <v>-0.21107254425546695</v>
      </c>
      <c r="E2974">
        <v>-2.7641277641277445E-3</v>
      </c>
      <c r="G2974">
        <v>2972</v>
      </c>
      <c r="H2974">
        <f t="shared" ca="1" si="96"/>
        <v>-4.9023195483474658E-4</v>
      </c>
    </row>
    <row r="2975" spans="2:8" x14ac:dyDescent="0.3">
      <c r="B2975" s="113">
        <v>43614</v>
      </c>
      <c r="C2975">
        <v>288.10000000000002</v>
      </c>
      <c r="D2975">
        <f t="shared" si="95"/>
        <v>0.60011108025548465</v>
      </c>
      <c r="E2975">
        <v>-2.76912426445121E-3</v>
      </c>
      <c r="G2975">
        <v>2973</v>
      </c>
      <c r="H2975">
        <f t="shared" ca="1" si="96"/>
        <v>1.379407271251281E-2</v>
      </c>
    </row>
    <row r="2976" spans="2:8" x14ac:dyDescent="0.3">
      <c r="B2976" s="113">
        <v>43945</v>
      </c>
      <c r="C2976">
        <v>180.05</v>
      </c>
      <c r="D2976">
        <f t="shared" si="95"/>
        <v>-0.15010620722209103</v>
      </c>
      <c r="E2976">
        <v>-2.7693159789531985E-3</v>
      </c>
      <c r="G2976">
        <v>2974</v>
      </c>
      <c r="H2976">
        <f t="shared" ca="1" si="96"/>
        <v>1.581301731408424E-2</v>
      </c>
    </row>
    <row r="2977" spans="2:8" x14ac:dyDescent="0.3">
      <c r="B2977" s="113">
        <v>41586</v>
      </c>
      <c r="C2977">
        <v>211.85</v>
      </c>
      <c r="D2977">
        <f t="shared" si="95"/>
        <v>13.773361227336123</v>
      </c>
      <c r="E2977">
        <v>-2.7772547542835786E-3</v>
      </c>
      <c r="G2977">
        <v>2975</v>
      </c>
      <c r="H2977">
        <f t="shared" ca="1" si="96"/>
        <v>-2.9914970166074755E-3</v>
      </c>
    </row>
    <row r="2978" spans="2:8" x14ac:dyDescent="0.3">
      <c r="B2978" s="113">
        <v>37683</v>
      </c>
      <c r="C2978">
        <v>14.34</v>
      </c>
      <c r="D2978">
        <f t="shared" si="95"/>
        <v>0</v>
      </c>
      <c r="E2978">
        <v>-2.7816411682893547E-3</v>
      </c>
      <c r="G2978">
        <v>2976</v>
      </c>
      <c r="H2978">
        <f t="shared" ca="1" si="96"/>
        <v>5.6835205874312105E-3</v>
      </c>
    </row>
    <row r="2979" spans="2:8" x14ac:dyDescent="0.3">
      <c r="B2979" s="113">
        <v>37547</v>
      </c>
      <c r="C2979">
        <v>14.34</v>
      </c>
      <c r="D2979">
        <f t="shared" si="95"/>
        <v>-0.92709710218607011</v>
      </c>
      <c r="E2979">
        <v>-2.7816411682893547E-3</v>
      </c>
      <c r="G2979">
        <v>2977</v>
      </c>
      <c r="H2979">
        <f t="shared" ca="1" si="96"/>
        <v>-9.4616291306332725E-3</v>
      </c>
    </row>
    <row r="2980" spans="2:8" x14ac:dyDescent="0.3">
      <c r="B2980" s="113">
        <v>43985</v>
      </c>
      <c r="C2980">
        <v>196.7</v>
      </c>
      <c r="D2980">
        <f t="shared" si="95"/>
        <v>0.48688487414014664</v>
      </c>
      <c r="E2980">
        <v>-2.7883396704690058E-3</v>
      </c>
      <c r="G2980">
        <v>2978</v>
      </c>
      <c r="H2980">
        <f t="shared" ca="1" si="96"/>
        <v>4.5202090297113955E-3</v>
      </c>
    </row>
    <row r="2981" spans="2:8" x14ac:dyDescent="0.3">
      <c r="B2981" s="113">
        <v>40827</v>
      </c>
      <c r="C2981">
        <v>132.29</v>
      </c>
      <c r="D2981">
        <f t="shared" si="95"/>
        <v>1.180844048796571</v>
      </c>
      <c r="E2981">
        <v>-2.7890848786371516E-3</v>
      </c>
      <c r="G2981">
        <v>2979</v>
      </c>
      <c r="H2981">
        <f t="shared" ca="1" si="96"/>
        <v>5.8045836127281871E-3</v>
      </c>
    </row>
    <row r="2982" spans="2:8" x14ac:dyDescent="0.3">
      <c r="B2982" s="113">
        <v>39680</v>
      </c>
      <c r="C2982">
        <v>60.66</v>
      </c>
      <c r="D2982">
        <f t="shared" si="95"/>
        <v>-0.78704581358609793</v>
      </c>
      <c r="E2982">
        <v>-2.7946736807496582E-3</v>
      </c>
      <c r="G2982">
        <v>2980</v>
      </c>
      <c r="H2982">
        <f t="shared" ca="1" si="96"/>
        <v>-1.3723020062490208E-2</v>
      </c>
    </row>
    <row r="2983" spans="2:8" x14ac:dyDescent="0.3">
      <c r="B2983" s="113">
        <v>43431</v>
      </c>
      <c r="C2983">
        <v>284.85000000000002</v>
      </c>
      <c r="D2983">
        <f t="shared" si="95"/>
        <v>0.4329191609235879</v>
      </c>
      <c r="E2983">
        <v>-2.8006301417817419E-3</v>
      </c>
      <c r="G2983">
        <v>2981</v>
      </c>
      <c r="H2983">
        <f t="shared" ca="1" si="96"/>
        <v>-1.7269446305524062E-2</v>
      </c>
    </row>
    <row r="2984" spans="2:8" x14ac:dyDescent="0.3">
      <c r="B2984" s="113">
        <v>41521</v>
      </c>
      <c r="C2984">
        <v>198.79</v>
      </c>
      <c r="D2984">
        <f t="shared" si="95"/>
        <v>1.0049420070600099</v>
      </c>
      <c r="E2984">
        <v>-2.809129671432166E-3</v>
      </c>
      <c r="G2984">
        <v>2982</v>
      </c>
      <c r="H2984">
        <f t="shared" ca="1" si="96"/>
        <v>-1.5122241877029615E-2</v>
      </c>
    </row>
    <row r="2985" spans="2:8" x14ac:dyDescent="0.3">
      <c r="B2985" s="113">
        <v>40372</v>
      </c>
      <c r="C2985">
        <v>99.15</v>
      </c>
      <c r="D2985">
        <f t="shared" si="95"/>
        <v>6.0021186440677976</v>
      </c>
      <c r="E2985">
        <v>-2.8160514935130355E-3</v>
      </c>
      <c r="G2985">
        <v>2983</v>
      </c>
      <c r="H2985">
        <f t="shared" ca="1" si="96"/>
        <v>2.3901374467402512E-2</v>
      </c>
    </row>
    <row r="2986" spans="2:8" x14ac:dyDescent="0.3">
      <c r="B2986" s="113">
        <v>37692</v>
      </c>
      <c r="C2986">
        <v>14.16</v>
      </c>
      <c r="D2986">
        <f t="shared" si="95"/>
        <v>-0.93327364403185531</v>
      </c>
      <c r="E2986">
        <v>-2.8169014084506445E-3</v>
      </c>
      <c r="G2986">
        <v>2984</v>
      </c>
      <c r="H2986">
        <f t="shared" ca="1" si="96"/>
        <v>-2.6753160328962244E-2</v>
      </c>
    </row>
    <row r="2987" spans="2:8" x14ac:dyDescent="0.3">
      <c r="B2987" s="113">
        <v>42352</v>
      </c>
      <c r="C2987">
        <v>212.21</v>
      </c>
      <c r="D2987">
        <f t="shared" si="95"/>
        <v>-0.24921280735892437</v>
      </c>
      <c r="E2987">
        <v>-2.8194163808091459E-3</v>
      </c>
      <c r="G2987">
        <v>2985</v>
      </c>
      <c r="H2987">
        <f t="shared" ca="1" si="96"/>
        <v>2.5010146254288046E-2</v>
      </c>
    </row>
    <row r="2988" spans="2:8" x14ac:dyDescent="0.3">
      <c r="B2988" s="113">
        <v>43454</v>
      </c>
      <c r="C2988">
        <v>282.64999999999998</v>
      </c>
      <c r="D2988">
        <f t="shared" si="95"/>
        <v>4.0097483161999286</v>
      </c>
      <c r="E2988">
        <v>-2.8223672605398181E-3</v>
      </c>
      <c r="G2988">
        <v>2986</v>
      </c>
      <c r="H2988">
        <f t="shared" ca="1" si="96"/>
        <v>-1.2046134042450484E-2</v>
      </c>
    </row>
    <row r="2989" spans="2:8" x14ac:dyDescent="0.3">
      <c r="B2989" s="113">
        <v>39394</v>
      </c>
      <c r="C2989">
        <v>56.42</v>
      </c>
      <c r="D2989">
        <f t="shared" si="95"/>
        <v>-0.72867173223045101</v>
      </c>
      <c r="E2989">
        <v>-2.8278543655001166E-3</v>
      </c>
      <c r="G2989">
        <v>2987</v>
      </c>
      <c r="H2989">
        <f t="shared" ca="1" si="96"/>
        <v>1.1351960580841945E-2</v>
      </c>
    </row>
    <row r="2990" spans="2:8" x14ac:dyDescent="0.3">
      <c r="B2990" s="113">
        <v>42179</v>
      </c>
      <c r="C2990">
        <v>207.94</v>
      </c>
      <c r="D2990">
        <f t="shared" si="95"/>
        <v>-1.4035087719298282E-2</v>
      </c>
      <c r="E2990">
        <v>-2.8293291133170452E-3</v>
      </c>
      <c r="G2990">
        <v>2988</v>
      </c>
      <c r="H2990">
        <f t="shared" ca="1" si="96"/>
        <v>-2.1380292062554339E-2</v>
      </c>
    </row>
    <row r="2991" spans="2:8" x14ac:dyDescent="0.3">
      <c r="B2991" s="113">
        <v>44341</v>
      </c>
      <c r="C2991">
        <v>210.9</v>
      </c>
      <c r="D2991">
        <f t="shared" si="95"/>
        <v>2.5338471849865951</v>
      </c>
      <c r="E2991">
        <v>-2.8368794326240868E-3</v>
      </c>
      <c r="G2991">
        <v>2989</v>
      </c>
      <c r="H2991">
        <f t="shared" ca="1" si="96"/>
        <v>-1.1827920908016916E-2</v>
      </c>
    </row>
    <row r="2992" spans="2:8" x14ac:dyDescent="0.3">
      <c r="B2992" s="113">
        <v>39862</v>
      </c>
      <c r="C2992">
        <v>59.68</v>
      </c>
      <c r="D2992">
        <f t="shared" si="95"/>
        <v>-0.7143540898865649</v>
      </c>
      <c r="E2992">
        <v>-2.8404344193818164E-3</v>
      </c>
      <c r="G2992">
        <v>2990</v>
      </c>
      <c r="H2992">
        <f t="shared" ca="1" si="96"/>
        <v>1.0903500701232145E-2</v>
      </c>
    </row>
    <row r="2993" spans="2:8" x14ac:dyDescent="0.3">
      <c r="B2993" s="113">
        <v>42381</v>
      </c>
      <c r="C2993">
        <v>208.93</v>
      </c>
      <c r="D2993">
        <f t="shared" si="95"/>
        <v>1.4014942528735632</v>
      </c>
      <c r="E2993">
        <v>-2.8635517586980113E-3</v>
      </c>
      <c r="G2993">
        <v>2991</v>
      </c>
      <c r="H2993">
        <f t="shared" ca="1" si="96"/>
        <v>2.3909863211539924E-2</v>
      </c>
    </row>
    <row r="2994" spans="2:8" x14ac:dyDescent="0.3">
      <c r="B2994" s="113">
        <v>40289</v>
      </c>
      <c r="C2994">
        <v>87</v>
      </c>
      <c r="D2994">
        <f t="shared" si="95"/>
        <v>-0.37270170884706899</v>
      </c>
      <c r="E2994">
        <v>-2.8653295128939827E-3</v>
      </c>
      <c r="G2994">
        <v>2992</v>
      </c>
      <c r="H2994">
        <f t="shared" ca="1" si="96"/>
        <v>1.1642472602071626E-2</v>
      </c>
    </row>
    <row r="2995" spans="2:8" x14ac:dyDescent="0.3">
      <c r="B2995" s="113">
        <v>40927</v>
      </c>
      <c r="C2995">
        <v>138.69</v>
      </c>
      <c r="D2995">
        <f t="shared" si="95"/>
        <v>-0.55548076923076928</v>
      </c>
      <c r="E2995">
        <v>-2.8758357897764445E-3</v>
      </c>
      <c r="G2995">
        <v>2993</v>
      </c>
      <c r="H2995">
        <f t="shared" ca="1" si="96"/>
        <v>1.6629638602306287E-2</v>
      </c>
    </row>
    <row r="2996" spans="2:8" x14ac:dyDescent="0.3">
      <c r="B2996" s="113">
        <v>43335</v>
      </c>
      <c r="C2996">
        <v>312</v>
      </c>
      <c r="D2996">
        <f t="shared" si="95"/>
        <v>0.50506512301013018</v>
      </c>
      <c r="E2996">
        <v>-2.8763183125598509E-3</v>
      </c>
      <c r="G2996">
        <v>2994</v>
      </c>
      <c r="H2996">
        <f t="shared" ca="1" si="96"/>
        <v>-1.2446204899220195E-2</v>
      </c>
    </row>
    <row r="2997" spans="2:8" x14ac:dyDescent="0.3">
      <c r="B2997" s="113">
        <v>44361</v>
      </c>
      <c r="C2997">
        <v>207.3</v>
      </c>
      <c r="D2997">
        <f t="shared" si="95"/>
        <v>1.0707222055738688</v>
      </c>
      <c r="E2997">
        <v>-2.8860028860028587E-3</v>
      </c>
      <c r="G2997">
        <v>2995</v>
      </c>
      <c r="H2997">
        <f t="shared" ca="1" si="96"/>
        <v>-3.0560309223997082E-3</v>
      </c>
    </row>
    <row r="2998" spans="2:8" x14ac:dyDescent="0.3">
      <c r="B2998" s="113">
        <v>40366</v>
      </c>
      <c r="C2998">
        <v>100.11</v>
      </c>
      <c r="D2998">
        <f t="shared" si="95"/>
        <v>-0.61242740998838552</v>
      </c>
      <c r="E2998">
        <v>-2.8884462151395045E-3</v>
      </c>
      <c r="G2998">
        <v>2996</v>
      </c>
      <c r="H2998">
        <f t="shared" ca="1" si="96"/>
        <v>-1.465382658002112E-2</v>
      </c>
    </row>
    <row r="2999" spans="2:8" x14ac:dyDescent="0.3">
      <c r="B2999" s="113">
        <v>43181</v>
      </c>
      <c r="C2999">
        <v>258.3</v>
      </c>
      <c r="D2999">
        <f t="shared" si="95"/>
        <v>1.2731672973686528</v>
      </c>
      <c r="E2999">
        <v>-2.8951939779965257E-3</v>
      </c>
      <c r="G2999">
        <v>2997</v>
      </c>
      <c r="H2999">
        <f t="shared" ca="1" si="96"/>
        <v>-5.9953240025479287E-3</v>
      </c>
    </row>
    <row r="3000" spans="2:8" x14ac:dyDescent="0.3">
      <c r="B3000" s="113">
        <v>40513</v>
      </c>
      <c r="C3000">
        <v>113.63</v>
      </c>
      <c r="D3000">
        <f t="shared" si="95"/>
        <v>-0.52840838348205021</v>
      </c>
      <c r="E3000">
        <v>-2.8957528957528809E-3</v>
      </c>
      <c r="G3000">
        <v>2998</v>
      </c>
      <c r="H3000">
        <f t="shared" ca="1" si="96"/>
        <v>8.6186568324425755E-3</v>
      </c>
    </row>
    <row r="3001" spans="2:8" x14ac:dyDescent="0.3">
      <c r="B3001" s="113">
        <v>42737</v>
      </c>
      <c r="C3001">
        <v>240.95</v>
      </c>
      <c r="D3001">
        <f t="shared" si="95"/>
        <v>-0.123977458643883</v>
      </c>
      <c r="E3001">
        <v>-2.8967515001035258E-3</v>
      </c>
      <c r="G3001">
        <v>2999</v>
      </c>
      <c r="H3001">
        <f t="shared" ca="1" si="96"/>
        <v>-8.1311311148248421E-3</v>
      </c>
    </row>
    <row r="3002" spans="2:8" x14ac:dyDescent="0.3">
      <c r="B3002" s="113">
        <v>43517</v>
      </c>
      <c r="C3002">
        <v>275.05</v>
      </c>
      <c r="D3002">
        <f t="shared" si="95"/>
        <v>1.4276257722859664</v>
      </c>
      <c r="E3002">
        <v>-2.9001268805510651E-3</v>
      </c>
      <c r="G3002">
        <v>3000</v>
      </c>
      <c r="H3002">
        <f t="shared" ca="1" si="96"/>
        <v>-2.7883835860915425E-2</v>
      </c>
    </row>
    <row r="3003" spans="2:8" x14ac:dyDescent="0.3">
      <c r="B3003" s="113">
        <v>40514</v>
      </c>
      <c r="C3003">
        <v>113.3</v>
      </c>
      <c r="D3003">
        <f t="shared" si="95"/>
        <v>3.7228011671529808</v>
      </c>
      <c r="E3003">
        <v>-2.9041626331074389E-3</v>
      </c>
      <c r="G3003">
        <v>3001</v>
      </c>
      <c r="H3003">
        <f t="shared" ca="1" si="96"/>
        <v>7.436801707773953E-4</v>
      </c>
    </row>
    <row r="3004" spans="2:8" x14ac:dyDescent="0.3">
      <c r="B3004" s="113">
        <v>38287</v>
      </c>
      <c r="C3004">
        <v>23.99</v>
      </c>
      <c r="D3004">
        <f t="shared" si="95"/>
        <v>-0.53244981485090626</v>
      </c>
      <c r="E3004">
        <v>-2.9093931837074101E-3</v>
      </c>
      <c r="G3004">
        <v>3002</v>
      </c>
      <c r="H3004">
        <f t="shared" ca="1" si="96"/>
        <v>-1.0945282586212766E-2</v>
      </c>
    </row>
    <row r="3005" spans="2:8" x14ac:dyDescent="0.3">
      <c r="B3005" s="113">
        <v>38748</v>
      </c>
      <c r="C3005">
        <v>51.31</v>
      </c>
      <c r="D3005">
        <f t="shared" si="95"/>
        <v>-0.54500310366232152</v>
      </c>
      <c r="E3005">
        <v>-2.914885347842957E-3</v>
      </c>
      <c r="G3005">
        <v>3003</v>
      </c>
      <c r="H3005">
        <f t="shared" ca="1" si="96"/>
        <v>-1.1667213280016566E-2</v>
      </c>
    </row>
    <row r="3006" spans="2:8" x14ac:dyDescent="0.3">
      <c r="B3006" s="113">
        <v>40554</v>
      </c>
      <c r="C3006">
        <v>112.77</v>
      </c>
      <c r="D3006">
        <f t="shared" si="95"/>
        <v>-0.40967387321363141</v>
      </c>
      <c r="E3006">
        <v>-2.9177718832891098E-3</v>
      </c>
      <c r="G3006">
        <v>3004</v>
      </c>
      <c r="H3006">
        <f t="shared" ca="1" si="96"/>
        <v>-2.6391958444744072E-2</v>
      </c>
    </row>
    <row r="3007" spans="2:8" x14ac:dyDescent="0.3">
      <c r="B3007" s="113">
        <v>41222</v>
      </c>
      <c r="C3007">
        <v>191.03</v>
      </c>
      <c r="D3007">
        <f t="shared" si="95"/>
        <v>10.250294464075383</v>
      </c>
      <c r="E3007">
        <v>-2.9229082937522952E-3</v>
      </c>
      <c r="G3007">
        <v>3005</v>
      </c>
      <c r="H3007">
        <f t="shared" ca="1" si="96"/>
        <v>-1.7640476204098685E-2</v>
      </c>
    </row>
    <row r="3008" spans="2:8" x14ac:dyDescent="0.3">
      <c r="B3008" s="113">
        <v>37852</v>
      </c>
      <c r="C3008">
        <v>16.98</v>
      </c>
      <c r="D3008">
        <f t="shared" si="95"/>
        <v>-0.93735010884403946</v>
      </c>
      <c r="E3008">
        <v>-2.9359953024075576E-3</v>
      </c>
      <c r="G3008">
        <v>3006</v>
      </c>
      <c r="H3008">
        <f t="shared" ca="1" si="96"/>
        <v>-6.0299263101091915E-3</v>
      </c>
    </row>
    <row r="3009" spans="2:8" x14ac:dyDescent="0.3">
      <c r="B3009" s="113">
        <v>44715</v>
      </c>
      <c r="C3009">
        <v>271.02999999999997</v>
      </c>
      <c r="D3009">
        <f t="shared" si="95"/>
        <v>0.3370991613221509</v>
      </c>
      <c r="E3009">
        <v>-2.9430158554979635E-3</v>
      </c>
      <c r="G3009">
        <v>3007</v>
      </c>
      <c r="H3009">
        <f t="shared" ca="1" si="96"/>
        <v>7.0841099824940504E-5</v>
      </c>
    </row>
    <row r="3010" spans="2:8" x14ac:dyDescent="0.3">
      <c r="B3010" s="113">
        <v>44377</v>
      </c>
      <c r="C3010">
        <v>202.7</v>
      </c>
      <c r="D3010">
        <f t="shared" si="95"/>
        <v>5.6699572227706483</v>
      </c>
      <c r="E3010">
        <v>-2.951303492375911E-3</v>
      </c>
      <c r="G3010">
        <v>3008</v>
      </c>
      <c r="H3010">
        <f t="shared" ca="1" si="96"/>
        <v>3.3697083275772519E-2</v>
      </c>
    </row>
    <row r="3011" spans="2:8" x14ac:dyDescent="0.3">
      <c r="B3011" s="113">
        <v>38461</v>
      </c>
      <c r="C3011">
        <v>30.39</v>
      </c>
      <c r="D3011">
        <f t="shared" ref="D3011:D3074" si="97">(C3011-C3012)/C3012</f>
        <v>-0.84985177865612638</v>
      </c>
      <c r="E3011">
        <v>-2.9527559055118062E-3</v>
      </c>
      <c r="G3011">
        <v>3009</v>
      </c>
      <c r="H3011">
        <f t="shared" ca="1" si="96"/>
        <v>-2.0859166155883738E-2</v>
      </c>
    </row>
    <row r="3012" spans="2:8" x14ac:dyDescent="0.3">
      <c r="B3012" s="113">
        <v>44379</v>
      </c>
      <c r="C3012">
        <v>202.4</v>
      </c>
      <c r="D3012">
        <f t="shared" si="97"/>
        <v>2.4764735017335313E-3</v>
      </c>
      <c r="E3012">
        <v>-2.9556650246305139E-3</v>
      </c>
      <c r="G3012">
        <v>3010</v>
      </c>
      <c r="H3012">
        <f t="shared" ref="H3012:H3075" ca="1" si="98">_xlfn.NORM.INV(RAND(),$L$4,$L$6)</f>
        <v>3.4793583380814855E-2</v>
      </c>
    </row>
    <row r="3013" spans="2:8" x14ac:dyDescent="0.3">
      <c r="B3013" s="113">
        <v>42419</v>
      </c>
      <c r="C3013">
        <v>201.9</v>
      </c>
      <c r="D3013">
        <f t="shared" si="97"/>
        <v>-4.5028852521048067E-2</v>
      </c>
      <c r="E3013">
        <v>-2.9629629629629351E-3</v>
      </c>
      <c r="G3013">
        <v>3011</v>
      </c>
      <c r="H3013">
        <f t="shared" ca="1" si="98"/>
        <v>7.6104487130373129E-3</v>
      </c>
    </row>
    <row r="3014" spans="2:8" x14ac:dyDescent="0.3">
      <c r="B3014" s="113">
        <v>41390</v>
      </c>
      <c r="C3014">
        <v>211.42</v>
      </c>
      <c r="D3014">
        <f t="shared" si="97"/>
        <v>0.91070944419340238</v>
      </c>
      <c r="E3014">
        <v>-2.9709974062722181E-3</v>
      </c>
      <c r="G3014">
        <v>3012</v>
      </c>
      <c r="H3014">
        <f t="shared" ca="1" si="98"/>
        <v>4.5464387598718146E-3</v>
      </c>
    </row>
    <row r="3015" spans="2:8" x14ac:dyDescent="0.3">
      <c r="B3015" s="113">
        <v>40535</v>
      </c>
      <c r="C3015">
        <v>110.65</v>
      </c>
      <c r="D3015">
        <f t="shared" si="97"/>
        <v>1.2019900497512439</v>
      </c>
      <c r="E3015">
        <v>-2.9735087403135545E-3</v>
      </c>
      <c r="G3015">
        <v>3013</v>
      </c>
      <c r="H3015">
        <f t="shared" ca="1" si="98"/>
        <v>2.3392980457966336E-2</v>
      </c>
    </row>
    <row r="3016" spans="2:8" x14ac:dyDescent="0.3">
      <c r="B3016" s="113">
        <v>39247</v>
      </c>
      <c r="C3016">
        <v>50.25</v>
      </c>
      <c r="D3016">
        <f t="shared" si="97"/>
        <v>-0.24707821396463883</v>
      </c>
      <c r="E3016">
        <v>-2.9761904761904483E-3</v>
      </c>
      <c r="G3016">
        <v>3014</v>
      </c>
      <c r="H3016">
        <f t="shared" ca="1" si="98"/>
        <v>-6.1133659286182734E-3</v>
      </c>
    </row>
    <row r="3017" spans="2:8" x14ac:dyDescent="0.3">
      <c r="B3017" s="113">
        <v>39499</v>
      </c>
      <c r="C3017">
        <v>66.739999999999995</v>
      </c>
      <c r="D3017">
        <f t="shared" si="97"/>
        <v>-0.79975997599759974</v>
      </c>
      <c r="E3017">
        <v>-2.9877502240813095E-3</v>
      </c>
      <c r="G3017">
        <v>3015</v>
      </c>
      <c r="H3017">
        <f t="shared" ca="1" si="98"/>
        <v>2.1169793638404533E-2</v>
      </c>
    </row>
    <row r="3018" spans="2:8" x14ac:dyDescent="0.3">
      <c r="B3018" s="113">
        <v>42926</v>
      </c>
      <c r="C3018">
        <v>333.3</v>
      </c>
      <c r="D3018">
        <f t="shared" si="97"/>
        <v>0.33400040024014416</v>
      </c>
      <c r="E3018">
        <v>-2.9913251570445705E-3</v>
      </c>
      <c r="G3018">
        <v>3016</v>
      </c>
      <c r="H3018">
        <f t="shared" ca="1" si="98"/>
        <v>1.1368665119448541E-2</v>
      </c>
    </row>
    <row r="3019" spans="2:8" x14ac:dyDescent="0.3">
      <c r="B3019" s="113">
        <v>42573</v>
      </c>
      <c r="C3019">
        <v>249.85</v>
      </c>
      <c r="D3019">
        <f t="shared" si="97"/>
        <v>-5.859080633006776E-2</v>
      </c>
      <c r="E3019">
        <v>-2.9928172386272946E-3</v>
      </c>
      <c r="G3019">
        <v>3017</v>
      </c>
      <c r="H3019">
        <f t="shared" ca="1" si="98"/>
        <v>2.0490146564586777E-2</v>
      </c>
    </row>
    <row r="3020" spans="2:8" x14ac:dyDescent="0.3">
      <c r="B3020" s="113">
        <v>43019</v>
      </c>
      <c r="C3020">
        <v>265.39999999999998</v>
      </c>
      <c r="D3020">
        <f t="shared" si="97"/>
        <v>6.8438003220611804E-2</v>
      </c>
      <c r="E3020">
        <v>-3.0052592036063537E-3</v>
      </c>
      <c r="G3020">
        <v>3018</v>
      </c>
      <c r="H3020">
        <f t="shared" ca="1" si="98"/>
        <v>1.9306792637708162E-3</v>
      </c>
    </row>
    <row r="3021" spans="2:8" x14ac:dyDescent="0.3">
      <c r="B3021" s="113">
        <v>42563</v>
      </c>
      <c r="C3021">
        <v>248.4</v>
      </c>
      <c r="D3021">
        <f t="shared" si="97"/>
        <v>7.4174855981023384</v>
      </c>
      <c r="E3021">
        <v>-3.0102347983142685E-3</v>
      </c>
      <c r="G3021">
        <v>3019</v>
      </c>
      <c r="H3021">
        <f t="shared" ca="1" si="98"/>
        <v>-1.0922605971857428E-2</v>
      </c>
    </row>
    <row r="3022" spans="2:8" x14ac:dyDescent="0.3">
      <c r="B3022" s="113">
        <v>38427</v>
      </c>
      <c r="C3022">
        <v>29.51</v>
      </c>
      <c r="D3022">
        <f t="shared" si="97"/>
        <v>0.2897727272727274</v>
      </c>
      <c r="E3022">
        <v>-3.0405405405405355E-3</v>
      </c>
      <c r="G3022">
        <v>3020</v>
      </c>
      <c r="H3022">
        <f t="shared" ca="1" si="98"/>
        <v>-1.034001621159924E-2</v>
      </c>
    </row>
    <row r="3023" spans="2:8" x14ac:dyDescent="0.3">
      <c r="B3023" s="113">
        <v>38236</v>
      </c>
      <c r="C3023">
        <v>22.88</v>
      </c>
      <c r="D3023">
        <f t="shared" si="97"/>
        <v>-0.893630869363087</v>
      </c>
      <c r="E3023">
        <v>-3.0501089324618861E-3</v>
      </c>
      <c r="G3023">
        <v>3021</v>
      </c>
      <c r="H3023">
        <f t="shared" ca="1" si="98"/>
        <v>2.3983044053941804E-3</v>
      </c>
    </row>
    <row r="3024" spans="2:8" x14ac:dyDescent="0.3">
      <c r="B3024" s="113">
        <v>41653</v>
      </c>
      <c r="C3024">
        <v>215.1</v>
      </c>
      <c r="D3024">
        <f t="shared" si="97"/>
        <v>-9.0140010997842746E-2</v>
      </c>
      <c r="E3024">
        <v>-3.058954393770841E-3</v>
      </c>
      <c r="G3024">
        <v>3022</v>
      </c>
      <c r="H3024">
        <f t="shared" ca="1" si="98"/>
        <v>-1.4775236324465767E-2</v>
      </c>
    </row>
    <row r="3025" spans="2:8" x14ac:dyDescent="0.3">
      <c r="B3025" s="113">
        <v>41720</v>
      </c>
      <c r="C3025">
        <v>236.41</v>
      </c>
      <c r="D3025">
        <f t="shared" si="97"/>
        <v>11.186082474226804</v>
      </c>
      <c r="E3025">
        <v>-3.0783503415703372E-3</v>
      </c>
      <c r="G3025">
        <v>3023</v>
      </c>
      <c r="H3025">
        <f t="shared" ca="1" si="98"/>
        <v>8.3984126377050529E-3</v>
      </c>
    </row>
    <row r="3026" spans="2:8" x14ac:dyDescent="0.3">
      <c r="B3026" s="113">
        <v>38138</v>
      </c>
      <c r="C3026">
        <v>19.399999999999999</v>
      </c>
      <c r="D3026">
        <f t="shared" si="97"/>
        <v>-0.92055692055692051</v>
      </c>
      <c r="E3026">
        <v>-3.0832476875643508E-3</v>
      </c>
      <c r="G3026">
        <v>3024</v>
      </c>
      <c r="H3026">
        <f t="shared" ca="1" si="98"/>
        <v>-1.8135039935119886E-2</v>
      </c>
    </row>
    <row r="3027" spans="2:8" x14ac:dyDescent="0.3">
      <c r="B3027" s="113">
        <v>41956</v>
      </c>
      <c r="C3027">
        <v>244.2</v>
      </c>
      <c r="D3027">
        <f t="shared" si="97"/>
        <v>0.10332986942574425</v>
      </c>
      <c r="E3027">
        <v>-3.1025473546702292E-3</v>
      </c>
      <c r="G3027">
        <v>3025</v>
      </c>
      <c r="H3027">
        <f t="shared" ca="1" si="98"/>
        <v>-1.5144100564713983E-2</v>
      </c>
    </row>
    <row r="3028" spans="2:8" x14ac:dyDescent="0.3">
      <c r="B3028" s="113">
        <v>41432</v>
      </c>
      <c r="C3028">
        <v>221.33</v>
      </c>
      <c r="D3028">
        <f t="shared" si="97"/>
        <v>9.7485991967075053E-2</v>
      </c>
      <c r="E3028">
        <v>-3.1078281235924587E-3</v>
      </c>
      <c r="G3028">
        <v>3026</v>
      </c>
      <c r="H3028">
        <f t="shared" ca="1" si="98"/>
        <v>-4.1982779589628323E-2</v>
      </c>
    </row>
    <row r="3029" spans="2:8" x14ac:dyDescent="0.3">
      <c r="B3029" s="113">
        <v>41304</v>
      </c>
      <c r="C3029">
        <v>201.67</v>
      </c>
      <c r="D3029">
        <f t="shared" si="97"/>
        <v>9.6086270384008401</v>
      </c>
      <c r="E3029">
        <v>-3.1141868512111906E-3</v>
      </c>
      <c r="G3029">
        <v>3027</v>
      </c>
      <c r="H3029">
        <f t="shared" ca="1" si="98"/>
        <v>-5.0459039252121656E-3</v>
      </c>
    </row>
    <row r="3030" spans="2:8" x14ac:dyDescent="0.3">
      <c r="B3030" s="113">
        <v>37924</v>
      </c>
      <c r="C3030">
        <v>19.010000000000002</v>
      </c>
      <c r="D3030">
        <f t="shared" si="97"/>
        <v>-0.7689034767809384</v>
      </c>
      <c r="E3030">
        <v>-3.1463030938646418E-3</v>
      </c>
      <c r="G3030">
        <v>3028</v>
      </c>
      <c r="H3030">
        <f t="shared" ca="1" si="98"/>
        <v>-5.0532299325816068E-3</v>
      </c>
    </row>
    <row r="3031" spans="2:8" x14ac:dyDescent="0.3">
      <c r="B3031" s="113">
        <v>40192</v>
      </c>
      <c r="C3031">
        <v>82.26</v>
      </c>
      <c r="D3031">
        <f t="shared" si="97"/>
        <v>-0.6935171385991058</v>
      </c>
      <c r="E3031">
        <v>-3.1507513330100694E-3</v>
      </c>
      <c r="G3031">
        <v>3029</v>
      </c>
      <c r="H3031">
        <f t="shared" ca="1" si="98"/>
        <v>4.2534177444986795E-3</v>
      </c>
    </row>
    <row r="3032" spans="2:8" x14ac:dyDescent="0.3">
      <c r="B3032" s="113">
        <v>43034</v>
      </c>
      <c r="C3032">
        <v>268.39999999999998</v>
      </c>
      <c r="D3032">
        <f t="shared" si="97"/>
        <v>7.9732882774157063E-2</v>
      </c>
      <c r="E3032">
        <v>-3.156917363045581E-3</v>
      </c>
      <c r="G3032">
        <v>3030</v>
      </c>
      <c r="H3032">
        <f t="shared" ca="1" si="98"/>
        <v>-2.173498353572478E-2</v>
      </c>
    </row>
    <row r="3033" spans="2:8" x14ac:dyDescent="0.3">
      <c r="B3033" s="113">
        <v>41967</v>
      </c>
      <c r="C3033">
        <v>248.58</v>
      </c>
      <c r="D3033">
        <f t="shared" si="97"/>
        <v>1.92998585572843</v>
      </c>
      <c r="E3033">
        <v>-3.1679833179612303E-3</v>
      </c>
      <c r="G3033">
        <v>3031</v>
      </c>
      <c r="H3033">
        <f t="shared" ca="1" si="98"/>
        <v>-1.4650402698243525E-2</v>
      </c>
    </row>
    <row r="3034" spans="2:8" x14ac:dyDescent="0.3">
      <c r="B3034" s="113">
        <v>40185</v>
      </c>
      <c r="C3034">
        <v>84.84</v>
      </c>
      <c r="D3034">
        <f t="shared" si="97"/>
        <v>0.23170731707317085</v>
      </c>
      <c r="E3034">
        <v>-3.172365174480038E-3</v>
      </c>
      <c r="G3034">
        <v>3032</v>
      </c>
      <c r="H3034">
        <f t="shared" ca="1" si="98"/>
        <v>-1.4568674469019537E-2</v>
      </c>
    </row>
    <row r="3035" spans="2:8" x14ac:dyDescent="0.3">
      <c r="B3035" s="113">
        <v>38845</v>
      </c>
      <c r="C3035">
        <v>68.88</v>
      </c>
      <c r="D3035">
        <f t="shared" si="97"/>
        <v>0.22802638616509166</v>
      </c>
      <c r="E3035">
        <v>-3.1837916063675669E-3</v>
      </c>
      <c r="G3035">
        <v>3033</v>
      </c>
      <c r="H3035">
        <f t="shared" ca="1" si="98"/>
        <v>4.9943347362105001E-3</v>
      </c>
    </row>
    <row r="3036" spans="2:8" x14ac:dyDescent="0.3">
      <c r="B3036" s="113">
        <v>39892</v>
      </c>
      <c r="C3036">
        <v>56.09</v>
      </c>
      <c r="D3036">
        <f t="shared" si="97"/>
        <v>-0.79957119885653027</v>
      </c>
      <c r="E3036">
        <v>-3.1988626266216402E-3</v>
      </c>
      <c r="G3036">
        <v>3034</v>
      </c>
      <c r="H3036">
        <f t="shared" ca="1" si="98"/>
        <v>-1.0358915492916407E-2</v>
      </c>
    </row>
    <row r="3037" spans="2:8" x14ac:dyDescent="0.3">
      <c r="B3037" s="113">
        <v>42954</v>
      </c>
      <c r="C3037">
        <v>279.85000000000002</v>
      </c>
      <c r="D3037">
        <f t="shared" si="97"/>
        <v>2.6039922730199616</v>
      </c>
      <c r="E3037">
        <v>-3.205699020480774E-3</v>
      </c>
      <c r="G3037">
        <v>3035</v>
      </c>
      <c r="H3037">
        <f t="shared" ca="1" si="98"/>
        <v>-6.7717441786806854E-3</v>
      </c>
    </row>
    <row r="3038" spans="2:8" x14ac:dyDescent="0.3">
      <c r="B3038" s="113">
        <v>40085</v>
      </c>
      <c r="C3038">
        <v>77.650000000000006</v>
      </c>
      <c r="D3038">
        <f t="shared" si="97"/>
        <v>-0.56115067254436524</v>
      </c>
      <c r="E3038">
        <v>-3.2092426187419767E-3</v>
      </c>
      <c r="G3038">
        <v>3036</v>
      </c>
      <c r="H3038">
        <f t="shared" ca="1" si="98"/>
        <v>4.7115437934347574E-4</v>
      </c>
    </row>
    <row r="3039" spans="2:8" x14ac:dyDescent="0.3">
      <c r="B3039" s="113">
        <v>41134</v>
      </c>
      <c r="C3039">
        <v>176.94</v>
      </c>
      <c r="D3039">
        <f t="shared" si="97"/>
        <v>2.0015267175572515</v>
      </c>
      <c r="E3039">
        <v>-3.2110866993408441E-3</v>
      </c>
      <c r="G3039">
        <v>3037</v>
      </c>
      <c r="H3039">
        <f t="shared" ca="1" si="98"/>
        <v>-6.0808462105065774E-3</v>
      </c>
    </row>
    <row r="3040" spans="2:8" x14ac:dyDescent="0.3">
      <c r="B3040" s="113">
        <v>38783</v>
      </c>
      <c r="C3040">
        <v>58.95</v>
      </c>
      <c r="D3040">
        <f t="shared" si="97"/>
        <v>2.8056810845706908</v>
      </c>
      <c r="E3040">
        <v>-3.2127155901250882E-3</v>
      </c>
      <c r="G3040">
        <v>3038</v>
      </c>
      <c r="H3040">
        <f t="shared" ca="1" si="98"/>
        <v>2.0066753011983622E-2</v>
      </c>
    </row>
    <row r="3041" spans="2:8" x14ac:dyDescent="0.3">
      <c r="B3041" s="113">
        <v>37761</v>
      </c>
      <c r="C3041">
        <v>15.49</v>
      </c>
      <c r="D3041">
        <f t="shared" si="97"/>
        <v>-0.92306928234417673</v>
      </c>
      <c r="E3041">
        <v>-3.2175032175031492E-3</v>
      </c>
      <c r="G3041">
        <v>3039</v>
      </c>
      <c r="H3041">
        <f t="shared" ca="1" si="98"/>
        <v>-2.1747407797814138E-2</v>
      </c>
    </row>
    <row r="3042" spans="2:8" x14ac:dyDescent="0.3">
      <c r="B3042" s="113">
        <v>44386</v>
      </c>
      <c r="C3042">
        <v>201.35</v>
      </c>
      <c r="D3042">
        <f t="shared" si="97"/>
        <v>-0.23513770180436849</v>
      </c>
      <c r="E3042">
        <v>-3.2178217821782458E-3</v>
      </c>
      <c r="G3042">
        <v>3040</v>
      </c>
      <c r="H3042">
        <f t="shared" ca="1" si="98"/>
        <v>3.9409853778613765E-2</v>
      </c>
    </row>
    <row r="3043" spans="2:8" x14ac:dyDescent="0.3">
      <c r="B3043" s="113">
        <v>43151</v>
      </c>
      <c r="C3043">
        <v>263.25</v>
      </c>
      <c r="D3043">
        <f t="shared" si="97"/>
        <v>0.29132738153634841</v>
      </c>
      <c r="E3043">
        <v>-3.2184778492995937E-3</v>
      </c>
      <c r="G3043">
        <v>3041</v>
      </c>
      <c r="H3043">
        <f t="shared" ca="1" si="98"/>
        <v>9.7939039840283636E-3</v>
      </c>
    </row>
    <row r="3044" spans="2:8" x14ac:dyDescent="0.3">
      <c r="B3044" s="113">
        <v>41512</v>
      </c>
      <c r="C3044">
        <v>203.86</v>
      </c>
      <c r="D3044">
        <f t="shared" si="97"/>
        <v>7.2567841231267725</v>
      </c>
      <c r="E3044">
        <v>-3.227068257383124E-3</v>
      </c>
      <c r="G3044">
        <v>3042</v>
      </c>
      <c r="H3044">
        <f t="shared" ca="1" si="98"/>
        <v>2.8978727456331628E-2</v>
      </c>
    </row>
    <row r="3045" spans="2:8" x14ac:dyDescent="0.3">
      <c r="B3045" s="113">
        <v>38268</v>
      </c>
      <c r="C3045">
        <v>24.69</v>
      </c>
      <c r="D3045">
        <f t="shared" si="97"/>
        <v>-0.8653395145895828</v>
      </c>
      <c r="E3045">
        <v>-3.2297133629389705E-3</v>
      </c>
      <c r="G3045">
        <v>3043</v>
      </c>
      <c r="H3045">
        <f t="shared" ca="1" si="98"/>
        <v>1.5109358860540873E-2</v>
      </c>
    </row>
    <row r="3046" spans="2:8" x14ac:dyDescent="0.3">
      <c r="B3046" s="113">
        <v>44088</v>
      </c>
      <c r="C3046">
        <v>183.35</v>
      </c>
      <c r="D3046">
        <f t="shared" si="97"/>
        <v>-0.24964190710047066</v>
      </c>
      <c r="E3046">
        <v>-3.2617559119325597E-3</v>
      </c>
      <c r="G3046">
        <v>3044</v>
      </c>
      <c r="H3046">
        <f t="shared" ca="1" si="98"/>
        <v>-7.6168888648754721E-3</v>
      </c>
    </row>
    <row r="3047" spans="2:8" x14ac:dyDescent="0.3">
      <c r="B3047" s="113">
        <v>43818</v>
      </c>
      <c r="C3047">
        <v>244.35</v>
      </c>
      <c r="D3047">
        <f t="shared" si="97"/>
        <v>0.27537971710423292</v>
      </c>
      <c r="E3047">
        <v>-3.263308178666169E-3</v>
      </c>
      <c r="G3047">
        <v>3045</v>
      </c>
      <c r="H3047">
        <f t="shared" ca="1" si="98"/>
        <v>8.4489404928754317E-3</v>
      </c>
    </row>
    <row r="3048" spans="2:8" x14ac:dyDescent="0.3">
      <c r="B3048" s="113">
        <v>41221</v>
      </c>
      <c r="C3048">
        <v>191.59</v>
      </c>
      <c r="D3048">
        <f t="shared" si="97"/>
        <v>-0.29987209939703996</v>
      </c>
      <c r="E3048">
        <v>-3.2774945375090804E-3</v>
      </c>
      <c r="G3048">
        <v>3046</v>
      </c>
      <c r="H3048">
        <f t="shared" ca="1" si="98"/>
        <v>2.9540289274286808E-3</v>
      </c>
    </row>
    <row r="3049" spans="2:8" x14ac:dyDescent="0.3">
      <c r="B3049" s="113">
        <v>43122</v>
      </c>
      <c r="C3049">
        <v>273.64999999999998</v>
      </c>
      <c r="D3049">
        <f t="shared" si="97"/>
        <v>-5.1473136915078072E-2</v>
      </c>
      <c r="E3049">
        <v>-3.2780914223275691E-3</v>
      </c>
      <c r="G3049">
        <v>3047</v>
      </c>
      <c r="H3049">
        <f t="shared" ca="1" si="98"/>
        <v>-2.045788142504202E-2</v>
      </c>
    </row>
    <row r="3050" spans="2:8" x14ac:dyDescent="0.3">
      <c r="B3050" s="113">
        <v>43395</v>
      </c>
      <c r="C3050">
        <v>288.5</v>
      </c>
      <c r="D3050">
        <f t="shared" si="97"/>
        <v>2.2847546396447687</v>
      </c>
      <c r="E3050">
        <v>-3.2820867161858307E-3</v>
      </c>
      <c r="G3050">
        <v>3048</v>
      </c>
      <c r="H3050">
        <f t="shared" ca="1" si="98"/>
        <v>6.6806087963345671E-3</v>
      </c>
    </row>
    <row r="3051" spans="2:8" x14ac:dyDescent="0.3">
      <c r="B3051" s="113">
        <v>40301</v>
      </c>
      <c r="C3051">
        <v>87.83</v>
      </c>
      <c r="D3051">
        <f t="shared" si="97"/>
        <v>-0.67735654984938665</v>
      </c>
      <c r="E3051">
        <v>-3.2909668633682053E-3</v>
      </c>
      <c r="G3051">
        <v>3049</v>
      </c>
      <c r="H3051">
        <f t="shared" ca="1" si="98"/>
        <v>1.1197963479221688E-2</v>
      </c>
    </row>
    <row r="3052" spans="2:8" x14ac:dyDescent="0.3">
      <c r="B3052" s="113">
        <v>44719</v>
      </c>
      <c r="C3052">
        <v>272.22000000000003</v>
      </c>
      <c r="D3052">
        <f t="shared" si="97"/>
        <v>0.29075391180654347</v>
      </c>
      <c r="E3052">
        <v>-3.2952548330403386E-3</v>
      </c>
      <c r="G3052">
        <v>3050</v>
      </c>
      <c r="H3052">
        <f t="shared" ca="1" si="98"/>
        <v>2.6266574129628628E-2</v>
      </c>
    </row>
    <row r="3053" spans="2:8" x14ac:dyDescent="0.3">
      <c r="B3053" s="113">
        <v>44281</v>
      </c>
      <c r="C3053">
        <v>210.9</v>
      </c>
      <c r="D3053">
        <f t="shared" si="97"/>
        <v>1.5211321844613442E-2</v>
      </c>
      <c r="E3053">
        <v>-3.3081285444233866E-3</v>
      </c>
      <c r="G3053">
        <v>3051</v>
      </c>
      <c r="H3053">
        <f t="shared" ca="1" si="98"/>
        <v>-1.2831207998635305E-2</v>
      </c>
    </row>
    <row r="3054" spans="2:8" x14ac:dyDescent="0.3">
      <c r="B3054" s="113">
        <v>42257</v>
      </c>
      <c r="C3054">
        <v>207.74</v>
      </c>
      <c r="D3054">
        <f t="shared" si="97"/>
        <v>0.23317107918793778</v>
      </c>
      <c r="E3054">
        <v>-3.3104639447296344E-3</v>
      </c>
      <c r="G3054">
        <v>3052</v>
      </c>
      <c r="H3054">
        <f t="shared" ca="1" si="98"/>
        <v>-3.0455690350630941E-2</v>
      </c>
    </row>
    <row r="3055" spans="2:8" x14ac:dyDescent="0.3">
      <c r="B3055" s="113">
        <v>41109</v>
      </c>
      <c r="C3055">
        <v>168.46</v>
      </c>
      <c r="D3055">
        <f t="shared" si="97"/>
        <v>10.200797872340427</v>
      </c>
      <c r="E3055">
        <v>-3.3132173707253712E-3</v>
      </c>
      <c r="G3055">
        <v>3053</v>
      </c>
      <c r="H3055">
        <f t="shared" ca="1" si="98"/>
        <v>-1.5364491576343705E-2</v>
      </c>
    </row>
    <row r="3056" spans="2:8" x14ac:dyDescent="0.3">
      <c r="B3056" s="113">
        <v>37743</v>
      </c>
      <c r="C3056">
        <v>15.04</v>
      </c>
      <c r="D3056">
        <f t="shared" si="97"/>
        <v>-0.92851371262892723</v>
      </c>
      <c r="E3056">
        <v>-3.313452617627615E-3</v>
      </c>
      <c r="G3056">
        <v>3054</v>
      </c>
      <c r="H3056">
        <f t="shared" ca="1" si="98"/>
        <v>-5.301006705588608E-3</v>
      </c>
    </row>
    <row r="3057" spans="2:8" x14ac:dyDescent="0.3">
      <c r="B3057" s="113">
        <v>42192</v>
      </c>
      <c r="C3057">
        <v>210.39</v>
      </c>
      <c r="D3057">
        <f t="shared" si="97"/>
        <v>0.52279965257672256</v>
      </c>
      <c r="E3057">
        <v>-3.3161210857928706E-3</v>
      </c>
      <c r="G3057">
        <v>3055</v>
      </c>
      <c r="H3057">
        <f t="shared" ca="1" si="98"/>
        <v>4.7260636914404439E-3</v>
      </c>
    </row>
    <row r="3058" spans="2:8" x14ac:dyDescent="0.3">
      <c r="B3058" s="113">
        <v>40925</v>
      </c>
      <c r="C3058">
        <v>138.16</v>
      </c>
      <c r="D3058">
        <f t="shared" si="97"/>
        <v>-0.45862068965517239</v>
      </c>
      <c r="E3058">
        <v>-3.3184244697735386E-3</v>
      </c>
      <c r="G3058">
        <v>3056</v>
      </c>
      <c r="H3058">
        <f t="shared" ca="1" si="98"/>
        <v>2.0084592319240733E-2</v>
      </c>
    </row>
    <row r="3059" spans="2:8" x14ac:dyDescent="0.3">
      <c r="B3059" s="113">
        <v>43070</v>
      </c>
      <c r="C3059">
        <v>255.2</v>
      </c>
      <c r="D3059">
        <f t="shared" si="97"/>
        <v>6.3554907272348415E-2</v>
      </c>
      <c r="E3059">
        <v>-3.3196641281000691E-3</v>
      </c>
      <c r="G3059">
        <v>3057</v>
      </c>
      <c r="H3059">
        <f t="shared" ca="1" si="98"/>
        <v>-9.9707452623968747E-3</v>
      </c>
    </row>
    <row r="3060" spans="2:8" x14ac:dyDescent="0.3">
      <c r="B3060" s="113">
        <v>43847</v>
      </c>
      <c r="C3060">
        <v>239.95</v>
      </c>
      <c r="D3060">
        <f t="shared" si="97"/>
        <v>3.0091896407685881</v>
      </c>
      <c r="E3060">
        <v>-3.322949117341688E-3</v>
      </c>
      <c r="G3060">
        <v>3058</v>
      </c>
      <c r="H3060">
        <f t="shared" ca="1" si="98"/>
        <v>1.1455630303060389E-2</v>
      </c>
    </row>
    <row r="3061" spans="2:8" x14ac:dyDescent="0.3">
      <c r="B3061" s="113">
        <v>39861</v>
      </c>
      <c r="C3061">
        <v>59.85</v>
      </c>
      <c r="D3061">
        <f t="shared" si="97"/>
        <v>1.6736401673640405E-3</v>
      </c>
      <c r="E3061">
        <v>-3.3305578684428932E-3</v>
      </c>
      <c r="G3061">
        <v>3059</v>
      </c>
      <c r="H3061">
        <f t="shared" ca="1" si="98"/>
        <v>5.0580864557582894E-3</v>
      </c>
    </row>
    <row r="3062" spans="2:8" x14ac:dyDescent="0.3">
      <c r="B3062" s="113">
        <v>39343</v>
      </c>
      <c r="C3062">
        <v>59.75</v>
      </c>
      <c r="D3062">
        <f t="shared" si="97"/>
        <v>-0.72493324739895038</v>
      </c>
      <c r="E3062">
        <v>-3.3361134278565943E-3</v>
      </c>
      <c r="G3062">
        <v>3060</v>
      </c>
      <c r="H3062">
        <f t="shared" ca="1" si="98"/>
        <v>-7.5765139245827194E-3</v>
      </c>
    </row>
    <row r="3063" spans="2:8" x14ac:dyDescent="0.3">
      <c r="B3063" s="113">
        <v>41698</v>
      </c>
      <c r="C3063">
        <v>217.22</v>
      </c>
      <c r="D3063">
        <f t="shared" si="97"/>
        <v>0.69942106086684408</v>
      </c>
      <c r="E3063">
        <v>-3.349392062399586E-3</v>
      </c>
      <c r="G3063">
        <v>3061</v>
      </c>
      <c r="H3063">
        <f t="shared" ca="1" si="98"/>
        <v>-5.7128644486708685E-3</v>
      </c>
    </row>
    <row r="3064" spans="2:8" x14ac:dyDescent="0.3">
      <c r="B3064" s="113">
        <v>40700</v>
      </c>
      <c r="C3064">
        <v>127.82</v>
      </c>
      <c r="D3064">
        <f t="shared" si="97"/>
        <v>-0.44073506891271064</v>
      </c>
      <c r="E3064">
        <v>-3.3528265107213009E-3</v>
      </c>
      <c r="G3064">
        <v>3062</v>
      </c>
      <c r="H3064">
        <f t="shared" ca="1" si="98"/>
        <v>2.1331032146913505E-2</v>
      </c>
    </row>
    <row r="3065" spans="2:8" x14ac:dyDescent="0.3">
      <c r="B3065" s="113">
        <v>41733</v>
      </c>
      <c r="C3065">
        <v>228.55</v>
      </c>
      <c r="D3065">
        <f t="shared" si="97"/>
        <v>0.16803802320233058</v>
      </c>
      <c r="E3065">
        <v>-3.3577533577532786E-3</v>
      </c>
      <c r="G3065">
        <v>3063</v>
      </c>
      <c r="H3065">
        <f t="shared" ca="1" si="98"/>
        <v>6.1923809700921524E-3</v>
      </c>
    </row>
    <row r="3066" spans="2:8" x14ac:dyDescent="0.3">
      <c r="B3066" s="113">
        <v>41247</v>
      </c>
      <c r="C3066">
        <v>195.67</v>
      </c>
      <c r="D3066">
        <f t="shared" si="97"/>
        <v>7.2526360185575696</v>
      </c>
      <c r="E3066">
        <v>-3.3616869556360464E-3</v>
      </c>
      <c r="G3066">
        <v>3064</v>
      </c>
      <c r="H3066">
        <f t="shared" ca="1" si="98"/>
        <v>1.2017207303958135E-2</v>
      </c>
    </row>
    <row r="3067" spans="2:8" x14ac:dyDescent="0.3">
      <c r="B3067" s="113">
        <v>38110</v>
      </c>
      <c r="C3067">
        <v>23.71</v>
      </c>
      <c r="D3067">
        <f t="shared" si="97"/>
        <v>-0.89315006759801707</v>
      </c>
      <c r="E3067">
        <v>-3.3627574611180453E-3</v>
      </c>
      <c r="G3067">
        <v>3065</v>
      </c>
      <c r="H3067">
        <f t="shared" ca="1" si="98"/>
        <v>7.2990348134008799E-3</v>
      </c>
    </row>
    <row r="3068" spans="2:8" x14ac:dyDescent="0.3">
      <c r="B3068" s="113">
        <v>44610</v>
      </c>
      <c r="C3068">
        <v>221.9</v>
      </c>
      <c r="D3068">
        <f t="shared" si="97"/>
        <v>14.023696682464456</v>
      </c>
      <c r="E3068">
        <v>-3.3685156074556477E-3</v>
      </c>
      <c r="G3068">
        <v>3066</v>
      </c>
      <c r="H3068">
        <f t="shared" ca="1" si="98"/>
        <v>-7.0554962664143306E-4</v>
      </c>
    </row>
    <row r="3069" spans="2:8" x14ac:dyDescent="0.3">
      <c r="B3069" s="113">
        <v>37755</v>
      </c>
      <c r="C3069">
        <v>14.77</v>
      </c>
      <c r="D3069">
        <f t="shared" si="97"/>
        <v>-0.74987298899237942</v>
      </c>
      <c r="E3069">
        <v>-3.3738191632928954E-3</v>
      </c>
      <c r="G3069">
        <v>3067</v>
      </c>
      <c r="H3069">
        <f t="shared" ca="1" si="98"/>
        <v>1.3642699329765612E-2</v>
      </c>
    </row>
    <row r="3070" spans="2:8" x14ac:dyDescent="0.3">
      <c r="B3070" s="113">
        <v>39363</v>
      </c>
      <c r="C3070">
        <v>59.05</v>
      </c>
      <c r="D3070">
        <f t="shared" si="97"/>
        <v>-0.72580794947994054</v>
      </c>
      <c r="E3070">
        <v>-3.3755274261603853E-3</v>
      </c>
      <c r="G3070">
        <v>3068</v>
      </c>
      <c r="H3070">
        <f t="shared" ca="1" si="98"/>
        <v>-2.6922589210715462E-3</v>
      </c>
    </row>
    <row r="3071" spans="2:8" x14ac:dyDescent="0.3">
      <c r="B3071" s="113">
        <v>41457</v>
      </c>
      <c r="C3071">
        <v>215.36</v>
      </c>
      <c r="D3071">
        <f t="shared" si="97"/>
        <v>-8.4937327384746047E-2</v>
      </c>
      <c r="E3071">
        <v>-3.3782220371141179E-3</v>
      </c>
      <c r="G3071">
        <v>3069</v>
      </c>
      <c r="H3071">
        <f t="shared" ca="1" si="98"/>
        <v>2.2307789973681604E-3</v>
      </c>
    </row>
    <row r="3072" spans="2:8" x14ac:dyDescent="0.3">
      <c r="B3072" s="113">
        <v>44470</v>
      </c>
      <c r="C3072">
        <v>235.35</v>
      </c>
      <c r="D3072">
        <f t="shared" si="97"/>
        <v>9.7560975609756032E-2</v>
      </c>
      <c r="E3072">
        <v>-3.3876773237349624E-3</v>
      </c>
      <c r="G3072">
        <v>3070</v>
      </c>
      <c r="H3072">
        <f t="shared" ca="1" si="98"/>
        <v>7.5102206344613174E-3</v>
      </c>
    </row>
    <row r="3073" spans="2:8" x14ac:dyDescent="0.3">
      <c r="B3073" s="113">
        <v>41677</v>
      </c>
      <c r="C3073">
        <v>214.43</v>
      </c>
      <c r="D3073">
        <f t="shared" si="97"/>
        <v>1.810722244068685</v>
      </c>
      <c r="E3073">
        <v>-3.3928239449711366E-3</v>
      </c>
      <c r="G3073">
        <v>3071</v>
      </c>
      <c r="H3073">
        <f t="shared" ca="1" si="98"/>
        <v>-4.1802529875453881E-2</v>
      </c>
    </row>
    <row r="3074" spans="2:8" x14ac:dyDescent="0.3">
      <c r="B3074" s="113">
        <v>40057</v>
      </c>
      <c r="C3074">
        <v>76.290000000000006</v>
      </c>
      <c r="D3074">
        <f t="shared" si="97"/>
        <v>-0.69336816720257233</v>
      </c>
      <c r="E3074">
        <v>-3.3964728935335195E-3</v>
      </c>
      <c r="G3074">
        <v>3072</v>
      </c>
      <c r="H3074">
        <f t="shared" ca="1" si="98"/>
        <v>-3.6936928704936714E-2</v>
      </c>
    </row>
    <row r="3075" spans="2:8" x14ac:dyDescent="0.3">
      <c r="B3075" s="113">
        <v>42751</v>
      </c>
      <c r="C3075">
        <v>248.8</v>
      </c>
      <c r="D3075">
        <f t="shared" ref="D3075:D3138" si="99">(C3075-C3076)/C3076</f>
        <v>0.22410824108241087</v>
      </c>
      <c r="E3075">
        <v>-3.4047666733426568E-3</v>
      </c>
      <c r="G3075">
        <v>3073</v>
      </c>
      <c r="H3075">
        <f t="shared" ca="1" si="98"/>
        <v>-9.8511001205057094E-3</v>
      </c>
    </row>
    <row r="3076" spans="2:8" x14ac:dyDescent="0.3">
      <c r="B3076" s="113">
        <v>44371</v>
      </c>
      <c r="C3076">
        <v>203.25</v>
      </c>
      <c r="D3076">
        <f t="shared" si="99"/>
        <v>4.8371625502584719</v>
      </c>
      <c r="E3076">
        <v>-3.4322137778866812E-3</v>
      </c>
      <c r="G3076">
        <v>3074</v>
      </c>
      <c r="H3076">
        <f t="shared" ref="H3076:H3139" ca="1" si="100">_xlfn.NORM.INV(RAND(),$L$4,$L$6)</f>
        <v>-8.5934058385492545E-3</v>
      </c>
    </row>
    <row r="3077" spans="2:8" x14ac:dyDescent="0.3">
      <c r="B3077" s="113">
        <v>38512</v>
      </c>
      <c r="C3077">
        <v>34.82</v>
      </c>
      <c r="D3077">
        <f t="shared" si="99"/>
        <v>1.4013793103448275</v>
      </c>
      <c r="E3077">
        <v>-3.4344590726959772E-3</v>
      </c>
      <c r="G3077">
        <v>3075</v>
      </c>
      <c r="H3077">
        <f t="shared" ca="1" si="100"/>
        <v>1.1652529149078239E-2</v>
      </c>
    </row>
    <row r="3078" spans="2:8" x14ac:dyDescent="0.3">
      <c r="B3078" s="113">
        <v>37523</v>
      </c>
      <c r="C3078">
        <v>14.5</v>
      </c>
      <c r="D3078">
        <f t="shared" si="99"/>
        <v>-0.93741097250399275</v>
      </c>
      <c r="E3078">
        <v>-3.4364261168385365E-3</v>
      </c>
      <c r="G3078">
        <v>3076</v>
      </c>
      <c r="H3078">
        <f t="shared" ca="1" si="100"/>
        <v>3.8126831468168074E-2</v>
      </c>
    </row>
    <row r="3079" spans="2:8" x14ac:dyDescent="0.3">
      <c r="B3079" s="113">
        <v>42027</v>
      </c>
      <c r="C3079">
        <v>231.67</v>
      </c>
      <c r="D3079">
        <f t="shared" si="99"/>
        <v>0.14433193381081749</v>
      </c>
      <c r="E3079">
        <v>-3.4413042543124332E-3</v>
      </c>
      <c r="G3079">
        <v>3077</v>
      </c>
      <c r="H3079">
        <f t="shared" ca="1" si="100"/>
        <v>1.4296961923761788E-2</v>
      </c>
    </row>
    <row r="3080" spans="2:8" x14ac:dyDescent="0.3">
      <c r="B3080" s="113">
        <v>44173</v>
      </c>
      <c r="C3080">
        <v>202.45</v>
      </c>
      <c r="D3080">
        <f t="shared" si="99"/>
        <v>2.5092737042815045</v>
      </c>
      <c r="E3080">
        <v>-3.4457297563377652E-3</v>
      </c>
      <c r="G3080">
        <v>3078</v>
      </c>
      <c r="H3080">
        <f t="shared" ca="1" si="100"/>
        <v>-1.2773642466061528E-2</v>
      </c>
    </row>
    <row r="3081" spans="2:8" x14ac:dyDescent="0.3">
      <c r="B3081" s="113">
        <v>39069</v>
      </c>
      <c r="C3081">
        <v>57.69</v>
      </c>
      <c r="D3081">
        <f t="shared" si="99"/>
        <v>-0.73291666666666666</v>
      </c>
      <c r="E3081">
        <v>-3.4548281223009646E-3</v>
      </c>
      <c r="G3081">
        <v>3079</v>
      </c>
      <c r="H3081">
        <f t="shared" ca="1" si="100"/>
        <v>1.1192046148193604E-2</v>
      </c>
    </row>
    <row r="3082" spans="2:8" x14ac:dyDescent="0.3">
      <c r="B3082" s="113">
        <v>44560</v>
      </c>
      <c r="C3082">
        <v>216</v>
      </c>
      <c r="D3082">
        <f t="shared" si="99"/>
        <v>2.5714285714285716</v>
      </c>
      <c r="E3082">
        <v>-3.4602076124567475E-3</v>
      </c>
      <c r="G3082">
        <v>3080</v>
      </c>
      <c r="H3082">
        <f t="shared" ca="1" si="100"/>
        <v>-2.3012421628613489E-2</v>
      </c>
    </row>
    <row r="3083" spans="2:8" x14ac:dyDescent="0.3">
      <c r="B3083" s="113">
        <v>38975</v>
      </c>
      <c r="C3083">
        <v>60.48</v>
      </c>
      <c r="D3083">
        <f t="shared" si="99"/>
        <v>-0.76639629200463499</v>
      </c>
      <c r="E3083">
        <v>-3.4602076124567614E-3</v>
      </c>
      <c r="G3083">
        <v>3081</v>
      </c>
      <c r="H3083">
        <f t="shared" ca="1" si="100"/>
        <v>-1.3377651298405567E-2</v>
      </c>
    </row>
    <row r="3084" spans="2:8" x14ac:dyDescent="0.3">
      <c r="B3084" s="113">
        <v>43683</v>
      </c>
      <c r="C3084">
        <v>258.89999999999998</v>
      </c>
      <c r="D3084">
        <f t="shared" si="99"/>
        <v>0.18679807471922974</v>
      </c>
      <c r="E3084">
        <v>-3.4642032332564822E-3</v>
      </c>
      <c r="G3084">
        <v>3082</v>
      </c>
      <c r="H3084">
        <f t="shared" ca="1" si="100"/>
        <v>3.075950338680398E-3</v>
      </c>
    </row>
    <row r="3085" spans="2:8" x14ac:dyDescent="0.3">
      <c r="B3085" s="113">
        <v>41660</v>
      </c>
      <c r="C3085">
        <v>218.15</v>
      </c>
      <c r="D3085">
        <f t="shared" si="99"/>
        <v>0.90042686645178149</v>
      </c>
      <c r="E3085">
        <v>-3.47174637979074E-3</v>
      </c>
      <c r="G3085">
        <v>3083</v>
      </c>
      <c r="H3085">
        <f t="shared" ca="1" si="100"/>
        <v>-1.4972678733947647E-2</v>
      </c>
    </row>
    <row r="3086" spans="2:8" x14ac:dyDescent="0.3">
      <c r="B3086" s="113">
        <v>40556</v>
      </c>
      <c r="C3086">
        <v>114.79</v>
      </c>
      <c r="D3086">
        <f t="shared" si="99"/>
        <v>7.0216631726065692</v>
      </c>
      <c r="E3086">
        <v>-3.4725236565673365E-3</v>
      </c>
      <c r="G3086">
        <v>3084</v>
      </c>
      <c r="H3086">
        <f t="shared" ca="1" si="100"/>
        <v>1.8125138847346872E-2</v>
      </c>
    </row>
    <row r="3087" spans="2:8" x14ac:dyDescent="0.3">
      <c r="B3087" s="113">
        <v>37594</v>
      </c>
      <c r="C3087">
        <v>14.31</v>
      </c>
      <c r="D3087">
        <f t="shared" si="99"/>
        <v>0</v>
      </c>
      <c r="E3087">
        <v>-3.481894150417753E-3</v>
      </c>
      <c r="G3087">
        <v>3085</v>
      </c>
      <c r="H3087">
        <f t="shared" ca="1" si="100"/>
        <v>3.0274353210242532E-2</v>
      </c>
    </row>
    <row r="3088" spans="2:8" x14ac:dyDescent="0.3">
      <c r="B3088" s="113">
        <v>37532</v>
      </c>
      <c r="C3088">
        <v>14.31</v>
      </c>
      <c r="D3088">
        <f t="shared" si="99"/>
        <v>-0.94096534653465347</v>
      </c>
      <c r="E3088">
        <v>-3.481894150417753E-3</v>
      </c>
      <c r="G3088">
        <v>3086</v>
      </c>
      <c r="H3088">
        <f t="shared" ca="1" si="100"/>
        <v>6.3793311192401085E-3</v>
      </c>
    </row>
    <row r="3089" spans="2:8" x14ac:dyDescent="0.3">
      <c r="B3089" s="113">
        <v>43845</v>
      </c>
      <c r="C3089">
        <v>242.4</v>
      </c>
      <c r="D3089">
        <f t="shared" si="99"/>
        <v>3.47562776957164</v>
      </c>
      <c r="E3089">
        <v>-3.494347379239442E-3</v>
      </c>
      <c r="G3089">
        <v>3087</v>
      </c>
      <c r="H3089">
        <f t="shared" ca="1" si="100"/>
        <v>-1.2195304586933643E-2</v>
      </c>
    </row>
    <row r="3090" spans="2:8" x14ac:dyDescent="0.3">
      <c r="B3090" s="113">
        <v>39304</v>
      </c>
      <c r="C3090">
        <v>54.16</v>
      </c>
      <c r="D3090">
        <f t="shared" si="99"/>
        <v>-0.5565018015067148</v>
      </c>
      <c r="E3090">
        <v>-3.4958601655934651E-3</v>
      </c>
      <c r="G3090">
        <v>3088</v>
      </c>
      <c r="H3090">
        <f t="shared" ca="1" si="100"/>
        <v>-3.2817516629842273E-3</v>
      </c>
    </row>
    <row r="3091" spans="2:8" x14ac:dyDescent="0.3">
      <c r="B3091" s="113">
        <v>40638</v>
      </c>
      <c r="C3091">
        <v>122.12</v>
      </c>
      <c r="D3091">
        <f t="shared" si="99"/>
        <v>-0.52222222222222214</v>
      </c>
      <c r="E3091">
        <v>-3.5087719298245012E-3</v>
      </c>
      <c r="G3091">
        <v>3089</v>
      </c>
      <c r="H3091">
        <f t="shared" ca="1" si="100"/>
        <v>1.5934825710108048E-3</v>
      </c>
    </row>
    <row r="3092" spans="2:8" x14ac:dyDescent="0.3">
      <c r="B3092" s="113">
        <v>42682</v>
      </c>
      <c r="C3092">
        <v>255.6</v>
      </c>
      <c r="D3092">
        <f t="shared" si="99"/>
        <v>8</v>
      </c>
      <c r="E3092">
        <v>-3.5087719298245836E-3</v>
      </c>
      <c r="G3092">
        <v>3090</v>
      </c>
      <c r="H3092">
        <f t="shared" ca="1" si="100"/>
        <v>2.3320282331454403E-2</v>
      </c>
    </row>
    <row r="3093" spans="2:8" x14ac:dyDescent="0.3">
      <c r="B3093" s="113">
        <v>38323</v>
      </c>
      <c r="C3093">
        <v>28.4</v>
      </c>
      <c r="D3093">
        <f t="shared" si="99"/>
        <v>0.25386313465783666</v>
      </c>
      <c r="E3093">
        <v>-3.5087719298246113E-3</v>
      </c>
      <c r="G3093">
        <v>3091</v>
      </c>
      <c r="H3093">
        <f t="shared" ca="1" si="100"/>
        <v>-1.4183038722558028E-2</v>
      </c>
    </row>
    <row r="3094" spans="2:8" x14ac:dyDescent="0.3">
      <c r="B3094" s="113">
        <v>38016</v>
      </c>
      <c r="C3094">
        <v>22.65</v>
      </c>
      <c r="D3094">
        <f t="shared" si="99"/>
        <v>-0.19964664310954069</v>
      </c>
      <c r="E3094">
        <v>-3.5195776506819995E-3</v>
      </c>
      <c r="G3094">
        <v>3092</v>
      </c>
      <c r="H3094">
        <f t="shared" ca="1" si="100"/>
        <v>-1.1567956118416963E-2</v>
      </c>
    </row>
    <row r="3095" spans="2:8" x14ac:dyDescent="0.3">
      <c r="B3095" s="113">
        <v>38324</v>
      </c>
      <c r="C3095">
        <v>28.3</v>
      </c>
      <c r="D3095">
        <f t="shared" si="99"/>
        <v>-0.44422623723487825</v>
      </c>
      <c r="E3095">
        <v>-3.5211267605633053E-3</v>
      </c>
      <c r="G3095">
        <v>3093</v>
      </c>
      <c r="H3095">
        <f t="shared" ca="1" si="100"/>
        <v>5.418142189884315E-4</v>
      </c>
    </row>
    <row r="3096" spans="2:8" x14ac:dyDescent="0.3">
      <c r="B3096" s="113">
        <v>39260</v>
      </c>
      <c r="C3096">
        <v>50.92</v>
      </c>
      <c r="D3096">
        <f t="shared" si="99"/>
        <v>-0.78774489370571077</v>
      </c>
      <c r="E3096">
        <v>-3.5225048923679006E-3</v>
      </c>
      <c r="G3096">
        <v>3094</v>
      </c>
      <c r="H3096">
        <f t="shared" ca="1" si="100"/>
        <v>2.8313472550257825E-2</v>
      </c>
    </row>
    <row r="3097" spans="2:8" x14ac:dyDescent="0.3">
      <c r="B3097" s="113">
        <v>43721</v>
      </c>
      <c r="C3097">
        <v>239.9</v>
      </c>
      <c r="D3097">
        <f t="shared" si="99"/>
        <v>4.3133997785160574</v>
      </c>
      <c r="E3097">
        <v>-3.5306334371754695E-3</v>
      </c>
      <c r="G3097">
        <v>3095</v>
      </c>
      <c r="H3097">
        <f t="shared" ca="1" si="100"/>
        <v>-1.0987528488714822E-2</v>
      </c>
    </row>
    <row r="3098" spans="2:8" x14ac:dyDescent="0.3">
      <c r="B3098" s="113">
        <v>38682</v>
      </c>
      <c r="C3098">
        <v>45.15</v>
      </c>
      <c r="D3098">
        <f t="shared" si="99"/>
        <v>-0.846585117227319</v>
      </c>
      <c r="E3098">
        <v>-3.5312293092033477E-3</v>
      </c>
      <c r="G3098">
        <v>3096</v>
      </c>
      <c r="H3098">
        <f t="shared" ca="1" si="100"/>
        <v>-2.9990370111091853E-2</v>
      </c>
    </row>
    <row r="3099" spans="2:8" x14ac:dyDescent="0.3">
      <c r="B3099" s="113">
        <v>43479</v>
      </c>
      <c r="C3099">
        <v>294.3</v>
      </c>
      <c r="D3099">
        <f t="shared" si="99"/>
        <v>16.591153616258218</v>
      </c>
      <c r="E3099">
        <v>-3.5551041137633697E-3</v>
      </c>
      <c r="G3099">
        <v>3097</v>
      </c>
      <c r="H3099">
        <f t="shared" ca="1" si="100"/>
        <v>2.0498742317185104E-3</v>
      </c>
    </row>
    <row r="3100" spans="2:8" x14ac:dyDescent="0.3">
      <c r="B3100" s="113">
        <v>37805</v>
      </c>
      <c r="C3100">
        <v>16.73</v>
      </c>
      <c r="D3100">
        <f t="shared" si="99"/>
        <v>0.20186781609195406</v>
      </c>
      <c r="E3100">
        <v>-3.5735556879093939E-3</v>
      </c>
      <c r="G3100">
        <v>3098</v>
      </c>
      <c r="H3100">
        <f t="shared" ca="1" si="100"/>
        <v>1.3202595342704911E-2</v>
      </c>
    </row>
    <row r="3101" spans="2:8" x14ac:dyDescent="0.3">
      <c r="B3101" s="113">
        <v>37664</v>
      </c>
      <c r="C3101">
        <v>13.92</v>
      </c>
      <c r="D3101">
        <f t="shared" si="99"/>
        <v>-0.95449493298463539</v>
      </c>
      <c r="E3101">
        <v>-3.5790980672870945E-3</v>
      </c>
      <c r="G3101">
        <v>3099</v>
      </c>
      <c r="H3101">
        <f t="shared" ca="1" si="100"/>
        <v>4.5039249802703669E-3</v>
      </c>
    </row>
    <row r="3102" spans="2:8" x14ac:dyDescent="0.3">
      <c r="B3102" s="113">
        <v>43606</v>
      </c>
      <c r="C3102">
        <v>305.89999999999998</v>
      </c>
      <c r="D3102">
        <f t="shared" si="99"/>
        <v>0.32648193920471774</v>
      </c>
      <c r="E3102">
        <v>-3.5830618892508884E-3</v>
      </c>
      <c r="G3102">
        <v>3100</v>
      </c>
      <c r="H3102">
        <f t="shared" ca="1" si="100"/>
        <v>-2.3776843604329946E-2</v>
      </c>
    </row>
    <row r="3103" spans="2:8" x14ac:dyDescent="0.3">
      <c r="B3103" s="113">
        <v>42326</v>
      </c>
      <c r="C3103">
        <v>230.61</v>
      </c>
      <c r="D3103">
        <f t="shared" si="99"/>
        <v>0.18718146718146725</v>
      </c>
      <c r="E3103">
        <v>-3.5862426546836505E-3</v>
      </c>
      <c r="G3103">
        <v>3101</v>
      </c>
      <c r="H3103">
        <f t="shared" ca="1" si="100"/>
        <v>-2.7506284498248794E-3</v>
      </c>
    </row>
    <row r="3104" spans="2:8" x14ac:dyDescent="0.3">
      <c r="B3104" s="113">
        <v>44070</v>
      </c>
      <c r="C3104">
        <v>194.25</v>
      </c>
      <c r="D3104">
        <f t="shared" si="99"/>
        <v>-0.26224838587162935</v>
      </c>
      <c r="E3104">
        <v>-3.5906642728904268E-3</v>
      </c>
      <c r="G3104">
        <v>3102</v>
      </c>
      <c r="H3104">
        <f t="shared" ca="1" si="100"/>
        <v>2.2790468537740395E-2</v>
      </c>
    </row>
    <row r="3105" spans="2:8" x14ac:dyDescent="0.3">
      <c r="B3105" s="113">
        <v>43089</v>
      </c>
      <c r="C3105">
        <v>263.3</v>
      </c>
      <c r="D3105">
        <f t="shared" si="99"/>
        <v>0.58547600409465905</v>
      </c>
      <c r="E3105">
        <v>-3.5950804162724263E-3</v>
      </c>
      <c r="G3105">
        <v>3103</v>
      </c>
      <c r="H3105">
        <f t="shared" ca="1" si="100"/>
        <v>-1.0804570376931923E-2</v>
      </c>
    </row>
    <row r="3106" spans="2:8" x14ac:dyDescent="0.3">
      <c r="B3106" s="113">
        <v>41082</v>
      </c>
      <c r="C3106">
        <v>166.07</v>
      </c>
      <c r="D3106">
        <f t="shared" si="99"/>
        <v>11.007953723788864</v>
      </c>
      <c r="E3106">
        <v>-3.5999280014399372E-3</v>
      </c>
      <c r="G3106">
        <v>3104</v>
      </c>
      <c r="H3106">
        <f t="shared" ca="1" si="100"/>
        <v>4.1163830016892299E-2</v>
      </c>
    </row>
    <row r="3107" spans="2:8" x14ac:dyDescent="0.3">
      <c r="B3107" s="113">
        <v>37712</v>
      </c>
      <c r="C3107">
        <v>13.83</v>
      </c>
      <c r="D3107">
        <f t="shared" si="99"/>
        <v>-0.94185899861268751</v>
      </c>
      <c r="E3107">
        <v>-3.6023054755043738E-3</v>
      </c>
      <c r="G3107">
        <v>3105</v>
      </c>
      <c r="H3107">
        <f t="shared" ca="1" si="100"/>
        <v>-5.81276993440011E-3</v>
      </c>
    </row>
    <row r="3108" spans="2:8" x14ac:dyDescent="0.3">
      <c r="B3108" s="113">
        <v>42023</v>
      </c>
      <c r="C3108">
        <v>237.87</v>
      </c>
      <c r="D3108">
        <f t="shared" si="99"/>
        <v>-9.3137628669462472E-2</v>
      </c>
      <c r="E3108">
        <v>-3.6023960122313296E-3</v>
      </c>
      <c r="G3108">
        <v>3106</v>
      </c>
      <c r="H3108">
        <f t="shared" ca="1" si="100"/>
        <v>2.188283520768235E-2</v>
      </c>
    </row>
    <row r="3109" spans="2:8" x14ac:dyDescent="0.3">
      <c r="B3109" s="113">
        <v>43101</v>
      </c>
      <c r="C3109">
        <v>262.3</v>
      </c>
      <c r="D3109">
        <f t="shared" si="99"/>
        <v>0.26714975845410632</v>
      </c>
      <c r="E3109">
        <v>-3.6087369420702321E-3</v>
      </c>
      <c r="G3109">
        <v>3107</v>
      </c>
      <c r="H3109">
        <f t="shared" ca="1" si="100"/>
        <v>-8.9374262315005254E-3</v>
      </c>
    </row>
    <row r="3110" spans="2:8" x14ac:dyDescent="0.3">
      <c r="B3110" s="113">
        <v>44336</v>
      </c>
      <c r="C3110">
        <v>207</v>
      </c>
      <c r="D3110">
        <f t="shared" si="99"/>
        <v>2.0218978102189782</v>
      </c>
      <c r="E3110">
        <v>-3.6101083032490976E-3</v>
      </c>
      <c r="G3110">
        <v>3108</v>
      </c>
      <c r="H3110">
        <f t="shared" ca="1" si="100"/>
        <v>-8.7485136545753745E-4</v>
      </c>
    </row>
    <row r="3111" spans="2:8" x14ac:dyDescent="0.3">
      <c r="B3111" s="113">
        <v>39548</v>
      </c>
      <c r="C3111">
        <v>68.5</v>
      </c>
      <c r="D3111">
        <f t="shared" si="99"/>
        <v>-0.16534665529426093</v>
      </c>
      <c r="E3111">
        <v>-3.6363636363636364E-3</v>
      </c>
      <c r="G3111">
        <v>3109</v>
      </c>
      <c r="H3111">
        <f t="shared" ca="1" si="100"/>
        <v>8.0019864445828438E-4</v>
      </c>
    </row>
    <row r="3112" spans="2:8" x14ac:dyDescent="0.3">
      <c r="B3112" s="113">
        <v>40231</v>
      </c>
      <c r="C3112">
        <v>82.07</v>
      </c>
      <c r="D3112">
        <f t="shared" si="99"/>
        <v>-0.52092697449068948</v>
      </c>
      <c r="E3112">
        <v>-3.6421027072964835E-3</v>
      </c>
      <c r="G3112">
        <v>3110</v>
      </c>
      <c r="H3112">
        <f t="shared" ca="1" si="100"/>
        <v>-3.9495373019640755E-2</v>
      </c>
    </row>
    <row r="3113" spans="2:8" x14ac:dyDescent="0.3">
      <c r="B3113" s="113">
        <v>41127</v>
      </c>
      <c r="C3113">
        <v>171.31</v>
      </c>
      <c r="D3113">
        <f t="shared" si="99"/>
        <v>6.0065439672801642</v>
      </c>
      <c r="E3113">
        <v>-3.6640688612306353E-3</v>
      </c>
      <c r="G3113">
        <v>3111</v>
      </c>
      <c r="H3113">
        <f t="shared" ca="1" si="100"/>
        <v>3.7362065760147521E-2</v>
      </c>
    </row>
    <row r="3114" spans="2:8" x14ac:dyDescent="0.3">
      <c r="B3114" s="113">
        <v>38272</v>
      </c>
      <c r="C3114">
        <v>24.45</v>
      </c>
      <c r="D3114">
        <f t="shared" si="99"/>
        <v>-0.89981561155500922</v>
      </c>
      <c r="E3114">
        <v>-3.6674816625916814E-3</v>
      </c>
      <c r="G3114">
        <v>3112</v>
      </c>
      <c r="H3114">
        <f t="shared" ca="1" si="100"/>
        <v>-1.3562482540264828E-2</v>
      </c>
    </row>
    <row r="3115" spans="2:8" x14ac:dyDescent="0.3">
      <c r="B3115" s="113">
        <v>43802</v>
      </c>
      <c r="C3115">
        <v>244.05</v>
      </c>
      <c r="D3115">
        <f t="shared" si="99"/>
        <v>0.20073800738007386</v>
      </c>
      <c r="E3115">
        <v>-3.6742192284138693E-3</v>
      </c>
      <c r="G3115">
        <v>3113</v>
      </c>
      <c r="H3115">
        <f t="shared" ca="1" si="100"/>
        <v>1.2095570451008725E-2</v>
      </c>
    </row>
    <row r="3116" spans="2:8" x14ac:dyDescent="0.3">
      <c r="B3116" s="113">
        <v>44328</v>
      </c>
      <c r="C3116">
        <v>203.25</v>
      </c>
      <c r="D3116">
        <f t="shared" si="99"/>
        <v>-0.11630434782608695</v>
      </c>
      <c r="E3116">
        <v>-3.6764705882352941E-3</v>
      </c>
      <c r="G3116">
        <v>3114</v>
      </c>
      <c r="H3116">
        <f t="shared" ca="1" si="100"/>
        <v>2.5379064283678277E-3</v>
      </c>
    </row>
    <row r="3117" spans="2:8" x14ac:dyDescent="0.3">
      <c r="B3117" s="113">
        <v>44511</v>
      </c>
      <c r="C3117">
        <v>230</v>
      </c>
      <c r="D3117">
        <f t="shared" si="99"/>
        <v>0.41835224469659599</v>
      </c>
      <c r="E3117">
        <v>-3.6820446177171077E-3</v>
      </c>
      <c r="G3117">
        <v>3115</v>
      </c>
      <c r="H3117">
        <f t="shared" ca="1" si="100"/>
        <v>3.942450121372526E-2</v>
      </c>
    </row>
    <row r="3118" spans="2:8" x14ac:dyDescent="0.3">
      <c r="B3118" s="113">
        <v>41031</v>
      </c>
      <c r="C3118">
        <v>162.16</v>
      </c>
      <c r="D3118">
        <f t="shared" si="99"/>
        <v>-0.32571000873217187</v>
      </c>
      <c r="E3118">
        <v>-3.6864094372081246E-3</v>
      </c>
      <c r="G3118">
        <v>3116</v>
      </c>
      <c r="H3118">
        <f t="shared" ca="1" si="100"/>
        <v>-2.3479207499643787E-2</v>
      </c>
    </row>
    <row r="3119" spans="2:8" x14ac:dyDescent="0.3">
      <c r="B3119" s="113">
        <v>41919</v>
      </c>
      <c r="C3119">
        <v>240.49</v>
      </c>
      <c r="D3119">
        <f t="shared" si="99"/>
        <v>-1.0939749126053862E-2</v>
      </c>
      <c r="E3119">
        <v>-3.6871323224790223E-3</v>
      </c>
      <c r="G3119">
        <v>3117</v>
      </c>
      <c r="H3119">
        <f t="shared" ca="1" si="100"/>
        <v>-2.1816157317230871E-3</v>
      </c>
    </row>
    <row r="3120" spans="2:8" x14ac:dyDescent="0.3">
      <c r="B3120" s="113">
        <v>43803</v>
      </c>
      <c r="C3120">
        <v>243.15</v>
      </c>
      <c r="D3120">
        <f t="shared" si="99"/>
        <v>9.0102923013585841</v>
      </c>
      <c r="E3120">
        <v>-3.6877688998156349E-3</v>
      </c>
      <c r="G3120">
        <v>3118</v>
      </c>
      <c r="H3120">
        <f t="shared" ca="1" si="100"/>
        <v>-1.0989355078206467E-2</v>
      </c>
    </row>
    <row r="3121" spans="2:8" x14ac:dyDescent="0.3">
      <c r="B3121" s="113">
        <v>38279</v>
      </c>
      <c r="C3121">
        <v>24.29</v>
      </c>
      <c r="D3121">
        <f t="shared" si="99"/>
        <v>-0.59038785834738616</v>
      </c>
      <c r="E3121">
        <v>-3.6915504511894938E-3</v>
      </c>
      <c r="G3121">
        <v>3119</v>
      </c>
      <c r="H3121">
        <f t="shared" ca="1" si="100"/>
        <v>1.8139629990722307E-2</v>
      </c>
    </row>
    <row r="3122" spans="2:8" x14ac:dyDescent="0.3">
      <c r="B3122" s="113">
        <v>39386</v>
      </c>
      <c r="C3122">
        <v>59.3</v>
      </c>
      <c r="D3122">
        <f t="shared" si="99"/>
        <v>-0.54825931286661089</v>
      </c>
      <c r="E3122">
        <v>-3.6962365591398849E-3</v>
      </c>
      <c r="G3122">
        <v>3120</v>
      </c>
      <c r="H3122">
        <f t="shared" ca="1" si="100"/>
        <v>1.2623004743960692E-2</v>
      </c>
    </row>
    <row r="3123" spans="2:8" x14ac:dyDescent="0.3">
      <c r="B3123" s="113">
        <v>40767</v>
      </c>
      <c r="C3123">
        <v>131.27000000000001</v>
      </c>
      <c r="D3123">
        <f t="shared" si="99"/>
        <v>1.0517349171616133</v>
      </c>
      <c r="E3123">
        <v>-3.7188828172433266E-3</v>
      </c>
      <c r="G3123">
        <v>3121</v>
      </c>
      <c r="H3123">
        <f t="shared" ca="1" si="100"/>
        <v>-1.4213352063756825E-2</v>
      </c>
    </row>
    <row r="3124" spans="2:8" x14ac:dyDescent="0.3">
      <c r="B3124" s="113">
        <v>39715</v>
      </c>
      <c r="C3124">
        <v>63.98</v>
      </c>
      <c r="D3124">
        <f t="shared" si="99"/>
        <v>0.2060320452403393</v>
      </c>
      <c r="E3124">
        <v>-3.7371535347244158E-3</v>
      </c>
      <c r="G3124">
        <v>3122</v>
      </c>
      <c r="H3124">
        <f t="shared" ca="1" si="100"/>
        <v>6.8351592359980253E-3</v>
      </c>
    </row>
    <row r="3125" spans="2:8" x14ac:dyDescent="0.3">
      <c r="B3125" s="113">
        <v>39202</v>
      </c>
      <c r="C3125">
        <v>53.05</v>
      </c>
      <c r="D3125">
        <f t="shared" si="99"/>
        <v>-0.12904285010671482</v>
      </c>
      <c r="E3125">
        <v>-3.7558685446009922E-3</v>
      </c>
      <c r="G3125">
        <v>3123</v>
      </c>
      <c r="H3125">
        <f t="shared" ca="1" si="100"/>
        <v>1.1227365641959971E-2</v>
      </c>
    </row>
    <row r="3126" spans="2:8" x14ac:dyDescent="0.3">
      <c r="B3126" s="113">
        <v>38986</v>
      </c>
      <c r="C3126">
        <v>60.91</v>
      </c>
      <c r="D3126">
        <f t="shared" si="99"/>
        <v>-0.73495496279535266</v>
      </c>
      <c r="E3126">
        <v>-3.7618580307491657E-3</v>
      </c>
      <c r="G3126">
        <v>3124</v>
      </c>
      <c r="H3126">
        <f t="shared" ca="1" si="100"/>
        <v>3.0360934975495984E-3</v>
      </c>
    </row>
    <row r="3127" spans="2:8" x14ac:dyDescent="0.3">
      <c r="B3127" s="113">
        <v>41766</v>
      </c>
      <c r="C3127">
        <v>229.81</v>
      </c>
      <c r="D3127">
        <f t="shared" si="99"/>
        <v>1.7225447221893142</v>
      </c>
      <c r="E3127">
        <v>-3.7714582972082733E-3</v>
      </c>
      <c r="G3127">
        <v>3125</v>
      </c>
      <c r="H3127">
        <f t="shared" ca="1" si="100"/>
        <v>-9.5665375244257892E-3</v>
      </c>
    </row>
    <row r="3128" spans="2:8" x14ac:dyDescent="0.3">
      <c r="B3128" s="113">
        <v>40134</v>
      </c>
      <c r="C3128">
        <v>84.41</v>
      </c>
      <c r="D3128">
        <f t="shared" si="99"/>
        <v>-0.62782186948853624</v>
      </c>
      <c r="E3128">
        <v>-3.7767024666588854E-3</v>
      </c>
      <c r="G3128">
        <v>3126</v>
      </c>
      <c r="H3128">
        <f t="shared" ca="1" si="100"/>
        <v>-1.1392007711011362E-2</v>
      </c>
    </row>
    <row r="3129" spans="2:8" x14ac:dyDescent="0.3">
      <c r="B3129" s="113">
        <v>42117</v>
      </c>
      <c r="C3129">
        <v>226.8</v>
      </c>
      <c r="D3129">
        <f t="shared" si="99"/>
        <v>1.1515985200645102</v>
      </c>
      <c r="E3129">
        <v>-3.7775630325923974E-3</v>
      </c>
      <c r="G3129">
        <v>3127</v>
      </c>
      <c r="H3129">
        <f t="shared" ca="1" si="100"/>
        <v>-1.1963911373484061E-4</v>
      </c>
    </row>
    <row r="3130" spans="2:8" x14ac:dyDescent="0.3">
      <c r="B3130" s="113">
        <v>40576</v>
      </c>
      <c r="C3130">
        <v>105.41</v>
      </c>
      <c r="D3130">
        <f t="shared" si="99"/>
        <v>3.4703138252756576</v>
      </c>
      <c r="E3130">
        <v>-3.7803610244778914E-3</v>
      </c>
      <c r="G3130">
        <v>3128</v>
      </c>
      <c r="H3130">
        <f t="shared" ca="1" si="100"/>
        <v>-1.1973918481018168E-2</v>
      </c>
    </row>
    <row r="3131" spans="2:8" x14ac:dyDescent="0.3">
      <c r="B3131" s="113">
        <v>38075</v>
      </c>
      <c r="C3131">
        <v>23.58</v>
      </c>
      <c r="D3131">
        <f t="shared" si="99"/>
        <v>0.50095480585614238</v>
      </c>
      <c r="E3131">
        <v>-3.8022813688214367E-3</v>
      </c>
      <c r="G3131">
        <v>3129</v>
      </c>
      <c r="H3131">
        <f t="shared" ca="1" si="100"/>
        <v>-1.8455910671972119E-2</v>
      </c>
    </row>
    <row r="3132" spans="2:8" x14ac:dyDescent="0.3">
      <c r="B3132" s="113">
        <v>37785</v>
      </c>
      <c r="C3132">
        <v>15.71</v>
      </c>
      <c r="D3132">
        <f t="shared" si="99"/>
        <v>-0.94268515140459697</v>
      </c>
      <c r="E3132">
        <v>-3.8046924540265517E-3</v>
      </c>
      <c r="G3132">
        <v>3130</v>
      </c>
      <c r="H3132">
        <f t="shared" ca="1" si="100"/>
        <v>-8.168931143265919E-3</v>
      </c>
    </row>
    <row r="3133" spans="2:8" x14ac:dyDescent="0.3">
      <c r="B3133" s="113">
        <v>43139</v>
      </c>
      <c r="C3133">
        <v>274.10000000000002</v>
      </c>
      <c r="D3133">
        <f t="shared" si="99"/>
        <v>0.99883322394807872</v>
      </c>
      <c r="E3133">
        <v>-3.8161003089222409E-3</v>
      </c>
      <c r="G3133">
        <v>3131</v>
      </c>
      <c r="H3133">
        <f t="shared" ca="1" si="100"/>
        <v>-8.7187427964609404E-3</v>
      </c>
    </row>
    <row r="3134" spans="2:8" x14ac:dyDescent="0.3">
      <c r="B3134" s="113">
        <v>40969</v>
      </c>
      <c r="C3134">
        <v>137.13</v>
      </c>
      <c r="D3134">
        <f t="shared" si="99"/>
        <v>1.1220984215413183</v>
      </c>
      <c r="E3134">
        <v>-3.8500653784686993E-3</v>
      </c>
      <c r="G3134">
        <v>3132</v>
      </c>
      <c r="H3134">
        <f t="shared" ca="1" si="100"/>
        <v>3.155707962131777E-2</v>
      </c>
    </row>
    <row r="3135" spans="2:8" x14ac:dyDescent="0.3">
      <c r="B3135" s="113">
        <v>39673</v>
      </c>
      <c r="C3135">
        <v>64.62</v>
      </c>
      <c r="D3135">
        <f t="shared" si="99"/>
        <v>3.1798188874514879</v>
      </c>
      <c r="E3135">
        <v>-3.8538615692924306E-3</v>
      </c>
      <c r="G3135">
        <v>3133</v>
      </c>
      <c r="H3135">
        <f t="shared" ca="1" si="100"/>
        <v>-2.2909428520993976E-2</v>
      </c>
    </row>
    <row r="3136" spans="2:8" x14ac:dyDescent="0.3">
      <c r="B3136" s="113">
        <v>37498</v>
      </c>
      <c r="C3136">
        <v>15.46</v>
      </c>
      <c r="D3136">
        <f t="shared" si="99"/>
        <v>-0.72661361626878862</v>
      </c>
      <c r="E3136">
        <v>-3.8659793814432167E-3</v>
      </c>
      <c r="G3136">
        <v>3134</v>
      </c>
      <c r="H3136">
        <f t="shared" ca="1" si="100"/>
        <v>-1.0478310981386095E-2</v>
      </c>
    </row>
    <row r="3137" spans="2:8" x14ac:dyDescent="0.3">
      <c r="B3137" s="113">
        <v>39835</v>
      </c>
      <c r="C3137">
        <v>56.55</v>
      </c>
      <c r="D3137">
        <f t="shared" si="99"/>
        <v>-0.73484315656210442</v>
      </c>
      <c r="E3137">
        <v>-3.8752862427339431E-3</v>
      </c>
      <c r="G3137">
        <v>3135</v>
      </c>
      <c r="H3137">
        <f t="shared" ca="1" si="100"/>
        <v>1.8145638940168206E-2</v>
      </c>
    </row>
    <row r="3138" spans="2:8" x14ac:dyDescent="0.3">
      <c r="B3138" s="113">
        <v>41452</v>
      </c>
      <c r="C3138">
        <v>213.27</v>
      </c>
      <c r="D3138">
        <f t="shared" si="99"/>
        <v>5.9243506493506493</v>
      </c>
      <c r="E3138">
        <v>-3.8766931340494352E-3</v>
      </c>
      <c r="G3138">
        <v>3136</v>
      </c>
      <c r="H3138">
        <f t="shared" ca="1" si="100"/>
        <v>1.0034138237885602E-3</v>
      </c>
    </row>
    <row r="3139" spans="2:8" x14ac:dyDescent="0.3">
      <c r="B3139" s="113">
        <v>38464</v>
      </c>
      <c r="C3139">
        <v>30.8</v>
      </c>
      <c r="D3139">
        <f t="shared" ref="D3139:D3202" si="101">(C3139-C3140)/C3140</f>
        <v>-0.89072201525634198</v>
      </c>
      <c r="E3139">
        <v>-3.8809831824062413E-3</v>
      </c>
      <c r="G3139">
        <v>3137</v>
      </c>
      <c r="H3139">
        <f t="shared" ca="1" si="100"/>
        <v>-2.8461326448734202E-3</v>
      </c>
    </row>
    <row r="3140" spans="2:8" x14ac:dyDescent="0.3">
      <c r="B3140" s="113">
        <v>43438</v>
      </c>
      <c r="C3140">
        <v>281.85000000000002</v>
      </c>
      <c r="D3140">
        <f t="shared" si="101"/>
        <v>4.815916697657139E-2</v>
      </c>
      <c r="E3140">
        <v>-3.8876126524119664E-3</v>
      </c>
      <c r="G3140">
        <v>3138</v>
      </c>
      <c r="H3140">
        <f t="shared" ref="H3140:H3203" ca="1" si="102">_xlfn.NORM.INV(RAND(),$L$4,$L$6)</f>
        <v>4.3156672855235315E-3</v>
      </c>
    </row>
    <row r="3141" spans="2:8" x14ac:dyDescent="0.3">
      <c r="B3141" s="113">
        <v>43255</v>
      </c>
      <c r="C3141">
        <v>268.89999999999998</v>
      </c>
      <c r="D3141">
        <f t="shared" si="101"/>
        <v>8.5456159034433767</v>
      </c>
      <c r="E3141">
        <v>-3.8896091868865028E-3</v>
      </c>
      <c r="G3141">
        <v>3139</v>
      </c>
      <c r="H3141">
        <f t="shared" ca="1" si="102"/>
        <v>5.2238924198392354E-3</v>
      </c>
    </row>
    <row r="3142" spans="2:8" x14ac:dyDescent="0.3">
      <c r="B3142" s="113">
        <v>38337</v>
      </c>
      <c r="C3142">
        <v>28.17</v>
      </c>
      <c r="D3142">
        <f t="shared" si="101"/>
        <v>-0.89991117427607026</v>
      </c>
      <c r="E3142">
        <v>-3.8896746817538696E-3</v>
      </c>
      <c r="G3142">
        <v>3140</v>
      </c>
      <c r="H3142">
        <f t="shared" ca="1" si="102"/>
        <v>2.7028390488088354E-2</v>
      </c>
    </row>
    <row r="3143" spans="2:8" x14ac:dyDescent="0.3">
      <c r="B3143" s="113">
        <v>42971</v>
      </c>
      <c r="C3143">
        <v>281.45</v>
      </c>
      <c r="D3143">
        <f t="shared" si="101"/>
        <v>4.2392032762472081</v>
      </c>
      <c r="E3143">
        <v>-3.8931162626084682E-3</v>
      </c>
      <c r="G3143">
        <v>3141</v>
      </c>
      <c r="H3143">
        <f t="shared" ca="1" si="102"/>
        <v>1.2770159654726537E-2</v>
      </c>
    </row>
    <row r="3144" spans="2:8" x14ac:dyDescent="0.3">
      <c r="B3144" s="113">
        <v>39091</v>
      </c>
      <c r="C3144">
        <v>53.72</v>
      </c>
      <c r="D3144">
        <f t="shared" si="101"/>
        <v>-0.80848484848484847</v>
      </c>
      <c r="E3144">
        <v>-3.8939365844613545E-3</v>
      </c>
      <c r="G3144">
        <v>3142</v>
      </c>
      <c r="H3144">
        <f t="shared" ca="1" si="102"/>
        <v>2.7602012259682954E-2</v>
      </c>
    </row>
    <row r="3145" spans="2:8" x14ac:dyDescent="0.3">
      <c r="B3145" s="113">
        <v>42822</v>
      </c>
      <c r="C3145">
        <v>280.5</v>
      </c>
      <c r="D3145">
        <f t="shared" si="101"/>
        <v>11.281085814360772</v>
      </c>
      <c r="E3145">
        <v>-3.9062500000000807E-3</v>
      </c>
      <c r="G3145">
        <v>3143</v>
      </c>
      <c r="H3145">
        <f t="shared" ca="1" si="102"/>
        <v>-3.7885157767172987E-3</v>
      </c>
    </row>
    <row r="3146" spans="2:8" x14ac:dyDescent="0.3">
      <c r="B3146" s="113">
        <v>38201</v>
      </c>
      <c r="C3146">
        <v>22.84</v>
      </c>
      <c r="D3146">
        <f t="shared" si="101"/>
        <v>-0.30724901425538365</v>
      </c>
      <c r="E3146">
        <v>-3.9249890972525014E-3</v>
      </c>
      <c r="G3146">
        <v>3144</v>
      </c>
      <c r="H3146">
        <f t="shared" ca="1" si="102"/>
        <v>2.6348387310289802E-2</v>
      </c>
    </row>
    <row r="3147" spans="2:8" x14ac:dyDescent="0.3">
      <c r="B3147" s="113">
        <v>38495</v>
      </c>
      <c r="C3147">
        <v>32.97</v>
      </c>
      <c r="D3147">
        <f t="shared" si="101"/>
        <v>-0.87602932882120699</v>
      </c>
      <c r="E3147">
        <v>-3.9274924471299861E-3</v>
      </c>
      <c r="G3147">
        <v>3145</v>
      </c>
      <c r="H3147">
        <f t="shared" ca="1" si="102"/>
        <v>-2.8956215622754296E-2</v>
      </c>
    </row>
    <row r="3148" spans="2:8" x14ac:dyDescent="0.3">
      <c r="B3148" s="113">
        <v>43021</v>
      </c>
      <c r="C3148">
        <v>265.95</v>
      </c>
      <c r="D3148">
        <f t="shared" si="101"/>
        <v>0.26588604883621297</v>
      </c>
      <c r="E3148">
        <v>-3.9325842696629641E-3</v>
      </c>
      <c r="G3148">
        <v>3146</v>
      </c>
      <c r="H3148">
        <f t="shared" ca="1" si="102"/>
        <v>-4.4666593496329567E-3</v>
      </c>
    </row>
    <row r="3149" spans="2:8" x14ac:dyDescent="0.3">
      <c r="B3149" s="113">
        <v>42233</v>
      </c>
      <c r="C3149">
        <v>210.09</v>
      </c>
      <c r="D3149">
        <f t="shared" si="101"/>
        <v>0.66000316055625785</v>
      </c>
      <c r="E3149">
        <v>-3.9351412857954867E-3</v>
      </c>
      <c r="G3149">
        <v>3147</v>
      </c>
      <c r="H3149">
        <f t="shared" ca="1" si="102"/>
        <v>-1.0178967606494119E-2</v>
      </c>
    </row>
    <row r="3150" spans="2:8" x14ac:dyDescent="0.3">
      <c r="B3150" s="113">
        <v>40707</v>
      </c>
      <c r="C3150">
        <v>126.56</v>
      </c>
      <c r="D3150">
        <f t="shared" si="101"/>
        <v>8.803301237964245E-2</v>
      </c>
      <c r="E3150">
        <v>-3.935148748622698E-3</v>
      </c>
      <c r="G3150">
        <v>3148</v>
      </c>
      <c r="H3150">
        <f t="shared" ca="1" si="102"/>
        <v>1.8996414660839489E-3</v>
      </c>
    </row>
    <row r="3151" spans="2:8" x14ac:dyDescent="0.3">
      <c r="B3151" s="113">
        <v>40562</v>
      </c>
      <c r="C3151">
        <v>116.32</v>
      </c>
      <c r="D3151">
        <f t="shared" si="101"/>
        <v>-0.53987341772151909</v>
      </c>
      <c r="E3151">
        <v>-3.939030655934303E-3</v>
      </c>
      <c r="G3151">
        <v>3149</v>
      </c>
      <c r="H3151">
        <f t="shared" ca="1" si="102"/>
        <v>1.9196527841992599E-2</v>
      </c>
    </row>
    <row r="3152" spans="2:8" x14ac:dyDescent="0.3">
      <c r="B3152" s="113">
        <v>42611</v>
      </c>
      <c r="C3152">
        <v>252.8</v>
      </c>
      <c r="D3152">
        <f t="shared" si="101"/>
        <v>-8.8680605623648046E-2</v>
      </c>
      <c r="E3152">
        <v>-3.9401103230890461E-3</v>
      </c>
      <c r="G3152">
        <v>3150</v>
      </c>
      <c r="H3152">
        <f t="shared" ca="1" si="102"/>
        <v>-3.15886336067768E-2</v>
      </c>
    </row>
    <row r="3153" spans="2:8" x14ac:dyDescent="0.3">
      <c r="B3153" s="113">
        <v>43642</v>
      </c>
      <c r="C3153">
        <v>277.39999999999998</v>
      </c>
      <c r="D3153">
        <f t="shared" si="101"/>
        <v>0.32581369784447733</v>
      </c>
      <c r="E3153">
        <v>-3.9497307001796151E-3</v>
      </c>
      <c r="G3153">
        <v>3151</v>
      </c>
      <c r="H3153">
        <f t="shared" ca="1" si="102"/>
        <v>-4.5160632428776513E-2</v>
      </c>
    </row>
    <row r="3154" spans="2:8" x14ac:dyDescent="0.3">
      <c r="B3154" s="113">
        <v>41648</v>
      </c>
      <c r="C3154">
        <v>209.23</v>
      </c>
      <c r="D3154">
        <f t="shared" si="101"/>
        <v>-0.20925925925925937</v>
      </c>
      <c r="E3154">
        <v>-3.9512520232315171E-3</v>
      </c>
      <c r="G3154">
        <v>3152</v>
      </c>
      <c r="H3154">
        <f t="shared" ca="1" si="102"/>
        <v>-8.5202771922810727E-3</v>
      </c>
    </row>
    <row r="3155" spans="2:8" x14ac:dyDescent="0.3">
      <c r="B3155" s="113">
        <v>42793</v>
      </c>
      <c r="C3155">
        <v>264.60000000000002</v>
      </c>
      <c r="D3155">
        <f t="shared" si="101"/>
        <v>7.5642965204253214E-4</v>
      </c>
      <c r="E3155">
        <v>-3.9525691699603032E-3</v>
      </c>
      <c r="G3155">
        <v>3153</v>
      </c>
      <c r="H3155">
        <f t="shared" ca="1" si="102"/>
        <v>-1.0441680010862299E-2</v>
      </c>
    </row>
    <row r="3156" spans="2:8" x14ac:dyDescent="0.3">
      <c r="B3156" s="113">
        <v>43285</v>
      </c>
      <c r="C3156">
        <v>264.39999999999998</v>
      </c>
      <c r="D3156">
        <f t="shared" si="101"/>
        <v>16.509933774834437</v>
      </c>
      <c r="E3156">
        <v>-3.955547184027167E-3</v>
      </c>
      <c r="G3156">
        <v>3154</v>
      </c>
      <c r="H3156">
        <f t="shared" ca="1" si="102"/>
        <v>7.2791922020146423E-3</v>
      </c>
    </row>
    <row r="3157" spans="2:8" x14ac:dyDescent="0.3">
      <c r="B3157" s="113">
        <v>37728</v>
      </c>
      <c r="C3157">
        <v>15.1</v>
      </c>
      <c r="D3157">
        <f t="shared" si="101"/>
        <v>-0.94280303030303036</v>
      </c>
      <c r="E3157">
        <v>-3.9577836411609823E-3</v>
      </c>
      <c r="G3157">
        <v>3155</v>
      </c>
      <c r="H3157">
        <f t="shared" ca="1" si="102"/>
        <v>-2.0679622391896864E-2</v>
      </c>
    </row>
    <row r="3158" spans="2:8" x14ac:dyDescent="0.3">
      <c r="B3158" s="113">
        <v>43160</v>
      </c>
      <c r="C3158">
        <v>264</v>
      </c>
      <c r="D3158">
        <f t="shared" si="101"/>
        <v>0.11041009463722397</v>
      </c>
      <c r="E3158">
        <v>-3.9615166949632571E-3</v>
      </c>
      <c r="G3158">
        <v>3156</v>
      </c>
      <c r="H3158">
        <f t="shared" ca="1" si="102"/>
        <v>-9.6471419880555381E-3</v>
      </c>
    </row>
    <row r="3159" spans="2:8" x14ac:dyDescent="0.3">
      <c r="B3159" s="113">
        <v>44467</v>
      </c>
      <c r="C3159">
        <v>237.75</v>
      </c>
      <c r="D3159">
        <f t="shared" si="101"/>
        <v>6.7627643809780424E-2</v>
      </c>
      <c r="E3159">
        <v>-3.9798910766652229E-3</v>
      </c>
      <c r="G3159">
        <v>3157</v>
      </c>
      <c r="H3159">
        <f t="shared" ca="1" si="102"/>
        <v>1.158341128409303E-2</v>
      </c>
    </row>
    <row r="3160" spans="2:8" x14ac:dyDescent="0.3">
      <c r="B3160" s="113">
        <v>42332</v>
      </c>
      <c r="C3160">
        <v>222.69</v>
      </c>
      <c r="D3160">
        <f t="shared" si="101"/>
        <v>-3.2413643276124303E-2</v>
      </c>
      <c r="E3160">
        <v>-3.9806780570713603E-3</v>
      </c>
      <c r="G3160">
        <v>3158</v>
      </c>
      <c r="H3160">
        <f t="shared" ca="1" si="102"/>
        <v>1.5024732717164307E-3</v>
      </c>
    </row>
    <row r="3161" spans="2:8" x14ac:dyDescent="0.3">
      <c r="B3161" s="113">
        <v>41557</v>
      </c>
      <c r="C3161">
        <v>230.15</v>
      </c>
      <c r="D3161">
        <f t="shared" si="101"/>
        <v>0.73973845339783828</v>
      </c>
      <c r="E3161">
        <v>-3.9814774743583657E-3</v>
      </c>
      <c r="G3161">
        <v>3159</v>
      </c>
      <c r="H3161">
        <f t="shared" ca="1" si="102"/>
        <v>-3.1375560130228838E-2</v>
      </c>
    </row>
    <row r="3162" spans="2:8" x14ac:dyDescent="0.3">
      <c r="B3162" s="113">
        <v>40912</v>
      </c>
      <c r="C3162">
        <v>132.29</v>
      </c>
      <c r="D3162">
        <f t="shared" si="101"/>
        <v>1.304703832752613</v>
      </c>
      <c r="E3162">
        <v>-3.9903628971540515E-3</v>
      </c>
      <c r="G3162">
        <v>3160</v>
      </c>
      <c r="H3162">
        <f t="shared" ca="1" si="102"/>
        <v>2.1843163317983423E-2</v>
      </c>
    </row>
    <row r="3163" spans="2:8" x14ac:dyDescent="0.3">
      <c r="B3163" s="113">
        <v>38785</v>
      </c>
      <c r="C3163">
        <v>57.4</v>
      </c>
      <c r="D3163">
        <f t="shared" si="101"/>
        <v>-0.73236350072271172</v>
      </c>
      <c r="E3163">
        <v>-3.9909769217422167E-3</v>
      </c>
      <c r="G3163">
        <v>3161</v>
      </c>
      <c r="H3163">
        <f t="shared" ca="1" si="102"/>
        <v>1.4176791299185001E-2</v>
      </c>
    </row>
    <row r="3164" spans="2:8" x14ac:dyDescent="0.3">
      <c r="B3164" s="113">
        <v>42500</v>
      </c>
      <c r="C3164">
        <v>214.47</v>
      </c>
      <c r="D3164">
        <f t="shared" si="101"/>
        <v>-0.21683403322987044</v>
      </c>
      <c r="E3164">
        <v>-3.9938698741467217E-3</v>
      </c>
      <c r="G3164">
        <v>3162</v>
      </c>
      <c r="H3164">
        <f t="shared" ca="1" si="102"/>
        <v>1.1554411874069697E-2</v>
      </c>
    </row>
    <row r="3165" spans="2:8" x14ac:dyDescent="0.3">
      <c r="B3165" s="113">
        <v>43648</v>
      </c>
      <c r="C3165">
        <v>273.85000000000002</v>
      </c>
      <c r="D3165">
        <f t="shared" si="101"/>
        <v>0.18734824835241085</v>
      </c>
      <c r="E3165">
        <v>-4.0007274049826003E-3</v>
      </c>
      <c r="G3165">
        <v>3163</v>
      </c>
      <c r="H3165">
        <f t="shared" ca="1" si="102"/>
        <v>1.903090848738952E-2</v>
      </c>
    </row>
    <row r="3166" spans="2:8" x14ac:dyDescent="0.3">
      <c r="B3166" s="113">
        <v>41544</v>
      </c>
      <c r="C3166">
        <v>230.64</v>
      </c>
      <c r="D3166">
        <f t="shared" si="101"/>
        <v>3.0441872698579693</v>
      </c>
      <c r="E3166">
        <v>-4.0160642570281424E-3</v>
      </c>
      <c r="G3166">
        <v>3164</v>
      </c>
      <c r="H3166">
        <f t="shared" ca="1" si="102"/>
        <v>4.7295747859705216E-2</v>
      </c>
    </row>
    <row r="3167" spans="2:8" x14ac:dyDescent="0.3">
      <c r="B3167" s="113">
        <v>39330</v>
      </c>
      <c r="C3167">
        <v>57.03</v>
      </c>
      <c r="D3167">
        <f t="shared" si="101"/>
        <v>-0.49973684210526315</v>
      </c>
      <c r="E3167">
        <v>-4.0167656304575076E-3</v>
      </c>
      <c r="G3167">
        <v>3165</v>
      </c>
      <c r="H3167">
        <f t="shared" ca="1" si="102"/>
        <v>2.2661617553544983E-2</v>
      </c>
    </row>
    <row r="3168" spans="2:8" x14ac:dyDescent="0.3">
      <c r="B3168" s="113">
        <v>40610</v>
      </c>
      <c r="C3168">
        <v>114</v>
      </c>
      <c r="D3168">
        <f t="shared" si="101"/>
        <v>-0.52028278067665379</v>
      </c>
      <c r="E3168">
        <v>-4.0188712213873297E-3</v>
      </c>
      <c r="G3168">
        <v>3166</v>
      </c>
      <c r="H3168">
        <f t="shared" ca="1" si="102"/>
        <v>-3.8354743296398132E-2</v>
      </c>
    </row>
    <row r="3169" spans="2:8" x14ac:dyDescent="0.3">
      <c r="B3169" s="113">
        <v>41726</v>
      </c>
      <c r="C3169">
        <v>237.64</v>
      </c>
      <c r="D3169">
        <f t="shared" si="101"/>
        <v>-8.4062439776450198E-2</v>
      </c>
      <c r="E3169">
        <v>-4.0234702430846942E-3</v>
      </c>
      <c r="G3169">
        <v>3167</v>
      </c>
      <c r="H3169">
        <f t="shared" ca="1" si="102"/>
        <v>3.2075904230717357E-2</v>
      </c>
    </row>
    <row r="3170" spans="2:8" x14ac:dyDescent="0.3">
      <c r="B3170" s="113">
        <v>43780</v>
      </c>
      <c r="C3170">
        <v>259.45</v>
      </c>
      <c r="D3170">
        <f t="shared" si="101"/>
        <v>6.5050621926525887</v>
      </c>
      <c r="E3170">
        <v>-4.0307101727447654E-3</v>
      </c>
      <c r="G3170">
        <v>3168</v>
      </c>
      <c r="H3170">
        <f t="shared" ca="1" si="102"/>
        <v>-8.4630437092100708E-3</v>
      </c>
    </row>
    <row r="3171" spans="2:8" x14ac:dyDescent="0.3">
      <c r="B3171" s="113">
        <v>38518</v>
      </c>
      <c r="C3171">
        <v>34.57</v>
      </c>
      <c r="D3171">
        <f t="shared" si="101"/>
        <v>-0.43943570617804445</v>
      </c>
      <c r="E3171">
        <v>-4.0334197637568589E-3</v>
      </c>
      <c r="G3171">
        <v>3169</v>
      </c>
      <c r="H3171">
        <f t="shared" ca="1" si="102"/>
        <v>2.6660557731980679E-2</v>
      </c>
    </row>
    <row r="3172" spans="2:8" x14ac:dyDescent="0.3">
      <c r="B3172" s="113">
        <v>39948</v>
      </c>
      <c r="C3172">
        <v>61.67</v>
      </c>
      <c r="D3172">
        <f t="shared" si="101"/>
        <v>-0.76175391153177507</v>
      </c>
      <c r="E3172">
        <v>-4.0374677002583976E-3</v>
      </c>
      <c r="G3172">
        <v>3170</v>
      </c>
      <c r="H3172">
        <f t="shared" ca="1" si="102"/>
        <v>1.7138457537756779E-2</v>
      </c>
    </row>
    <row r="3173" spans="2:8" x14ac:dyDescent="0.3">
      <c r="B3173" s="113">
        <v>43167</v>
      </c>
      <c r="C3173">
        <v>258.85000000000002</v>
      </c>
      <c r="D3173">
        <f t="shared" si="101"/>
        <v>3.7731882721740742</v>
      </c>
      <c r="E3173">
        <v>-4.0400153905346464E-3</v>
      </c>
      <c r="G3173">
        <v>3171</v>
      </c>
      <c r="H3173">
        <f t="shared" ca="1" si="102"/>
        <v>-1.9713345705174606E-2</v>
      </c>
    </row>
    <row r="3174" spans="2:8" x14ac:dyDescent="0.3">
      <c r="B3174" s="113">
        <v>38770</v>
      </c>
      <c r="C3174">
        <v>54.23</v>
      </c>
      <c r="D3174">
        <f t="shared" si="101"/>
        <v>-0.71034077555816688</v>
      </c>
      <c r="E3174">
        <v>-4.0404040404041497E-3</v>
      </c>
      <c r="G3174">
        <v>3172</v>
      </c>
      <c r="H3174">
        <f t="shared" ca="1" si="102"/>
        <v>2.4224418965556954E-4</v>
      </c>
    </row>
    <row r="3175" spans="2:8" x14ac:dyDescent="0.3">
      <c r="B3175" s="113">
        <v>41278</v>
      </c>
      <c r="C3175">
        <v>187.22</v>
      </c>
      <c r="D3175">
        <f t="shared" si="101"/>
        <v>0.3406373075546007</v>
      </c>
      <c r="E3175">
        <v>-4.0429832960952811E-3</v>
      </c>
      <c r="G3175">
        <v>3173</v>
      </c>
      <c r="H3175">
        <f t="shared" ca="1" si="102"/>
        <v>-1.1649161968778724E-2</v>
      </c>
    </row>
    <row r="3176" spans="2:8" x14ac:dyDescent="0.3">
      <c r="B3176" s="113">
        <v>40862</v>
      </c>
      <c r="C3176">
        <v>139.65</v>
      </c>
      <c r="D3176">
        <f t="shared" si="101"/>
        <v>-0.24915318027850961</v>
      </c>
      <c r="E3176">
        <v>-4.0650406504064551E-3</v>
      </c>
      <c r="G3176">
        <v>3174</v>
      </c>
      <c r="H3176">
        <f t="shared" ca="1" si="102"/>
        <v>1.4405843818691042E-2</v>
      </c>
    </row>
    <row r="3177" spans="2:8" x14ac:dyDescent="0.3">
      <c r="B3177" s="113">
        <v>41233</v>
      </c>
      <c r="C3177">
        <v>185.99</v>
      </c>
      <c r="D3177">
        <f t="shared" si="101"/>
        <v>-0.30717079530638847</v>
      </c>
      <c r="E3177">
        <v>-4.0696117804551049E-3</v>
      </c>
      <c r="G3177">
        <v>3175</v>
      </c>
      <c r="H3177">
        <f t="shared" ca="1" si="102"/>
        <v>-1.4747088222876809E-2</v>
      </c>
    </row>
    <row r="3178" spans="2:8" x14ac:dyDescent="0.3">
      <c r="B3178" s="113">
        <v>44669</v>
      </c>
      <c r="C3178">
        <v>268.45</v>
      </c>
      <c r="D3178">
        <f t="shared" si="101"/>
        <v>0</v>
      </c>
      <c r="E3178">
        <v>-4.0808755332963189E-3</v>
      </c>
      <c r="G3178">
        <v>3176</v>
      </c>
      <c r="H3178">
        <f t="shared" ca="1" si="102"/>
        <v>2.3310248406592581E-2</v>
      </c>
    </row>
    <row r="3179" spans="2:8" x14ac:dyDescent="0.3">
      <c r="B3179" s="113">
        <v>43000</v>
      </c>
      <c r="C3179">
        <v>268.45</v>
      </c>
      <c r="D3179">
        <f t="shared" si="101"/>
        <v>2.1511914543960557</v>
      </c>
      <c r="E3179">
        <v>-4.0808755332963189E-3</v>
      </c>
      <c r="G3179">
        <v>3177</v>
      </c>
      <c r="H3179">
        <f t="shared" ca="1" si="102"/>
        <v>6.0685655771462437E-3</v>
      </c>
    </row>
    <row r="3180" spans="2:8" x14ac:dyDescent="0.3">
      <c r="B3180" s="113">
        <v>40149</v>
      </c>
      <c r="C3180">
        <v>85.19</v>
      </c>
      <c r="D3180">
        <f t="shared" si="101"/>
        <v>-0.610737948366461</v>
      </c>
      <c r="E3180">
        <v>-4.0916530278233398E-3</v>
      </c>
      <c r="G3180">
        <v>3178</v>
      </c>
      <c r="H3180">
        <f t="shared" ca="1" si="102"/>
        <v>-8.5568111915306517E-3</v>
      </c>
    </row>
    <row r="3181" spans="2:8" x14ac:dyDescent="0.3">
      <c r="B3181" s="113">
        <v>44215</v>
      </c>
      <c r="C3181">
        <v>218.85</v>
      </c>
      <c r="D3181">
        <f t="shared" si="101"/>
        <v>-0.18064395357544</v>
      </c>
      <c r="E3181">
        <v>-4.0955631399317667E-3</v>
      </c>
      <c r="G3181">
        <v>3179</v>
      </c>
      <c r="H3181">
        <f t="shared" ca="1" si="102"/>
        <v>-8.9101946606268412E-3</v>
      </c>
    </row>
    <row r="3182" spans="2:8" x14ac:dyDescent="0.3">
      <c r="B3182" s="113">
        <v>43153</v>
      </c>
      <c r="C3182">
        <v>267.10000000000002</v>
      </c>
      <c r="D3182">
        <f t="shared" si="101"/>
        <v>0.10144329896907225</v>
      </c>
      <c r="E3182">
        <v>-4.1014168530945786E-3</v>
      </c>
      <c r="G3182">
        <v>3180</v>
      </c>
      <c r="H3182">
        <f t="shared" ca="1" si="102"/>
        <v>-5.7511458527958279E-3</v>
      </c>
    </row>
    <row r="3183" spans="2:8" x14ac:dyDescent="0.3">
      <c r="B3183" s="113">
        <v>44462</v>
      </c>
      <c r="C3183">
        <v>242.5</v>
      </c>
      <c r="D3183">
        <f t="shared" si="101"/>
        <v>0.3725379216662893</v>
      </c>
      <c r="E3183">
        <v>-4.1067761806981521E-3</v>
      </c>
      <c r="G3183">
        <v>3181</v>
      </c>
      <c r="H3183">
        <f t="shared" ca="1" si="102"/>
        <v>2.4591092826616673E-2</v>
      </c>
    </row>
    <row r="3184" spans="2:8" x14ac:dyDescent="0.3">
      <c r="B3184" s="113">
        <v>41156</v>
      </c>
      <c r="C3184">
        <v>176.68</v>
      </c>
      <c r="D3184">
        <f t="shared" si="101"/>
        <v>1.1478239727692681</v>
      </c>
      <c r="E3184">
        <v>-4.1147624147454473E-3</v>
      </c>
      <c r="G3184">
        <v>3182</v>
      </c>
      <c r="H3184">
        <f t="shared" ca="1" si="102"/>
        <v>1.6877716923914047E-2</v>
      </c>
    </row>
    <row r="3185" spans="2:8" x14ac:dyDescent="0.3">
      <c r="B3185" s="113">
        <v>40028</v>
      </c>
      <c r="C3185">
        <v>82.26</v>
      </c>
      <c r="D3185">
        <f t="shared" si="101"/>
        <v>0.3616950835954314</v>
      </c>
      <c r="E3185">
        <v>-4.1162227602904262E-3</v>
      </c>
      <c r="G3185">
        <v>3183</v>
      </c>
      <c r="H3185">
        <f t="shared" ca="1" si="102"/>
        <v>-1.4684990147058449E-2</v>
      </c>
    </row>
    <row r="3186" spans="2:8" x14ac:dyDescent="0.3">
      <c r="B3186" s="113">
        <v>39681</v>
      </c>
      <c r="C3186">
        <v>60.41</v>
      </c>
      <c r="D3186">
        <f t="shared" si="101"/>
        <v>2.1332987551867215</v>
      </c>
      <c r="E3186">
        <v>-4.1213320145070892E-3</v>
      </c>
      <c r="G3186">
        <v>3184</v>
      </c>
      <c r="H3186">
        <f t="shared" ca="1" si="102"/>
        <v>-2.5337529818893059E-2</v>
      </c>
    </row>
    <row r="3187" spans="2:8" x14ac:dyDescent="0.3">
      <c r="B3187" s="113">
        <v>37915</v>
      </c>
      <c r="C3187">
        <v>19.28</v>
      </c>
      <c r="D3187">
        <f t="shared" si="101"/>
        <v>0.33518005540166218</v>
      </c>
      <c r="E3187">
        <v>-4.1322314049585893E-3</v>
      </c>
      <c r="G3187">
        <v>3185</v>
      </c>
      <c r="H3187">
        <f t="shared" ca="1" si="102"/>
        <v>2.3458626844116261E-3</v>
      </c>
    </row>
    <row r="3188" spans="2:8" x14ac:dyDescent="0.3">
      <c r="B3188" s="113">
        <v>37525</v>
      </c>
      <c r="C3188">
        <v>14.44</v>
      </c>
      <c r="D3188">
        <f t="shared" si="101"/>
        <v>-0.95197073008481625</v>
      </c>
      <c r="E3188">
        <v>-4.1379310344827926E-3</v>
      </c>
      <c r="G3188">
        <v>3186</v>
      </c>
      <c r="H3188">
        <f t="shared" ca="1" si="102"/>
        <v>1.8356370332192982E-3</v>
      </c>
    </row>
    <row r="3189" spans="2:8" x14ac:dyDescent="0.3">
      <c r="B3189" s="113">
        <v>43593</v>
      </c>
      <c r="C3189">
        <v>300.64999999999998</v>
      </c>
      <c r="D3189">
        <f t="shared" si="101"/>
        <v>0.25166527893422147</v>
      </c>
      <c r="E3189">
        <v>-4.1404438555813191E-3</v>
      </c>
      <c r="G3189">
        <v>3187</v>
      </c>
      <c r="H3189">
        <f t="shared" ca="1" si="102"/>
        <v>-1.0797273863393984E-2</v>
      </c>
    </row>
    <row r="3190" spans="2:8" x14ac:dyDescent="0.3">
      <c r="B3190" s="113">
        <v>42648</v>
      </c>
      <c r="C3190">
        <v>240.2</v>
      </c>
      <c r="D3190">
        <f t="shared" si="101"/>
        <v>-0.13034033309196236</v>
      </c>
      <c r="E3190">
        <v>-4.1459369817578775E-3</v>
      </c>
      <c r="G3190">
        <v>3188</v>
      </c>
      <c r="H3190">
        <f t="shared" ca="1" si="102"/>
        <v>-1.7889551089284596E-3</v>
      </c>
    </row>
    <row r="3191" spans="2:8" x14ac:dyDescent="0.3">
      <c r="B3191" s="113">
        <v>43210</v>
      </c>
      <c r="C3191">
        <v>276.2</v>
      </c>
      <c r="D3191">
        <f t="shared" si="101"/>
        <v>0.13117909653110538</v>
      </c>
      <c r="E3191">
        <v>-4.1463854335678169E-3</v>
      </c>
      <c r="G3191">
        <v>3189</v>
      </c>
      <c r="H3191">
        <f t="shared" ca="1" si="102"/>
        <v>-1.9856854704493054E-2</v>
      </c>
    </row>
    <row r="3192" spans="2:8" x14ac:dyDescent="0.3">
      <c r="B3192" s="113">
        <v>42003</v>
      </c>
      <c r="C3192">
        <v>244.17</v>
      </c>
      <c r="D3192">
        <f t="shared" si="101"/>
        <v>0.13377600297176806</v>
      </c>
      <c r="E3192">
        <v>-4.1600391533097199E-3</v>
      </c>
      <c r="G3192">
        <v>3190</v>
      </c>
      <c r="H3192">
        <f t="shared" ca="1" si="102"/>
        <v>1.2359681729138721E-2</v>
      </c>
    </row>
    <row r="3193" spans="2:8" x14ac:dyDescent="0.3">
      <c r="B3193" s="113">
        <v>42367</v>
      </c>
      <c r="C3193">
        <v>215.36</v>
      </c>
      <c r="D3193">
        <f t="shared" si="101"/>
        <v>8.022203602848764</v>
      </c>
      <c r="E3193">
        <v>-4.161657264403853E-3</v>
      </c>
      <c r="G3193">
        <v>3191</v>
      </c>
      <c r="H3193">
        <f t="shared" ca="1" si="102"/>
        <v>3.9404741366884953E-2</v>
      </c>
    </row>
    <row r="3194" spans="2:8" x14ac:dyDescent="0.3">
      <c r="B3194" s="113">
        <v>38285</v>
      </c>
      <c r="C3194">
        <v>23.87</v>
      </c>
      <c r="D3194">
        <f t="shared" si="101"/>
        <v>-0.88472497223161251</v>
      </c>
      <c r="E3194">
        <v>-4.1718815185647837E-3</v>
      </c>
      <c r="G3194">
        <v>3192</v>
      </c>
      <c r="H3194">
        <f t="shared" ca="1" si="102"/>
        <v>2.3124753966158307E-2</v>
      </c>
    </row>
    <row r="3195" spans="2:8" x14ac:dyDescent="0.3">
      <c r="B3195" s="113">
        <v>42180</v>
      </c>
      <c r="C3195">
        <v>207.07</v>
      </c>
      <c r="D3195">
        <f t="shared" si="101"/>
        <v>4.1497140014921658</v>
      </c>
      <c r="E3195">
        <v>-4.1838992016928183E-3</v>
      </c>
      <c r="G3195">
        <v>3193</v>
      </c>
      <c r="H3195">
        <f t="shared" ca="1" si="102"/>
        <v>1.8070948636772728E-2</v>
      </c>
    </row>
    <row r="3196" spans="2:8" x14ac:dyDescent="0.3">
      <c r="B3196" s="113">
        <v>38603</v>
      </c>
      <c r="C3196">
        <v>40.21</v>
      </c>
      <c r="D3196">
        <f t="shared" si="101"/>
        <v>-0.83479868529170087</v>
      </c>
      <c r="E3196">
        <v>-4.2100049529470458E-3</v>
      </c>
      <c r="G3196">
        <v>3194</v>
      </c>
      <c r="H3196">
        <f t="shared" ca="1" si="102"/>
        <v>8.7490475989109862E-3</v>
      </c>
    </row>
    <row r="3197" spans="2:8" x14ac:dyDescent="0.3">
      <c r="B3197" s="113">
        <v>42005</v>
      </c>
      <c r="C3197">
        <v>243.4</v>
      </c>
      <c r="D3197">
        <f t="shared" si="101"/>
        <v>7.3523574295417532E-2</v>
      </c>
      <c r="E3197">
        <v>-4.2138853659534469E-3</v>
      </c>
      <c r="G3197">
        <v>3195</v>
      </c>
      <c r="H3197">
        <f t="shared" ca="1" si="102"/>
        <v>-1.6571519569917464E-2</v>
      </c>
    </row>
    <row r="3198" spans="2:8" x14ac:dyDescent="0.3">
      <c r="B3198" s="113">
        <v>41757</v>
      </c>
      <c r="C3198">
        <v>226.73</v>
      </c>
      <c r="D3198">
        <f t="shared" si="101"/>
        <v>2.7150581681140422</v>
      </c>
      <c r="E3198">
        <v>-4.2162589485704597E-3</v>
      </c>
      <c r="G3198">
        <v>3196</v>
      </c>
      <c r="H3198">
        <f t="shared" ca="1" si="102"/>
        <v>3.0169846666017286E-3</v>
      </c>
    </row>
    <row r="3199" spans="2:8" x14ac:dyDescent="0.3">
      <c r="B3199" s="113">
        <v>39365</v>
      </c>
      <c r="C3199">
        <v>61.03</v>
      </c>
      <c r="D3199">
        <f t="shared" si="101"/>
        <v>-0.77345953971789161</v>
      </c>
      <c r="E3199">
        <v>-4.2421275901451793E-3</v>
      </c>
      <c r="G3199">
        <v>3197</v>
      </c>
      <c r="H3199">
        <f t="shared" ca="1" si="102"/>
        <v>-5.2847347636579113E-3</v>
      </c>
    </row>
    <row r="3200" spans="2:8" x14ac:dyDescent="0.3">
      <c r="B3200" s="113">
        <v>43110</v>
      </c>
      <c r="C3200">
        <v>269.39999999999998</v>
      </c>
      <c r="D3200">
        <f t="shared" si="101"/>
        <v>4.2637749120750286</v>
      </c>
      <c r="E3200">
        <v>-4.2506006283497839E-3</v>
      </c>
      <c r="G3200">
        <v>3198</v>
      </c>
      <c r="H3200">
        <f t="shared" ca="1" si="102"/>
        <v>-1.8097037507275291E-2</v>
      </c>
    </row>
    <row r="3201" spans="2:8" x14ac:dyDescent="0.3">
      <c r="B3201" s="113">
        <v>39254</v>
      </c>
      <c r="C3201">
        <v>51.18</v>
      </c>
      <c r="D3201">
        <f t="shared" si="101"/>
        <v>2.6714490674318512</v>
      </c>
      <c r="E3201">
        <v>-4.2801556420233242E-3</v>
      </c>
      <c r="G3201">
        <v>3199</v>
      </c>
      <c r="H3201">
        <f t="shared" ca="1" si="102"/>
        <v>-2.104437196186062E-3</v>
      </c>
    </row>
    <row r="3202" spans="2:8" x14ac:dyDescent="0.3">
      <c r="B3202" s="113">
        <v>37677</v>
      </c>
      <c r="C3202">
        <v>13.94</v>
      </c>
      <c r="D3202">
        <f t="shared" si="101"/>
        <v>4.3227665706050949E-3</v>
      </c>
      <c r="E3202">
        <v>-4.2857142857143215E-3</v>
      </c>
      <c r="G3202">
        <v>3200</v>
      </c>
      <c r="H3202">
        <f t="shared" ca="1" si="102"/>
        <v>-3.9784676506390372E-2</v>
      </c>
    </row>
    <row r="3203" spans="2:8" x14ac:dyDescent="0.3">
      <c r="B3203" s="113">
        <v>37711</v>
      </c>
      <c r="C3203">
        <v>13.88</v>
      </c>
      <c r="D3203">
        <f t="shared" ref="D3203:D3266" si="103">(C3203-C3204)/C3204</f>
        <v>-0.93333333333333335</v>
      </c>
      <c r="E3203">
        <v>-4.3041606886656189E-3</v>
      </c>
      <c r="G3203">
        <v>3201</v>
      </c>
      <c r="H3203">
        <f t="shared" ca="1" si="102"/>
        <v>-8.9315862488963723E-3</v>
      </c>
    </row>
    <row r="3204" spans="2:8" x14ac:dyDescent="0.3">
      <c r="B3204" s="113">
        <v>42388</v>
      </c>
      <c r="C3204">
        <v>208.2</v>
      </c>
      <c r="D3204">
        <f t="shared" si="103"/>
        <v>-6.0299693085394533E-2</v>
      </c>
      <c r="E3204">
        <v>-4.3041606886657377E-3</v>
      </c>
      <c r="G3204">
        <v>3202</v>
      </c>
      <c r="H3204">
        <f t="shared" ref="H3204:H3267" ca="1" si="104">_xlfn.NORM.INV(RAND(),$L$4,$L$6)</f>
        <v>1.4679263998994323E-2</v>
      </c>
    </row>
    <row r="3205" spans="2:8" x14ac:dyDescent="0.3">
      <c r="B3205" s="113">
        <v>41499</v>
      </c>
      <c r="C3205">
        <v>221.56</v>
      </c>
      <c r="D3205">
        <f t="shared" si="103"/>
        <v>0.13358915323612186</v>
      </c>
      <c r="E3205">
        <v>-4.3142189466115763E-3</v>
      </c>
      <c r="G3205">
        <v>3203</v>
      </c>
      <c r="H3205">
        <f t="shared" ca="1" si="104"/>
        <v>3.0085501809552656E-3</v>
      </c>
    </row>
    <row r="3206" spans="2:8" x14ac:dyDescent="0.3">
      <c r="B3206" s="113">
        <v>44021</v>
      </c>
      <c r="C3206">
        <v>195.45</v>
      </c>
      <c r="D3206">
        <f t="shared" si="103"/>
        <v>-0.29056261343012707</v>
      </c>
      <c r="E3206">
        <v>-4.3301069791137174E-3</v>
      </c>
      <c r="G3206">
        <v>3204</v>
      </c>
      <c r="H3206">
        <f t="shared" ca="1" si="104"/>
        <v>1.836271458449671E-2</v>
      </c>
    </row>
    <row r="3207" spans="2:8" x14ac:dyDescent="0.3">
      <c r="B3207" s="113">
        <v>43522</v>
      </c>
      <c r="C3207">
        <v>275.5</v>
      </c>
      <c r="D3207">
        <f t="shared" si="103"/>
        <v>0.65138164598693271</v>
      </c>
      <c r="E3207">
        <v>-4.3368268883266668E-3</v>
      </c>
      <c r="G3207">
        <v>3205</v>
      </c>
      <c r="H3207">
        <f t="shared" ca="1" si="104"/>
        <v>-2.2191069501576597E-2</v>
      </c>
    </row>
    <row r="3208" spans="2:8" x14ac:dyDescent="0.3">
      <c r="B3208" s="113">
        <v>41099</v>
      </c>
      <c r="C3208">
        <v>166.83</v>
      </c>
      <c r="D3208">
        <f t="shared" si="103"/>
        <v>0.69836098951440506</v>
      </c>
      <c r="E3208">
        <v>-4.3566483647647994E-3</v>
      </c>
      <c r="G3208">
        <v>3206</v>
      </c>
      <c r="H3208">
        <f t="shared" ca="1" si="104"/>
        <v>-8.9684354079326272E-3</v>
      </c>
    </row>
    <row r="3209" spans="2:8" x14ac:dyDescent="0.3">
      <c r="B3209" s="113">
        <v>40358</v>
      </c>
      <c r="C3209">
        <v>98.23</v>
      </c>
      <c r="D3209">
        <f t="shared" si="103"/>
        <v>-0.60841140123579829</v>
      </c>
      <c r="E3209">
        <v>-4.3584025947698418E-3</v>
      </c>
      <c r="G3209">
        <v>3207</v>
      </c>
      <c r="H3209">
        <f t="shared" ca="1" si="104"/>
        <v>-4.0066064222351733E-2</v>
      </c>
    </row>
    <row r="3210" spans="2:8" x14ac:dyDescent="0.3">
      <c r="B3210" s="113">
        <v>42753</v>
      </c>
      <c r="C3210">
        <v>250.85</v>
      </c>
      <c r="D3210">
        <f t="shared" si="103"/>
        <v>1.4511432479968731</v>
      </c>
      <c r="E3210">
        <v>-4.3659456241317502E-3</v>
      </c>
      <c r="G3210">
        <v>3208</v>
      </c>
      <c r="H3210">
        <f t="shared" ca="1" si="104"/>
        <v>-4.1455930585698575E-2</v>
      </c>
    </row>
    <row r="3211" spans="2:8" x14ac:dyDescent="0.3">
      <c r="B3211" s="113">
        <v>40389</v>
      </c>
      <c r="C3211">
        <v>102.34</v>
      </c>
      <c r="D3211">
        <f t="shared" si="103"/>
        <v>-0.4691908713692946</v>
      </c>
      <c r="E3211">
        <v>-4.3778577682654233E-3</v>
      </c>
      <c r="G3211">
        <v>3209</v>
      </c>
      <c r="H3211">
        <f t="shared" ca="1" si="104"/>
        <v>-1.2290858229898147E-3</v>
      </c>
    </row>
    <row r="3212" spans="2:8" x14ac:dyDescent="0.3">
      <c r="B3212" s="113">
        <v>44048</v>
      </c>
      <c r="C3212">
        <v>192.8</v>
      </c>
      <c r="D3212">
        <f t="shared" si="103"/>
        <v>-8.5909349516404221E-2</v>
      </c>
      <c r="E3212">
        <v>-4.3893622514846074E-3</v>
      </c>
      <c r="G3212">
        <v>3210</v>
      </c>
      <c r="H3212">
        <f t="shared" ca="1" si="104"/>
        <v>4.5194147711516029E-3</v>
      </c>
    </row>
    <row r="3213" spans="2:8" x14ac:dyDescent="0.3">
      <c r="B3213" s="113">
        <v>42432</v>
      </c>
      <c r="C3213">
        <v>210.92</v>
      </c>
      <c r="D3213">
        <f t="shared" si="103"/>
        <v>14.635285396590065</v>
      </c>
      <c r="E3213">
        <v>-4.3898985130989233E-3</v>
      </c>
      <c r="G3213">
        <v>3211</v>
      </c>
      <c r="H3213">
        <f t="shared" ca="1" si="104"/>
        <v>2.0832915976014828E-2</v>
      </c>
    </row>
    <row r="3214" spans="2:8" x14ac:dyDescent="0.3">
      <c r="B3214" s="113">
        <v>37573</v>
      </c>
      <c r="C3214">
        <v>13.49</v>
      </c>
      <c r="D3214">
        <f t="shared" si="103"/>
        <v>-0.92931621692428601</v>
      </c>
      <c r="E3214">
        <v>-4.4280442804428407E-3</v>
      </c>
      <c r="G3214">
        <v>3212</v>
      </c>
      <c r="H3214">
        <f t="shared" ca="1" si="104"/>
        <v>1.2994155714255627E-2</v>
      </c>
    </row>
    <row r="3215" spans="2:8" x14ac:dyDescent="0.3">
      <c r="B3215" s="113">
        <v>44158</v>
      </c>
      <c r="C3215">
        <v>190.85</v>
      </c>
      <c r="D3215">
        <f t="shared" si="103"/>
        <v>-0.31960784313725493</v>
      </c>
      <c r="E3215">
        <v>-4.4340114762649683E-3</v>
      </c>
      <c r="G3215">
        <v>3213</v>
      </c>
      <c r="H3215">
        <f t="shared" ca="1" si="104"/>
        <v>-2.1567634990527818E-2</v>
      </c>
    </row>
    <row r="3216" spans="2:8" x14ac:dyDescent="0.3">
      <c r="B3216" s="113">
        <v>43426</v>
      </c>
      <c r="C3216">
        <v>280.5</v>
      </c>
      <c r="D3216">
        <f t="shared" si="103"/>
        <v>0.31659234921379953</v>
      </c>
      <c r="E3216">
        <v>-4.4365572315882874E-3</v>
      </c>
      <c r="G3216">
        <v>3214</v>
      </c>
      <c r="H3216">
        <f t="shared" ca="1" si="104"/>
        <v>1.1779035086538105E-2</v>
      </c>
    </row>
    <row r="3217" spans="2:8" x14ac:dyDescent="0.3">
      <c r="B3217" s="113">
        <v>44182</v>
      </c>
      <c r="C3217">
        <v>213.05</v>
      </c>
      <c r="D3217">
        <f t="shared" si="103"/>
        <v>0.61364841323941532</v>
      </c>
      <c r="E3217">
        <v>-4.4392523364485447E-3</v>
      </c>
      <c r="G3217">
        <v>3215</v>
      </c>
      <c r="H3217">
        <f t="shared" ca="1" si="104"/>
        <v>5.4555024997341474E-3</v>
      </c>
    </row>
    <row r="3218" spans="2:8" x14ac:dyDescent="0.3">
      <c r="B3218" s="113">
        <v>40794</v>
      </c>
      <c r="C3218">
        <v>132.03</v>
      </c>
      <c r="D3218">
        <f t="shared" si="103"/>
        <v>0.59552870090634447</v>
      </c>
      <c r="E3218">
        <v>-4.4488010858091042E-3</v>
      </c>
      <c r="G3218">
        <v>3216</v>
      </c>
      <c r="H3218">
        <f t="shared" ca="1" si="104"/>
        <v>-2.8434900955352883E-2</v>
      </c>
    </row>
    <row r="3219" spans="2:8" x14ac:dyDescent="0.3">
      <c r="B3219" s="113">
        <v>40095</v>
      </c>
      <c r="C3219">
        <v>82.75</v>
      </c>
      <c r="D3219">
        <f t="shared" si="103"/>
        <v>2.7872031022782837E-3</v>
      </c>
      <c r="E3219">
        <v>-4.4513955726660798E-3</v>
      </c>
      <c r="G3219">
        <v>3217</v>
      </c>
      <c r="H3219">
        <f t="shared" ca="1" si="104"/>
        <v>1.2596620465262226E-2</v>
      </c>
    </row>
    <row r="3220" spans="2:8" x14ac:dyDescent="0.3">
      <c r="B3220" s="113">
        <v>40191</v>
      </c>
      <c r="C3220">
        <v>82.52</v>
      </c>
      <c r="D3220">
        <f t="shared" si="103"/>
        <v>0.1942112879884226</v>
      </c>
      <c r="E3220">
        <v>-4.4637471347569613E-3</v>
      </c>
      <c r="G3220">
        <v>3218</v>
      </c>
      <c r="H3220">
        <f t="shared" ca="1" si="104"/>
        <v>2.1363721101511624E-2</v>
      </c>
    </row>
    <row r="3221" spans="2:8" x14ac:dyDescent="0.3">
      <c r="B3221" s="113">
        <v>38842</v>
      </c>
      <c r="C3221">
        <v>69.099999999999994</v>
      </c>
      <c r="D3221">
        <f t="shared" si="103"/>
        <v>-0.68662131519274383</v>
      </c>
      <c r="E3221">
        <v>-4.4662152427604419E-3</v>
      </c>
      <c r="G3221">
        <v>3219</v>
      </c>
      <c r="H3221">
        <f t="shared" ca="1" si="104"/>
        <v>1.6152738171180722E-2</v>
      </c>
    </row>
    <row r="3222" spans="2:8" x14ac:dyDescent="0.3">
      <c r="B3222" s="113">
        <v>41803</v>
      </c>
      <c r="C3222">
        <v>220.5</v>
      </c>
      <c r="D3222">
        <f t="shared" si="103"/>
        <v>0.4354534210012368</v>
      </c>
      <c r="E3222">
        <v>-4.4697277529459978E-3</v>
      </c>
      <c r="G3222">
        <v>3220</v>
      </c>
      <c r="H3222">
        <f t="shared" ca="1" si="104"/>
        <v>2.9236890325201005E-3</v>
      </c>
    </row>
    <row r="3223" spans="2:8" x14ac:dyDescent="0.3">
      <c r="B3223" s="113">
        <v>41052</v>
      </c>
      <c r="C3223">
        <v>153.61000000000001</v>
      </c>
      <c r="D3223">
        <f t="shared" si="103"/>
        <v>-0.37130110915565012</v>
      </c>
      <c r="E3223">
        <v>-4.471808165910549E-3</v>
      </c>
      <c r="G3223">
        <v>3221</v>
      </c>
      <c r="H3223">
        <f t="shared" ca="1" si="104"/>
        <v>7.5232274240938498E-3</v>
      </c>
    </row>
    <row r="3224" spans="2:8" x14ac:dyDescent="0.3">
      <c r="B3224" s="113">
        <v>42034</v>
      </c>
      <c r="C3224">
        <v>244.33</v>
      </c>
      <c r="D3224">
        <f t="shared" si="103"/>
        <v>7.4660429660429672</v>
      </c>
      <c r="E3224">
        <v>-4.4819296744489029E-3</v>
      </c>
      <c r="G3224">
        <v>3222</v>
      </c>
      <c r="H3224">
        <f t="shared" ca="1" si="104"/>
        <v>-3.2027314000233954E-3</v>
      </c>
    </row>
    <row r="3225" spans="2:8" x14ac:dyDescent="0.3">
      <c r="B3225" s="113">
        <v>38343</v>
      </c>
      <c r="C3225">
        <v>28.86</v>
      </c>
      <c r="D3225">
        <f t="shared" si="103"/>
        <v>-0.43467189030362385</v>
      </c>
      <c r="E3225">
        <v>-4.4843049327353921E-3</v>
      </c>
      <c r="G3225">
        <v>3223</v>
      </c>
      <c r="H3225">
        <f t="shared" ca="1" si="104"/>
        <v>-1.968782770053382E-2</v>
      </c>
    </row>
    <row r="3226" spans="2:8" x14ac:dyDescent="0.3">
      <c r="B3226" s="113">
        <v>39265</v>
      </c>
      <c r="C3226">
        <v>51.05</v>
      </c>
      <c r="D3226">
        <f t="shared" si="103"/>
        <v>-0.56493949207431404</v>
      </c>
      <c r="E3226">
        <v>-4.4851794071763644E-3</v>
      </c>
      <c r="G3226">
        <v>3224</v>
      </c>
      <c r="H3226">
        <f t="shared" ca="1" si="104"/>
        <v>3.0368683207239382E-2</v>
      </c>
    </row>
    <row r="3227" spans="2:8" x14ac:dyDescent="0.3">
      <c r="B3227" s="113">
        <v>40492</v>
      </c>
      <c r="C3227">
        <v>117.34</v>
      </c>
      <c r="D3227">
        <f t="shared" si="103"/>
        <v>3.0842325095718759</v>
      </c>
      <c r="E3227">
        <v>-4.4964791719691276E-3</v>
      </c>
      <c r="G3227">
        <v>3225</v>
      </c>
      <c r="H3227">
        <f t="shared" ca="1" si="104"/>
        <v>-5.3530674405346933E-3</v>
      </c>
    </row>
    <row r="3228" spans="2:8" x14ac:dyDescent="0.3">
      <c r="B3228" s="113">
        <v>38344</v>
      </c>
      <c r="C3228">
        <v>28.73</v>
      </c>
      <c r="D3228">
        <f t="shared" si="103"/>
        <v>0.86437378325762493</v>
      </c>
      <c r="E3228">
        <v>-4.5045045045044698E-3</v>
      </c>
      <c r="G3228">
        <v>3226</v>
      </c>
      <c r="H3228">
        <f t="shared" ca="1" si="104"/>
        <v>2.4459470421572423E-2</v>
      </c>
    </row>
    <row r="3229" spans="2:8" x14ac:dyDescent="0.3">
      <c r="B3229" s="113">
        <v>37454</v>
      </c>
      <c r="C3229">
        <v>15.41</v>
      </c>
      <c r="D3229">
        <f t="shared" si="103"/>
        <v>-0.93611111111111112</v>
      </c>
      <c r="E3229">
        <v>-4.5219638242894235E-3</v>
      </c>
      <c r="G3229">
        <v>3227</v>
      </c>
      <c r="H3229">
        <f t="shared" ca="1" si="104"/>
        <v>5.3069435975062074E-3</v>
      </c>
    </row>
    <row r="3230" spans="2:8" x14ac:dyDescent="0.3">
      <c r="B3230" s="113">
        <v>42647</v>
      </c>
      <c r="C3230">
        <v>241.2</v>
      </c>
      <c r="D3230">
        <f t="shared" si="103"/>
        <v>-0.1198686371100165</v>
      </c>
      <c r="E3230">
        <v>-4.5398266611639398E-3</v>
      </c>
      <c r="G3230">
        <v>3228</v>
      </c>
      <c r="H3230">
        <f t="shared" ca="1" si="104"/>
        <v>2.6273792954664187E-3</v>
      </c>
    </row>
    <row r="3231" spans="2:8" x14ac:dyDescent="0.3">
      <c r="B3231" s="113">
        <v>43249</v>
      </c>
      <c r="C3231">
        <v>274.05</v>
      </c>
      <c r="D3231">
        <f t="shared" si="103"/>
        <v>3.6623329060611609E-3</v>
      </c>
      <c r="E3231">
        <v>-4.5405012713403562E-3</v>
      </c>
      <c r="G3231">
        <v>3229</v>
      </c>
      <c r="H3231">
        <f t="shared" ca="1" si="104"/>
        <v>-2.6792894109391938E-2</v>
      </c>
    </row>
    <row r="3232" spans="2:8" x14ac:dyDescent="0.3">
      <c r="B3232" s="113">
        <v>42769</v>
      </c>
      <c r="C3232">
        <v>273.05</v>
      </c>
      <c r="D3232">
        <f t="shared" si="103"/>
        <v>-7.3778833107191313E-2</v>
      </c>
      <c r="E3232">
        <v>-4.5570543200874952E-3</v>
      </c>
      <c r="G3232">
        <v>3230</v>
      </c>
      <c r="H3232">
        <f t="shared" ca="1" si="104"/>
        <v>-1.5332646446526288E-2</v>
      </c>
    </row>
    <row r="3233" spans="2:8" x14ac:dyDescent="0.3">
      <c r="B3233" s="113">
        <v>43559</v>
      </c>
      <c r="C3233">
        <v>294.8</v>
      </c>
      <c r="D3233">
        <f t="shared" si="103"/>
        <v>1.250381679389313</v>
      </c>
      <c r="E3233">
        <v>-4.5585007597500121E-3</v>
      </c>
      <c r="G3233">
        <v>3231</v>
      </c>
      <c r="H3233">
        <f t="shared" ca="1" si="104"/>
        <v>-1.0686930328929499E-2</v>
      </c>
    </row>
    <row r="3234" spans="2:8" x14ac:dyDescent="0.3">
      <c r="B3234" s="113">
        <v>40807</v>
      </c>
      <c r="C3234">
        <v>131</v>
      </c>
      <c r="D3234">
        <f t="shared" si="103"/>
        <v>1.1464853350811075</v>
      </c>
      <c r="E3234">
        <v>-4.5592705167172825E-3</v>
      </c>
      <c r="G3234">
        <v>3232</v>
      </c>
      <c r="H3234">
        <f t="shared" ca="1" si="104"/>
        <v>-3.672879766163336E-2</v>
      </c>
    </row>
    <row r="3235" spans="2:8" x14ac:dyDescent="0.3">
      <c r="B3235" s="113">
        <v>39016</v>
      </c>
      <c r="C3235">
        <v>61.03</v>
      </c>
      <c r="D3235">
        <f t="shared" si="103"/>
        <v>-0.73320218579234975</v>
      </c>
      <c r="E3235">
        <v>-4.5669548197684083E-3</v>
      </c>
      <c r="G3235">
        <v>3233</v>
      </c>
      <c r="H3235">
        <f t="shared" ca="1" si="104"/>
        <v>-1.4528402466236738E-2</v>
      </c>
    </row>
    <row r="3236" spans="2:8" x14ac:dyDescent="0.3">
      <c r="B3236" s="113">
        <v>44509</v>
      </c>
      <c r="C3236">
        <v>228.75</v>
      </c>
      <c r="D3236">
        <f t="shared" si="103"/>
        <v>3.0400918403391031</v>
      </c>
      <c r="E3236">
        <v>-4.5691906005222421E-3</v>
      </c>
      <c r="G3236">
        <v>3234</v>
      </c>
      <c r="H3236">
        <f t="shared" ca="1" si="104"/>
        <v>-5.0854045925668419E-3</v>
      </c>
    </row>
    <row r="3237" spans="2:8" x14ac:dyDescent="0.3">
      <c r="B3237" s="113">
        <v>39325</v>
      </c>
      <c r="C3237">
        <v>56.62</v>
      </c>
      <c r="D3237">
        <f t="shared" si="103"/>
        <v>-0.72620889748549322</v>
      </c>
      <c r="E3237">
        <v>-4.5710267229255464E-3</v>
      </c>
      <c r="G3237">
        <v>3235</v>
      </c>
      <c r="H3237">
        <f t="shared" ca="1" si="104"/>
        <v>-3.4011190124766991E-3</v>
      </c>
    </row>
    <row r="3238" spans="2:8" x14ac:dyDescent="0.3">
      <c r="B3238" s="113">
        <v>44397</v>
      </c>
      <c r="C3238">
        <v>206.8</v>
      </c>
      <c r="D3238">
        <f t="shared" si="103"/>
        <v>2.3935018050541519</v>
      </c>
      <c r="E3238">
        <v>-4.5728038507821351E-3</v>
      </c>
      <c r="G3238">
        <v>3236</v>
      </c>
      <c r="H3238">
        <f t="shared" ca="1" si="104"/>
        <v>-2.1970370978481549E-2</v>
      </c>
    </row>
    <row r="3239" spans="2:8" x14ac:dyDescent="0.3">
      <c r="B3239" s="113">
        <v>39336</v>
      </c>
      <c r="C3239">
        <v>60.94</v>
      </c>
      <c r="D3239">
        <f t="shared" si="103"/>
        <v>-0.75648351648351653</v>
      </c>
      <c r="E3239">
        <v>-4.5736687357073036E-3</v>
      </c>
      <c r="G3239">
        <v>3237</v>
      </c>
      <c r="H3239">
        <f t="shared" ca="1" si="104"/>
        <v>5.7158305719129301E-3</v>
      </c>
    </row>
    <row r="3240" spans="2:8" x14ac:dyDescent="0.3">
      <c r="B3240" s="113">
        <v>42606</v>
      </c>
      <c r="C3240">
        <v>250.25</v>
      </c>
      <c r="D3240">
        <f t="shared" si="103"/>
        <v>0.4386317907444669</v>
      </c>
      <c r="E3240">
        <v>-4.5743834526650977E-3</v>
      </c>
      <c r="G3240">
        <v>3238</v>
      </c>
      <c r="H3240">
        <f t="shared" ca="1" si="104"/>
        <v>-6.1096741967328538E-3</v>
      </c>
    </row>
    <row r="3241" spans="2:8" x14ac:dyDescent="0.3">
      <c r="B3241" s="113">
        <v>44141</v>
      </c>
      <c r="C3241">
        <v>173.95</v>
      </c>
      <c r="D3241">
        <f t="shared" si="103"/>
        <v>-0.33288590604026852</v>
      </c>
      <c r="E3241">
        <v>-4.5779685264664459E-3</v>
      </c>
      <c r="G3241">
        <v>3239</v>
      </c>
      <c r="H3241">
        <f t="shared" ca="1" si="104"/>
        <v>2.2141898958614167E-2</v>
      </c>
    </row>
    <row r="3242" spans="2:8" x14ac:dyDescent="0.3">
      <c r="B3242" s="113">
        <v>43203</v>
      </c>
      <c r="C3242">
        <v>260.75</v>
      </c>
      <c r="D3242">
        <f t="shared" si="103"/>
        <v>16.143326758711371</v>
      </c>
      <c r="E3242">
        <v>-4.581026913533074E-3</v>
      </c>
      <c r="G3242">
        <v>3240</v>
      </c>
      <c r="H3242">
        <f t="shared" ca="1" si="104"/>
        <v>-3.5835255429206E-2</v>
      </c>
    </row>
    <row r="3243" spans="2:8" x14ac:dyDescent="0.3">
      <c r="B3243" s="113">
        <v>37770</v>
      </c>
      <c r="C3243">
        <v>15.21</v>
      </c>
      <c r="D3243">
        <f t="shared" si="103"/>
        <v>-0.88622933652479607</v>
      </c>
      <c r="E3243">
        <v>-4.5811518324606355E-3</v>
      </c>
      <c r="G3243">
        <v>3241</v>
      </c>
      <c r="H3243">
        <f t="shared" ca="1" si="104"/>
        <v>8.6796714423485744E-3</v>
      </c>
    </row>
    <row r="3244" spans="2:8" x14ac:dyDescent="0.3">
      <c r="B3244" s="113">
        <v>40736</v>
      </c>
      <c r="C3244">
        <v>133.69</v>
      </c>
      <c r="D3244">
        <f t="shared" si="103"/>
        <v>-0.34417463821437333</v>
      </c>
      <c r="E3244">
        <v>-4.6161864343682866E-3</v>
      </c>
      <c r="G3244">
        <v>3242</v>
      </c>
      <c r="H3244">
        <f t="shared" ca="1" si="104"/>
        <v>-2.4811085721270304E-2</v>
      </c>
    </row>
    <row r="3245" spans="2:8" x14ac:dyDescent="0.3">
      <c r="B3245" s="113">
        <v>43879</v>
      </c>
      <c r="C3245">
        <v>203.85</v>
      </c>
      <c r="D3245">
        <f t="shared" si="103"/>
        <v>-0.17302231237322518</v>
      </c>
      <c r="E3245">
        <v>-4.6386718750000833E-3</v>
      </c>
      <c r="G3245">
        <v>3243</v>
      </c>
      <c r="H3245">
        <f t="shared" ca="1" si="104"/>
        <v>-2.7852316769702283E-2</v>
      </c>
    </row>
    <row r="3246" spans="2:8" x14ac:dyDescent="0.3">
      <c r="B3246" s="113">
        <v>42592</v>
      </c>
      <c r="C3246">
        <v>246.5</v>
      </c>
      <c r="D3246">
        <f t="shared" si="103"/>
        <v>0.15052508751458576</v>
      </c>
      <c r="E3246">
        <v>-4.6436503129416743E-3</v>
      </c>
      <c r="G3246">
        <v>3244</v>
      </c>
      <c r="H3246">
        <f t="shared" ca="1" si="104"/>
        <v>-2.3986130334373173E-2</v>
      </c>
    </row>
    <row r="3247" spans="2:8" x14ac:dyDescent="0.3">
      <c r="B3247" s="113">
        <v>44414</v>
      </c>
      <c r="C3247">
        <v>214.25</v>
      </c>
      <c r="D3247">
        <f t="shared" si="103"/>
        <v>13.292861907938624</v>
      </c>
      <c r="E3247">
        <v>-4.6457607433217189E-3</v>
      </c>
      <c r="G3247">
        <v>3245</v>
      </c>
      <c r="H3247">
        <f t="shared" ca="1" si="104"/>
        <v>-2.1092198745725908E-2</v>
      </c>
    </row>
    <row r="3248" spans="2:8" x14ac:dyDescent="0.3">
      <c r="B3248" s="113">
        <v>37638</v>
      </c>
      <c r="C3248">
        <v>14.99</v>
      </c>
      <c r="D3248">
        <f t="shared" si="103"/>
        <v>-0.76658361881033943</v>
      </c>
      <c r="E3248">
        <v>-4.6480743691899255E-3</v>
      </c>
      <c r="G3248">
        <v>3246</v>
      </c>
      <c r="H3248">
        <f t="shared" ca="1" si="104"/>
        <v>-1.096830372304668E-2</v>
      </c>
    </row>
    <row r="3249" spans="2:8" x14ac:dyDescent="0.3">
      <c r="B3249" s="113">
        <v>39007</v>
      </c>
      <c r="C3249">
        <v>64.22</v>
      </c>
      <c r="D3249">
        <f t="shared" si="103"/>
        <v>-0.73878381126703274</v>
      </c>
      <c r="E3249">
        <v>-4.6497210167389521E-3</v>
      </c>
      <c r="G3249">
        <v>3247</v>
      </c>
      <c r="H3249">
        <f t="shared" ca="1" si="104"/>
        <v>-2.0735456266796088E-2</v>
      </c>
    </row>
    <row r="3250" spans="2:8" x14ac:dyDescent="0.3">
      <c r="B3250" s="113">
        <v>42559</v>
      </c>
      <c r="C3250">
        <v>245.85</v>
      </c>
      <c r="D3250">
        <f t="shared" si="103"/>
        <v>3.6056575496440613</v>
      </c>
      <c r="E3250">
        <v>-4.6558704453441525E-3</v>
      </c>
      <c r="G3250">
        <v>3248</v>
      </c>
      <c r="H3250">
        <f t="shared" ca="1" si="104"/>
        <v>8.7791885374580124E-3</v>
      </c>
    </row>
    <row r="3251" spans="2:8" x14ac:dyDescent="0.3">
      <c r="B3251" s="113">
        <v>39206</v>
      </c>
      <c r="C3251">
        <v>53.38</v>
      </c>
      <c r="D3251">
        <f t="shared" si="103"/>
        <v>-0.1063117361459902</v>
      </c>
      <c r="E3251">
        <v>-4.6615700167816519E-3</v>
      </c>
      <c r="G3251">
        <v>3249</v>
      </c>
      <c r="H3251">
        <f t="shared" ca="1" si="104"/>
        <v>-3.3100805938513077E-2</v>
      </c>
    </row>
    <row r="3252" spans="2:8" x14ac:dyDescent="0.3">
      <c r="B3252" s="113">
        <v>39864</v>
      </c>
      <c r="C3252">
        <v>59.73</v>
      </c>
      <c r="D3252">
        <f t="shared" si="103"/>
        <v>2.5032258064516122</v>
      </c>
      <c r="E3252">
        <v>-4.6658890184969361E-3</v>
      </c>
      <c r="G3252">
        <v>3250</v>
      </c>
      <c r="H3252">
        <f t="shared" ca="1" si="104"/>
        <v>5.2455570778937423E-3</v>
      </c>
    </row>
    <row r="3253" spans="2:8" x14ac:dyDescent="0.3">
      <c r="B3253" s="113">
        <v>37811</v>
      </c>
      <c r="C3253">
        <v>17.05</v>
      </c>
      <c r="D3253">
        <f t="shared" si="103"/>
        <v>-0.94815265318534281</v>
      </c>
      <c r="E3253">
        <v>-4.6701692936367955E-3</v>
      </c>
      <c r="G3253">
        <v>3251</v>
      </c>
      <c r="H3253">
        <f t="shared" ca="1" si="104"/>
        <v>-4.3005633722914292E-2</v>
      </c>
    </row>
    <row r="3254" spans="2:8" x14ac:dyDescent="0.3">
      <c r="B3254" s="113">
        <v>42928</v>
      </c>
      <c r="C3254">
        <v>328.85</v>
      </c>
      <c r="D3254">
        <f t="shared" si="103"/>
        <v>0.19256572982774262</v>
      </c>
      <c r="E3254">
        <v>-4.6912832929780707E-3</v>
      </c>
      <c r="G3254">
        <v>3252</v>
      </c>
      <c r="H3254">
        <f t="shared" ca="1" si="104"/>
        <v>4.2909608549249016E-2</v>
      </c>
    </row>
    <row r="3255" spans="2:8" x14ac:dyDescent="0.3">
      <c r="B3255" s="113">
        <v>43292</v>
      </c>
      <c r="C3255">
        <v>275.75</v>
      </c>
      <c r="D3255">
        <f t="shared" si="103"/>
        <v>1.0709725873075477</v>
      </c>
      <c r="E3255">
        <v>-4.692293809781669E-3</v>
      </c>
      <c r="G3255">
        <v>3253</v>
      </c>
      <c r="H3255">
        <f t="shared" ca="1" si="104"/>
        <v>5.9140741325344505E-3</v>
      </c>
    </row>
    <row r="3256" spans="2:8" x14ac:dyDescent="0.3">
      <c r="B3256" s="113">
        <v>40938</v>
      </c>
      <c r="C3256">
        <v>133.15</v>
      </c>
      <c r="D3256">
        <f t="shared" si="103"/>
        <v>-0.29994742376445838</v>
      </c>
      <c r="E3256">
        <v>-4.7092240992674204E-3</v>
      </c>
      <c r="G3256">
        <v>3254</v>
      </c>
      <c r="H3256">
        <f t="shared" ca="1" si="104"/>
        <v>-5.3744388003598171E-3</v>
      </c>
    </row>
    <row r="3257" spans="2:8" x14ac:dyDescent="0.3">
      <c r="B3257" s="113">
        <v>44075</v>
      </c>
      <c r="C3257">
        <v>190.2</v>
      </c>
      <c r="D3257">
        <f t="shared" si="103"/>
        <v>0.60818466221357903</v>
      </c>
      <c r="E3257">
        <v>-4.7095761381475967E-3</v>
      </c>
      <c r="G3257">
        <v>3255</v>
      </c>
      <c r="H3257">
        <f t="shared" ca="1" si="104"/>
        <v>-1.1117556633610443E-3</v>
      </c>
    </row>
    <row r="3258" spans="2:8" x14ac:dyDescent="0.3">
      <c r="B3258" s="113">
        <v>40448</v>
      </c>
      <c r="C3258">
        <v>118.27</v>
      </c>
      <c r="D3258">
        <f t="shared" si="103"/>
        <v>-0.43419604841410325</v>
      </c>
      <c r="E3258">
        <v>-4.7126146595977639E-3</v>
      </c>
      <c r="G3258">
        <v>3256</v>
      </c>
      <c r="H3258">
        <f t="shared" ca="1" si="104"/>
        <v>4.6374679687073202E-3</v>
      </c>
    </row>
    <row r="3259" spans="2:8" x14ac:dyDescent="0.3">
      <c r="B3259" s="113">
        <v>41621</v>
      </c>
      <c r="C3259">
        <v>209.03</v>
      </c>
      <c r="D3259">
        <f t="shared" si="103"/>
        <v>3.7217077027332275</v>
      </c>
      <c r="E3259">
        <v>-4.7138367774498102E-3</v>
      </c>
      <c r="G3259">
        <v>3257</v>
      </c>
      <c r="H3259">
        <f t="shared" ca="1" si="104"/>
        <v>4.2221343324849482E-3</v>
      </c>
    </row>
    <row r="3260" spans="2:8" x14ac:dyDescent="0.3">
      <c r="B3260" s="113">
        <v>38692</v>
      </c>
      <c r="C3260">
        <v>44.27</v>
      </c>
      <c r="D3260">
        <f t="shared" si="103"/>
        <v>-0.86869345988432456</v>
      </c>
      <c r="E3260">
        <v>-4.7212230215825934E-3</v>
      </c>
      <c r="G3260">
        <v>3258</v>
      </c>
      <c r="H3260">
        <f t="shared" ca="1" si="104"/>
        <v>-7.0846829778783513E-3</v>
      </c>
    </row>
    <row r="3261" spans="2:8" x14ac:dyDescent="0.3">
      <c r="B3261" s="113">
        <v>42930</v>
      </c>
      <c r="C3261">
        <v>337.15</v>
      </c>
      <c r="D3261">
        <f t="shared" si="103"/>
        <v>4.7153754873707401</v>
      </c>
      <c r="E3261">
        <v>-4.7232472324723919E-3</v>
      </c>
      <c r="G3261">
        <v>3259</v>
      </c>
      <c r="H3261">
        <f t="shared" ca="1" si="104"/>
        <v>-9.1834671900183421E-3</v>
      </c>
    </row>
    <row r="3262" spans="2:8" x14ac:dyDescent="0.3">
      <c r="B3262" s="113">
        <v>39399</v>
      </c>
      <c r="C3262">
        <v>58.99</v>
      </c>
      <c r="D3262">
        <f t="shared" si="103"/>
        <v>-9.5106611443472863E-2</v>
      </c>
      <c r="E3262">
        <v>-4.7241437489455229E-3</v>
      </c>
      <c r="G3262">
        <v>3260</v>
      </c>
      <c r="H3262">
        <f t="shared" ca="1" si="104"/>
        <v>-3.2693941607890337E-3</v>
      </c>
    </row>
    <row r="3263" spans="2:8" x14ac:dyDescent="0.3">
      <c r="B3263" s="113">
        <v>39976</v>
      </c>
      <c r="C3263">
        <v>65.19</v>
      </c>
      <c r="D3263">
        <f t="shared" si="103"/>
        <v>-0.69878014970889935</v>
      </c>
      <c r="E3263">
        <v>-4.7328244274809509E-3</v>
      </c>
      <c r="G3263">
        <v>3261</v>
      </c>
      <c r="H3263">
        <f t="shared" ca="1" si="104"/>
        <v>3.8130929320569766E-2</v>
      </c>
    </row>
    <row r="3264" spans="2:8" x14ac:dyDescent="0.3">
      <c r="B3264" s="113">
        <v>42135</v>
      </c>
      <c r="C3264">
        <v>216.42</v>
      </c>
      <c r="D3264">
        <f t="shared" si="103"/>
        <v>-0.20681693238042892</v>
      </c>
      <c r="E3264">
        <v>-4.7367210853069726E-3</v>
      </c>
      <c r="G3264">
        <v>3262</v>
      </c>
      <c r="H3264">
        <f t="shared" ca="1" si="104"/>
        <v>-7.020742962787571E-3</v>
      </c>
    </row>
    <row r="3265" spans="2:8" x14ac:dyDescent="0.3">
      <c r="B3265" s="113">
        <v>42956</v>
      </c>
      <c r="C3265">
        <v>272.85000000000002</v>
      </c>
      <c r="D3265">
        <f t="shared" si="103"/>
        <v>0.62944162436548245</v>
      </c>
      <c r="E3265">
        <v>-4.7419296005834569E-3</v>
      </c>
      <c r="G3265">
        <v>3263</v>
      </c>
      <c r="H3265">
        <f t="shared" ca="1" si="104"/>
        <v>-2.9968194445402297E-3</v>
      </c>
    </row>
    <row r="3266" spans="2:8" x14ac:dyDescent="0.3">
      <c r="B3266" s="113">
        <v>44124</v>
      </c>
      <c r="C3266">
        <v>167.45</v>
      </c>
      <c r="D3266">
        <f t="shared" si="103"/>
        <v>-0.27243102324570939</v>
      </c>
      <c r="E3266">
        <v>-4.7548291233284476E-3</v>
      </c>
      <c r="G3266">
        <v>3264</v>
      </c>
      <c r="H3266">
        <f t="shared" ca="1" si="104"/>
        <v>1.8454186559969554E-2</v>
      </c>
    </row>
    <row r="3267" spans="2:8" x14ac:dyDescent="0.3">
      <c r="B3267" s="113">
        <v>44601</v>
      </c>
      <c r="C3267">
        <v>230.15</v>
      </c>
      <c r="D3267">
        <f t="shared" ref="D3267:D3330" si="105">(C3267-C3268)/C3268</f>
        <v>9.0021729682746638</v>
      </c>
      <c r="E3267">
        <v>-4.7567567567567319E-3</v>
      </c>
      <c r="G3267">
        <v>3265</v>
      </c>
      <c r="H3267">
        <f t="shared" ca="1" si="104"/>
        <v>-6.8957675551378998E-3</v>
      </c>
    </row>
    <row r="3268" spans="2:8" x14ac:dyDescent="0.3">
      <c r="B3268" s="113">
        <v>38211</v>
      </c>
      <c r="C3268">
        <v>23.01</v>
      </c>
      <c r="D3268">
        <f t="shared" si="105"/>
        <v>0.57172131147540983</v>
      </c>
      <c r="E3268">
        <v>-4.7577854671280026E-3</v>
      </c>
      <c r="G3268">
        <v>3266</v>
      </c>
      <c r="H3268">
        <f t="shared" ref="H3268:H3331" ca="1" si="106">_xlfn.NORM.INV(RAND(),$L$4,$L$6)</f>
        <v>8.8280496418276771E-3</v>
      </c>
    </row>
    <row r="3269" spans="2:8" x14ac:dyDescent="0.3">
      <c r="B3269" s="113">
        <v>37620</v>
      </c>
      <c r="C3269">
        <v>14.64</v>
      </c>
      <c r="D3269">
        <f t="shared" si="105"/>
        <v>-0.94166168559474006</v>
      </c>
      <c r="E3269">
        <v>-4.7586675730795572E-3</v>
      </c>
      <c r="G3269">
        <v>3267</v>
      </c>
      <c r="H3269">
        <f t="shared" ca="1" si="106"/>
        <v>1.6016735671051583E-2</v>
      </c>
    </row>
    <row r="3270" spans="2:8" x14ac:dyDescent="0.3">
      <c r="B3270" s="113">
        <v>42601</v>
      </c>
      <c r="C3270">
        <v>250.95</v>
      </c>
      <c r="D3270">
        <f t="shared" si="105"/>
        <v>1.2659142212189616</v>
      </c>
      <c r="E3270">
        <v>-4.75907198096378E-3</v>
      </c>
      <c r="G3270">
        <v>3268</v>
      </c>
      <c r="H3270">
        <f t="shared" ca="1" si="106"/>
        <v>-2.173079064193719E-3</v>
      </c>
    </row>
    <row r="3271" spans="2:8" x14ac:dyDescent="0.3">
      <c r="B3271" s="113">
        <v>40479</v>
      </c>
      <c r="C3271">
        <v>110.75</v>
      </c>
      <c r="D3271">
        <f t="shared" si="105"/>
        <v>-0.49984193650363545</v>
      </c>
      <c r="E3271">
        <v>-4.7627606038821097E-3</v>
      </c>
      <c r="G3271">
        <v>3269</v>
      </c>
      <c r="H3271">
        <f t="shared" ca="1" si="106"/>
        <v>2.2685397895923429E-2</v>
      </c>
    </row>
    <row r="3272" spans="2:8" x14ac:dyDescent="0.3">
      <c r="B3272" s="113">
        <v>41709</v>
      </c>
      <c r="C3272">
        <v>221.43</v>
      </c>
      <c r="D3272">
        <f t="shared" si="105"/>
        <v>0.18348476750400863</v>
      </c>
      <c r="E3272">
        <v>-4.7642590678232833E-3</v>
      </c>
      <c r="G3272">
        <v>3270</v>
      </c>
      <c r="H3272">
        <f t="shared" ca="1" si="106"/>
        <v>-1.016245985737951E-2</v>
      </c>
    </row>
    <row r="3273" spans="2:8" x14ac:dyDescent="0.3">
      <c r="B3273" s="113">
        <v>44148</v>
      </c>
      <c r="C3273">
        <v>187.1</v>
      </c>
      <c r="D3273">
        <f t="shared" si="105"/>
        <v>11.859106529209621</v>
      </c>
      <c r="E3273">
        <v>-4.7872340425532218E-3</v>
      </c>
      <c r="G3273">
        <v>3271</v>
      </c>
      <c r="H3273">
        <f t="shared" ca="1" si="106"/>
        <v>1.0569649075204855E-2</v>
      </c>
    </row>
    <row r="3274" spans="2:8" x14ac:dyDescent="0.3">
      <c r="B3274" s="113">
        <v>37720</v>
      </c>
      <c r="C3274">
        <v>14.55</v>
      </c>
      <c r="D3274">
        <f t="shared" si="105"/>
        <v>-0.9391086001255492</v>
      </c>
      <c r="E3274">
        <v>-4.787961696306328E-3</v>
      </c>
      <c r="G3274">
        <v>3272</v>
      </c>
      <c r="H3274">
        <f t="shared" ca="1" si="106"/>
        <v>-1.0074797391571777E-2</v>
      </c>
    </row>
    <row r="3275" spans="2:8" x14ac:dyDescent="0.3">
      <c r="B3275" s="113">
        <v>42656</v>
      </c>
      <c r="C3275">
        <v>238.95</v>
      </c>
      <c r="D3275">
        <f t="shared" si="105"/>
        <v>7.2368148914167527</v>
      </c>
      <c r="E3275">
        <v>-4.7896709704290117E-3</v>
      </c>
      <c r="G3275">
        <v>3273</v>
      </c>
      <c r="H3275">
        <f t="shared" ca="1" si="106"/>
        <v>1.1940229503657051E-3</v>
      </c>
    </row>
    <row r="3276" spans="2:8" x14ac:dyDescent="0.3">
      <c r="B3276" s="113">
        <v>38398</v>
      </c>
      <c r="C3276">
        <v>29.01</v>
      </c>
      <c r="D3276">
        <f t="shared" si="105"/>
        <v>-0.17514927495024168</v>
      </c>
      <c r="E3276">
        <v>-4.8027444253858327E-3</v>
      </c>
      <c r="G3276">
        <v>3274</v>
      </c>
      <c r="H3276">
        <f t="shared" ca="1" si="106"/>
        <v>-1.2690390046842079E-3</v>
      </c>
    </row>
    <row r="3277" spans="2:8" x14ac:dyDescent="0.3">
      <c r="B3277" s="113">
        <v>38504</v>
      </c>
      <c r="C3277">
        <v>35.17</v>
      </c>
      <c r="D3277">
        <f t="shared" si="105"/>
        <v>-0.85213369770864</v>
      </c>
      <c r="E3277">
        <v>-4.810413129598237E-3</v>
      </c>
      <c r="G3277">
        <v>3275</v>
      </c>
      <c r="H3277">
        <f t="shared" ca="1" si="106"/>
        <v>-1.1441852009180147E-4</v>
      </c>
    </row>
    <row r="3278" spans="2:8" x14ac:dyDescent="0.3">
      <c r="B3278" s="113">
        <v>44635</v>
      </c>
      <c r="C3278">
        <v>237.85</v>
      </c>
      <c r="D3278">
        <f t="shared" si="105"/>
        <v>-0.11431763172593563</v>
      </c>
      <c r="E3278">
        <v>-4.8117154811715716E-3</v>
      </c>
      <c r="G3278">
        <v>3276</v>
      </c>
      <c r="H3278">
        <f t="shared" ca="1" si="106"/>
        <v>-2.0935395345375314E-2</v>
      </c>
    </row>
    <row r="3279" spans="2:8" x14ac:dyDescent="0.3">
      <c r="B3279" s="113">
        <v>43299</v>
      </c>
      <c r="C3279">
        <v>268.55</v>
      </c>
      <c r="D3279">
        <f t="shared" si="105"/>
        <v>9.8417440452159877</v>
      </c>
      <c r="E3279">
        <v>-4.8174911988141979E-3</v>
      </c>
      <c r="G3279">
        <v>3277</v>
      </c>
      <c r="H3279">
        <f t="shared" ca="1" si="106"/>
        <v>9.3470498933312923E-3</v>
      </c>
    </row>
    <row r="3280" spans="2:8" x14ac:dyDescent="0.3">
      <c r="B3280" s="113">
        <v>38267</v>
      </c>
      <c r="C3280">
        <v>24.77</v>
      </c>
      <c r="D3280">
        <f t="shared" si="105"/>
        <v>-0.89061603002870382</v>
      </c>
      <c r="E3280">
        <v>-4.8212133386902768E-3</v>
      </c>
      <c r="G3280">
        <v>3278</v>
      </c>
      <c r="H3280">
        <f t="shared" ca="1" si="106"/>
        <v>-1.2219183267604683E-3</v>
      </c>
    </row>
    <row r="3281" spans="2:8" x14ac:dyDescent="0.3">
      <c r="B3281" s="113">
        <v>44238</v>
      </c>
      <c r="C3281">
        <v>226.45</v>
      </c>
      <c r="D3281">
        <f t="shared" si="105"/>
        <v>1.5697911938265998</v>
      </c>
      <c r="E3281">
        <v>-4.8341023950781046E-3</v>
      </c>
      <c r="G3281">
        <v>3279</v>
      </c>
      <c r="H3281">
        <f t="shared" ca="1" si="106"/>
        <v>2.321929745587507E-2</v>
      </c>
    </row>
    <row r="3282" spans="2:8" x14ac:dyDescent="0.3">
      <c r="B3282" s="113">
        <v>40298</v>
      </c>
      <c r="C3282">
        <v>88.12</v>
      </c>
      <c r="D3282">
        <f t="shared" si="105"/>
        <v>5.1493370551291004</v>
      </c>
      <c r="E3282">
        <v>-4.8560135516656422E-3</v>
      </c>
      <c r="G3282">
        <v>3280</v>
      </c>
      <c r="H3282">
        <f t="shared" ca="1" si="106"/>
        <v>-2.2519234903811594E-2</v>
      </c>
    </row>
    <row r="3283" spans="2:8" x14ac:dyDescent="0.3">
      <c r="B3283" s="113">
        <v>37656</v>
      </c>
      <c r="C3283">
        <v>14.33</v>
      </c>
      <c r="D3283">
        <f t="shared" si="105"/>
        <v>-0.92447559818699265</v>
      </c>
      <c r="E3283">
        <v>-4.8611111111111311E-3</v>
      </c>
      <c r="G3283">
        <v>3281</v>
      </c>
      <c r="H3283">
        <f t="shared" ca="1" si="106"/>
        <v>4.8087311621796587E-3</v>
      </c>
    </row>
    <row r="3284" spans="2:8" x14ac:dyDescent="0.3">
      <c r="B3284" s="113">
        <v>42425</v>
      </c>
      <c r="C3284">
        <v>189.74</v>
      </c>
      <c r="D3284">
        <f t="shared" si="105"/>
        <v>0.40986773666220827</v>
      </c>
      <c r="E3284">
        <v>-4.8775371059945373E-3</v>
      </c>
      <c r="G3284">
        <v>3282</v>
      </c>
      <c r="H3284">
        <f t="shared" ca="1" si="106"/>
        <v>4.138655145443414E-3</v>
      </c>
    </row>
    <row r="3285" spans="2:8" x14ac:dyDescent="0.3">
      <c r="B3285" s="113">
        <v>40738</v>
      </c>
      <c r="C3285">
        <v>134.58000000000001</v>
      </c>
      <c r="D3285">
        <f t="shared" si="105"/>
        <v>9.6690219412438742E-4</v>
      </c>
      <c r="E3285">
        <v>-4.8802129547470905E-3</v>
      </c>
      <c r="G3285">
        <v>3283</v>
      </c>
      <c r="H3285">
        <f t="shared" ca="1" si="106"/>
        <v>-3.3193671565499981E-2</v>
      </c>
    </row>
    <row r="3286" spans="2:8" x14ac:dyDescent="0.3">
      <c r="B3286" s="113">
        <v>40952</v>
      </c>
      <c r="C3286">
        <v>134.44999999999999</v>
      </c>
      <c r="D3286">
        <f t="shared" si="105"/>
        <v>-0.42591801878736124</v>
      </c>
      <c r="E3286">
        <v>-4.8849085929984822E-3</v>
      </c>
      <c r="G3286">
        <v>3284</v>
      </c>
      <c r="H3286">
        <f t="shared" ca="1" si="106"/>
        <v>-2.7049420136197738E-2</v>
      </c>
    </row>
    <row r="3287" spans="2:8" x14ac:dyDescent="0.3">
      <c r="B3287" s="113">
        <v>43838</v>
      </c>
      <c r="C3287">
        <v>234.2</v>
      </c>
      <c r="D3287">
        <f t="shared" si="105"/>
        <v>-7.7407918061847575E-2</v>
      </c>
      <c r="E3287">
        <v>-4.8863394943701116E-3</v>
      </c>
      <c r="G3287">
        <v>3285</v>
      </c>
      <c r="H3287">
        <f t="shared" ca="1" si="106"/>
        <v>-5.7994844116578187E-3</v>
      </c>
    </row>
    <row r="3288" spans="2:8" x14ac:dyDescent="0.3">
      <c r="B3288" s="113">
        <v>43074</v>
      </c>
      <c r="C3288">
        <v>253.85</v>
      </c>
      <c r="D3288">
        <f t="shared" si="105"/>
        <v>-2.7431899160951675E-2</v>
      </c>
      <c r="E3288">
        <v>-4.9000392003136026E-3</v>
      </c>
      <c r="G3288">
        <v>3286</v>
      </c>
      <c r="H3288">
        <f t="shared" ca="1" si="106"/>
        <v>2.1160272755949585E-2</v>
      </c>
    </row>
    <row r="3289" spans="2:8" x14ac:dyDescent="0.3">
      <c r="B3289" s="113">
        <v>42062</v>
      </c>
      <c r="C3289">
        <v>261.01</v>
      </c>
      <c r="D3289">
        <f t="shared" si="105"/>
        <v>0.55706019208972135</v>
      </c>
      <c r="E3289">
        <v>-4.9180327868853235E-3</v>
      </c>
      <c r="G3289">
        <v>3287</v>
      </c>
      <c r="H3289">
        <f t="shared" ca="1" si="106"/>
        <v>-8.1787043414360289E-3</v>
      </c>
    </row>
    <row r="3290" spans="2:8" x14ac:dyDescent="0.3">
      <c r="B3290" s="113">
        <v>41110</v>
      </c>
      <c r="C3290">
        <v>167.63</v>
      </c>
      <c r="D3290">
        <f t="shared" si="105"/>
        <v>-0.19369889369889373</v>
      </c>
      <c r="E3290">
        <v>-4.926985634572079E-3</v>
      </c>
      <c r="G3290">
        <v>3288</v>
      </c>
      <c r="H3290">
        <f t="shared" ca="1" si="106"/>
        <v>9.163902097281202E-3</v>
      </c>
    </row>
    <row r="3291" spans="2:8" x14ac:dyDescent="0.3">
      <c r="B3291" s="113">
        <v>42186</v>
      </c>
      <c r="C3291">
        <v>207.9</v>
      </c>
      <c r="D3291">
        <f t="shared" si="105"/>
        <v>3.1315580286168525</v>
      </c>
      <c r="E3291">
        <v>-4.929880821327723E-3</v>
      </c>
      <c r="G3291">
        <v>3289</v>
      </c>
      <c r="H3291">
        <f t="shared" ca="1" si="106"/>
        <v>-4.0947786605213345E-2</v>
      </c>
    </row>
    <row r="3292" spans="2:8" x14ac:dyDescent="0.3">
      <c r="B3292" s="113">
        <v>38875</v>
      </c>
      <c r="C3292">
        <v>50.32</v>
      </c>
      <c r="D3292">
        <f t="shared" si="105"/>
        <v>0.66677707850281542</v>
      </c>
      <c r="E3292">
        <v>-4.9436424757761518E-3</v>
      </c>
      <c r="G3292">
        <v>3290</v>
      </c>
      <c r="H3292">
        <f t="shared" ca="1" si="106"/>
        <v>-1.4985027042085949E-2</v>
      </c>
    </row>
    <row r="3293" spans="2:8" x14ac:dyDescent="0.3">
      <c r="B3293" s="113">
        <v>38418</v>
      </c>
      <c r="C3293">
        <v>30.19</v>
      </c>
      <c r="D3293">
        <f t="shared" si="105"/>
        <v>-0.82329528826455955</v>
      </c>
      <c r="E3293">
        <v>-4.9439683586024585E-3</v>
      </c>
      <c r="G3293">
        <v>3291</v>
      </c>
      <c r="H3293">
        <f t="shared" ca="1" si="106"/>
        <v>3.489236178406549E-2</v>
      </c>
    </row>
    <row r="3294" spans="2:8" x14ac:dyDescent="0.3">
      <c r="B3294" s="113">
        <v>44105</v>
      </c>
      <c r="C3294">
        <v>170.85</v>
      </c>
      <c r="D3294">
        <f t="shared" si="105"/>
        <v>-0.43248629795714999</v>
      </c>
      <c r="E3294">
        <v>-4.9504950495049176E-3</v>
      </c>
      <c r="G3294">
        <v>3292</v>
      </c>
      <c r="H3294">
        <f t="shared" ca="1" si="106"/>
        <v>1.6603362642567472E-3</v>
      </c>
    </row>
    <row r="3295" spans="2:8" x14ac:dyDescent="0.3">
      <c r="B3295" s="113">
        <v>43311</v>
      </c>
      <c r="C3295">
        <v>301.05</v>
      </c>
      <c r="D3295">
        <f t="shared" si="105"/>
        <v>0.37648027067806683</v>
      </c>
      <c r="E3295">
        <v>-4.9578582052553291E-3</v>
      </c>
      <c r="G3295">
        <v>3293</v>
      </c>
      <c r="H3295">
        <f t="shared" ca="1" si="106"/>
        <v>-9.5615279547027199E-3</v>
      </c>
    </row>
    <row r="3296" spans="2:8" x14ac:dyDescent="0.3">
      <c r="B3296" s="113">
        <v>42220</v>
      </c>
      <c r="C3296">
        <v>218.71</v>
      </c>
      <c r="D3296">
        <f t="shared" si="105"/>
        <v>-3.4094422117210609E-2</v>
      </c>
      <c r="E3296">
        <v>-4.9590536851683497E-3</v>
      </c>
      <c r="G3296">
        <v>3294</v>
      </c>
      <c r="H3296">
        <f t="shared" ca="1" si="106"/>
        <v>-4.3571448286162592E-3</v>
      </c>
    </row>
    <row r="3297" spans="2:8" x14ac:dyDescent="0.3">
      <c r="B3297" s="113">
        <v>42066</v>
      </c>
      <c r="C3297">
        <v>226.43</v>
      </c>
      <c r="D3297">
        <f t="shared" si="105"/>
        <v>7.6988090664617745</v>
      </c>
      <c r="E3297">
        <v>-4.9657233257162743E-3</v>
      </c>
      <c r="G3297">
        <v>3295</v>
      </c>
      <c r="H3297">
        <f t="shared" ca="1" si="106"/>
        <v>6.0715758605459011E-3</v>
      </c>
    </row>
    <row r="3298" spans="2:8" x14ac:dyDescent="0.3">
      <c r="B3298" s="113">
        <v>38251</v>
      </c>
      <c r="C3298">
        <v>26.03</v>
      </c>
      <c r="D3298">
        <f t="shared" si="105"/>
        <v>8.4583333333333385E-2</v>
      </c>
      <c r="E3298">
        <v>-4.9694189602446101E-3</v>
      </c>
      <c r="G3298">
        <v>3296</v>
      </c>
      <c r="H3298">
        <f t="shared" ca="1" si="106"/>
        <v>1.1342910754893437E-2</v>
      </c>
    </row>
    <row r="3299" spans="2:8" x14ac:dyDescent="0.3">
      <c r="B3299" s="113">
        <v>38064</v>
      </c>
      <c r="C3299">
        <v>24</v>
      </c>
      <c r="D3299">
        <f t="shared" si="105"/>
        <v>-0.8936170212765957</v>
      </c>
      <c r="E3299">
        <v>-4.9751243781094934E-3</v>
      </c>
      <c r="G3299">
        <v>3297</v>
      </c>
      <c r="H3299">
        <f t="shared" ca="1" si="106"/>
        <v>-5.1668217657044255E-3</v>
      </c>
    </row>
    <row r="3300" spans="2:8" x14ac:dyDescent="0.3">
      <c r="B3300" s="113">
        <v>41758</v>
      </c>
      <c r="C3300">
        <v>225.6</v>
      </c>
      <c r="D3300">
        <f t="shared" si="105"/>
        <v>1.0231369383911755</v>
      </c>
      <c r="E3300">
        <v>-4.9839015569179005E-3</v>
      </c>
      <c r="G3300">
        <v>3298</v>
      </c>
      <c r="H3300">
        <f t="shared" ca="1" si="106"/>
        <v>-7.0147571056560212E-3</v>
      </c>
    </row>
    <row r="3301" spans="2:8" x14ac:dyDescent="0.3">
      <c r="B3301" s="113">
        <v>40519</v>
      </c>
      <c r="C3301">
        <v>111.51</v>
      </c>
      <c r="D3301">
        <f t="shared" si="105"/>
        <v>-0.53284457478005864</v>
      </c>
      <c r="E3301">
        <v>-4.9968769519049532E-3</v>
      </c>
      <c r="G3301">
        <v>3299</v>
      </c>
      <c r="H3301">
        <f t="shared" ca="1" si="106"/>
        <v>-3.9134054198250348E-4</v>
      </c>
    </row>
    <row r="3302" spans="2:8" x14ac:dyDescent="0.3">
      <c r="B3302" s="113">
        <v>42541</v>
      </c>
      <c r="C3302">
        <v>238.7</v>
      </c>
      <c r="D3302">
        <f t="shared" si="105"/>
        <v>16.18502519798416</v>
      </c>
      <c r="E3302">
        <v>-5.0020842017508005E-3</v>
      </c>
      <c r="G3302">
        <v>3300</v>
      </c>
      <c r="H3302">
        <f t="shared" ca="1" si="106"/>
        <v>-1.66766293784722E-2</v>
      </c>
    </row>
    <row r="3303" spans="2:8" x14ac:dyDescent="0.3">
      <c r="B3303" s="113">
        <v>37651</v>
      </c>
      <c r="C3303">
        <v>13.89</v>
      </c>
      <c r="D3303">
        <f t="shared" si="105"/>
        <v>-0.92617592346532018</v>
      </c>
      <c r="E3303">
        <v>-5.0143266475644903E-3</v>
      </c>
      <c r="G3303">
        <v>3301</v>
      </c>
      <c r="H3303">
        <f t="shared" ca="1" si="106"/>
        <v>1.1315468232682443E-2</v>
      </c>
    </row>
    <row r="3304" spans="2:8" x14ac:dyDescent="0.3">
      <c r="B3304" s="113">
        <v>44082</v>
      </c>
      <c r="C3304">
        <v>188.15</v>
      </c>
      <c r="D3304">
        <f t="shared" si="105"/>
        <v>2.1712455755941344</v>
      </c>
      <c r="E3304">
        <v>-5.023796932839707E-3</v>
      </c>
      <c r="G3304">
        <v>3302</v>
      </c>
      <c r="H3304">
        <f t="shared" ca="1" si="106"/>
        <v>-4.5149236629678788E-4</v>
      </c>
    </row>
    <row r="3305" spans="2:8" x14ac:dyDescent="0.3">
      <c r="B3305" s="113">
        <v>39338</v>
      </c>
      <c r="C3305">
        <v>59.33</v>
      </c>
      <c r="D3305">
        <f t="shared" si="105"/>
        <v>-0.72463566323215445</v>
      </c>
      <c r="E3305">
        <v>-5.0310246520208664E-3</v>
      </c>
      <c r="G3305">
        <v>3303</v>
      </c>
      <c r="H3305">
        <f t="shared" ca="1" si="106"/>
        <v>8.9977028992646352E-4</v>
      </c>
    </row>
    <row r="3306" spans="2:8" x14ac:dyDescent="0.3">
      <c r="B3306" s="113">
        <v>41668</v>
      </c>
      <c r="C3306">
        <v>215.46</v>
      </c>
      <c r="D3306">
        <f t="shared" si="105"/>
        <v>0.81669477234401366</v>
      </c>
      <c r="E3306">
        <v>-5.0334795659201263E-3</v>
      </c>
      <c r="G3306">
        <v>3304</v>
      </c>
      <c r="H3306">
        <f t="shared" ca="1" si="106"/>
        <v>-1.2920657185294773E-2</v>
      </c>
    </row>
    <row r="3307" spans="2:8" x14ac:dyDescent="0.3">
      <c r="B3307" s="113">
        <v>40549</v>
      </c>
      <c r="C3307">
        <v>118.6</v>
      </c>
      <c r="D3307">
        <f t="shared" si="105"/>
        <v>3.6255850234009359</v>
      </c>
      <c r="E3307">
        <v>-5.0335570469799374E-3</v>
      </c>
      <c r="G3307">
        <v>3305</v>
      </c>
      <c r="H3307">
        <f t="shared" ca="1" si="106"/>
        <v>-3.9294297074396467E-2</v>
      </c>
    </row>
    <row r="3308" spans="2:8" x14ac:dyDescent="0.3">
      <c r="B3308" s="113">
        <v>38253</v>
      </c>
      <c r="C3308">
        <v>25.64</v>
      </c>
      <c r="D3308">
        <f t="shared" si="105"/>
        <v>-0.89988285825849279</v>
      </c>
      <c r="E3308">
        <v>-5.0446255335661241E-3</v>
      </c>
      <c r="G3308">
        <v>3306</v>
      </c>
      <c r="H3308">
        <f t="shared" ca="1" si="106"/>
        <v>-1.016682083807805E-3</v>
      </c>
    </row>
    <row r="3309" spans="2:8" x14ac:dyDescent="0.3">
      <c r="B3309" s="113">
        <v>42765</v>
      </c>
      <c r="C3309">
        <v>256.10000000000002</v>
      </c>
      <c r="D3309">
        <f t="shared" si="105"/>
        <v>3.1997376188914406</v>
      </c>
      <c r="E3309">
        <v>-5.050505050504874E-3</v>
      </c>
      <c r="G3309">
        <v>3307</v>
      </c>
      <c r="H3309">
        <f t="shared" ca="1" si="106"/>
        <v>-1.4101156960018606E-2</v>
      </c>
    </row>
    <row r="3310" spans="2:8" x14ac:dyDescent="0.3">
      <c r="B3310" s="113">
        <v>39687</v>
      </c>
      <c r="C3310">
        <v>60.98</v>
      </c>
      <c r="D3310">
        <f t="shared" si="105"/>
        <v>-0.75181115181115188</v>
      </c>
      <c r="E3310">
        <v>-5.057921357480866E-3</v>
      </c>
      <c r="G3310">
        <v>3308</v>
      </c>
      <c r="H3310">
        <f t="shared" ca="1" si="106"/>
        <v>6.7153788522549395E-3</v>
      </c>
    </row>
    <row r="3311" spans="2:8" x14ac:dyDescent="0.3">
      <c r="B3311" s="113">
        <v>42642</v>
      </c>
      <c r="C3311">
        <v>245.7</v>
      </c>
      <c r="D3311">
        <f t="shared" si="105"/>
        <v>-7.3005093378607888E-2</v>
      </c>
      <c r="E3311">
        <v>-5.0617533913747724E-3</v>
      </c>
      <c r="G3311">
        <v>3309</v>
      </c>
      <c r="H3311">
        <f t="shared" ca="1" si="106"/>
        <v>-3.1291396956390459E-2</v>
      </c>
    </row>
    <row r="3312" spans="2:8" x14ac:dyDescent="0.3">
      <c r="B3312" s="113">
        <v>43159</v>
      </c>
      <c r="C3312">
        <v>265.05</v>
      </c>
      <c r="D3312">
        <f t="shared" si="105"/>
        <v>4.205223880597015</v>
      </c>
      <c r="E3312">
        <v>-5.0675675675674403E-3</v>
      </c>
      <c r="G3312">
        <v>3310</v>
      </c>
      <c r="H3312">
        <f t="shared" ca="1" si="106"/>
        <v>-2.73235560552058E-3</v>
      </c>
    </row>
    <row r="3313" spans="2:8" x14ac:dyDescent="0.3">
      <c r="B3313" s="113">
        <v>39286</v>
      </c>
      <c r="C3313">
        <v>50.92</v>
      </c>
      <c r="D3313">
        <f t="shared" si="105"/>
        <v>1.3672710367271035</v>
      </c>
      <c r="E3313">
        <v>-5.0801094177412662E-3</v>
      </c>
      <c r="G3313">
        <v>3311</v>
      </c>
      <c r="H3313">
        <f t="shared" ca="1" si="106"/>
        <v>-2.3801757580468156E-2</v>
      </c>
    </row>
    <row r="3314" spans="2:8" x14ac:dyDescent="0.3">
      <c r="B3314" s="113">
        <v>37966</v>
      </c>
      <c r="C3314">
        <v>21.51</v>
      </c>
      <c r="D3314">
        <f t="shared" si="105"/>
        <v>-0.90172697368421062</v>
      </c>
      <c r="E3314">
        <v>-5.0878815911193078E-3</v>
      </c>
      <c r="G3314">
        <v>3312</v>
      </c>
      <c r="H3314">
        <f t="shared" ca="1" si="106"/>
        <v>-4.9738114131265545E-3</v>
      </c>
    </row>
    <row r="3315" spans="2:8" x14ac:dyDescent="0.3">
      <c r="B3315" s="113">
        <v>41443</v>
      </c>
      <c r="C3315">
        <v>218.88</v>
      </c>
      <c r="D3315">
        <f t="shared" si="105"/>
        <v>0.12016376663254856</v>
      </c>
      <c r="E3315">
        <v>-5.0909090909091112E-3</v>
      </c>
      <c r="G3315">
        <v>3313</v>
      </c>
      <c r="H3315">
        <f t="shared" ca="1" si="106"/>
        <v>-7.5286436319684791E-3</v>
      </c>
    </row>
    <row r="3316" spans="2:8" x14ac:dyDescent="0.3">
      <c r="B3316" s="113">
        <v>44040</v>
      </c>
      <c r="C3316">
        <v>195.4</v>
      </c>
      <c r="D3316">
        <f t="shared" si="105"/>
        <v>7.3647260273972615</v>
      </c>
      <c r="E3316">
        <v>-5.0916496945010185E-3</v>
      </c>
      <c r="G3316">
        <v>3314</v>
      </c>
      <c r="H3316">
        <f t="shared" ca="1" si="106"/>
        <v>-1.8536796594567258E-2</v>
      </c>
    </row>
    <row r="3317" spans="2:8" x14ac:dyDescent="0.3">
      <c r="B3317" s="113">
        <v>38112</v>
      </c>
      <c r="C3317">
        <v>23.36</v>
      </c>
      <c r="D3317">
        <f t="shared" si="105"/>
        <v>-0.89548098434004464</v>
      </c>
      <c r="E3317">
        <v>-5.1107325383305362E-3</v>
      </c>
      <c r="G3317">
        <v>3315</v>
      </c>
      <c r="H3317">
        <f t="shared" ca="1" si="106"/>
        <v>2.1579753389171886E-2</v>
      </c>
    </row>
    <row r="3318" spans="2:8" x14ac:dyDescent="0.3">
      <c r="B3318" s="113">
        <v>42698</v>
      </c>
      <c r="C3318">
        <v>223.5</v>
      </c>
      <c r="D3318">
        <f t="shared" si="105"/>
        <v>0.94975137398586762</v>
      </c>
      <c r="E3318">
        <v>-5.1190741152904772E-3</v>
      </c>
      <c r="G3318">
        <v>3316</v>
      </c>
      <c r="H3318">
        <f t="shared" ca="1" si="106"/>
        <v>1.8139486890583402E-2</v>
      </c>
    </row>
    <row r="3319" spans="2:8" x14ac:dyDescent="0.3">
      <c r="B3319" s="113">
        <v>40457</v>
      </c>
      <c r="C3319">
        <v>114.63</v>
      </c>
      <c r="D3319">
        <f t="shared" si="105"/>
        <v>-0.33690056111528899</v>
      </c>
      <c r="E3319">
        <v>-5.1206387779899618E-3</v>
      </c>
      <c r="G3319">
        <v>3317</v>
      </c>
      <c r="H3319">
        <f t="shared" ca="1" si="106"/>
        <v>-2.9555082448744358E-2</v>
      </c>
    </row>
    <row r="3320" spans="2:8" x14ac:dyDescent="0.3">
      <c r="B3320" s="113">
        <v>41142</v>
      </c>
      <c r="C3320">
        <v>172.87</v>
      </c>
      <c r="D3320">
        <f t="shared" si="105"/>
        <v>-0.44307345360824735</v>
      </c>
      <c r="E3320">
        <v>-5.1220073664824265E-3</v>
      </c>
      <c r="G3320">
        <v>3318</v>
      </c>
      <c r="H3320">
        <f t="shared" ca="1" si="106"/>
        <v>9.9359911935619806E-3</v>
      </c>
    </row>
    <row r="3321" spans="2:8" x14ac:dyDescent="0.3">
      <c r="B3321" s="113">
        <v>43336</v>
      </c>
      <c r="C3321">
        <v>310.39999999999998</v>
      </c>
      <c r="D3321">
        <f t="shared" si="105"/>
        <v>0.39255271422162391</v>
      </c>
      <c r="E3321">
        <v>-5.1282051282052011E-3</v>
      </c>
      <c r="G3321">
        <v>3319</v>
      </c>
      <c r="H3321">
        <f t="shared" ca="1" si="106"/>
        <v>1.2856614370067401E-2</v>
      </c>
    </row>
    <row r="3322" spans="2:8" x14ac:dyDescent="0.3">
      <c r="B3322" s="113">
        <v>44546</v>
      </c>
      <c r="C3322">
        <v>222.9</v>
      </c>
      <c r="D3322">
        <f t="shared" si="105"/>
        <v>0.21174232128295742</v>
      </c>
      <c r="E3322">
        <v>-5.1327828609685593E-3</v>
      </c>
      <c r="G3322">
        <v>3320</v>
      </c>
      <c r="H3322">
        <f t="shared" ca="1" si="106"/>
        <v>9.3432065362427583E-3</v>
      </c>
    </row>
    <row r="3323" spans="2:8" x14ac:dyDescent="0.3">
      <c r="B3323" s="113">
        <v>44085</v>
      </c>
      <c r="C3323">
        <v>183.95</v>
      </c>
      <c r="D3323">
        <f t="shared" si="105"/>
        <v>0.36017450458444228</v>
      </c>
      <c r="E3323">
        <v>-5.1379123850731042E-3</v>
      </c>
      <c r="G3323">
        <v>3321</v>
      </c>
      <c r="H3323">
        <f t="shared" ca="1" si="106"/>
        <v>-6.7957277318706855E-4</v>
      </c>
    </row>
    <row r="3324" spans="2:8" x14ac:dyDescent="0.3">
      <c r="B3324" s="113">
        <v>40837</v>
      </c>
      <c r="C3324">
        <v>135.24</v>
      </c>
      <c r="D3324">
        <f t="shared" si="105"/>
        <v>6.0789081496588085E-2</v>
      </c>
      <c r="E3324">
        <v>-5.149330587023603E-3</v>
      </c>
      <c r="G3324">
        <v>3322</v>
      </c>
      <c r="H3324">
        <f t="shared" ca="1" si="106"/>
        <v>-1.0965056561637682E-2</v>
      </c>
    </row>
    <row r="3325" spans="2:8" x14ac:dyDescent="0.3">
      <c r="B3325" s="113">
        <v>40871</v>
      </c>
      <c r="C3325">
        <v>127.49</v>
      </c>
      <c r="D3325">
        <f t="shared" si="105"/>
        <v>0.65035598705501607</v>
      </c>
      <c r="E3325">
        <v>-5.1502145922747624E-3</v>
      </c>
      <c r="G3325">
        <v>3323</v>
      </c>
      <c r="H3325">
        <f t="shared" ca="1" si="106"/>
        <v>-2.4793692577058803E-2</v>
      </c>
    </row>
    <row r="3326" spans="2:8" x14ac:dyDescent="0.3">
      <c r="B3326" s="113">
        <v>40086</v>
      </c>
      <c r="C3326">
        <v>77.25</v>
      </c>
      <c r="D3326">
        <f t="shared" si="105"/>
        <v>0.21787797572126755</v>
      </c>
      <c r="E3326">
        <v>-5.1513200257566729E-3</v>
      </c>
      <c r="G3326">
        <v>3324</v>
      </c>
      <c r="H3326">
        <f t="shared" ca="1" si="106"/>
        <v>1.27302908971585E-2</v>
      </c>
    </row>
    <row r="3327" spans="2:8" x14ac:dyDescent="0.3">
      <c r="B3327" s="113">
        <v>39720</v>
      </c>
      <c r="C3327">
        <v>63.43</v>
      </c>
      <c r="D3327">
        <f t="shared" si="105"/>
        <v>-0.7316154692392316</v>
      </c>
      <c r="E3327">
        <v>-5.175658720200726E-3</v>
      </c>
      <c r="G3327">
        <v>3325</v>
      </c>
      <c r="H3327">
        <f t="shared" ca="1" si="106"/>
        <v>-2.1734244359765859E-2</v>
      </c>
    </row>
    <row r="3328" spans="2:8" x14ac:dyDescent="0.3">
      <c r="B3328" s="113">
        <v>42303</v>
      </c>
      <c r="C3328">
        <v>236.34</v>
      </c>
      <c r="D3328">
        <f t="shared" si="105"/>
        <v>8.9024053082665158E-2</v>
      </c>
      <c r="E3328">
        <v>-5.1774213915898046E-3</v>
      </c>
      <c r="G3328">
        <v>3326</v>
      </c>
      <c r="H3328">
        <f t="shared" ca="1" si="106"/>
        <v>-2.181417108574064E-3</v>
      </c>
    </row>
    <row r="3329" spans="2:8" x14ac:dyDescent="0.3">
      <c r="B3329" s="113">
        <v>41661</v>
      </c>
      <c r="C3329">
        <v>217.02</v>
      </c>
      <c r="D3329">
        <f t="shared" si="105"/>
        <v>-0.16256994018907958</v>
      </c>
      <c r="E3329">
        <v>-5.1799220719688076E-3</v>
      </c>
      <c r="G3329">
        <v>3327</v>
      </c>
      <c r="H3329">
        <f t="shared" ca="1" si="106"/>
        <v>-9.8870221888988663E-5</v>
      </c>
    </row>
    <row r="3330" spans="2:8" x14ac:dyDescent="0.3">
      <c r="B3330" s="113">
        <v>43178</v>
      </c>
      <c r="C3330">
        <v>259.14999999999998</v>
      </c>
      <c r="D3330">
        <f t="shared" si="105"/>
        <v>-3.3202760678977927E-2</v>
      </c>
      <c r="E3330">
        <v>-5.1823416506718723E-3</v>
      </c>
      <c r="G3330">
        <v>3328</v>
      </c>
      <c r="H3330">
        <f t="shared" ca="1" si="106"/>
        <v>1.8540075238419714E-2</v>
      </c>
    </row>
    <row r="3331" spans="2:8" x14ac:dyDescent="0.3">
      <c r="B3331" s="113">
        <v>43173</v>
      </c>
      <c r="C3331">
        <v>268.05</v>
      </c>
      <c r="D3331">
        <f t="shared" ref="D3331:D3394" si="107">(C3331-C3332)/C3332</f>
        <v>8.3397212543554016</v>
      </c>
      <c r="E3331">
        <v>-5.1957691593986916E-3</v>
      </c>
      <c r="G3331">
        <v>3329</v>
      </c>
      <c r="H3331">
        <f t="shared" ca="1" si="106"/>
        <v>4.3721745900396659E-3</v>
      </c>
    </row>
    <row r="3332" spans="2:8" x14ac:dyDescent="0.3">
      <c r="B3332" s="113">
        <v>38400</v>
      </c>
      <c r="C3332">
        <v>28.7</v>
      </c>
      <c r="D3332">
        <f t="shared" si="107"/>
        <v>-0.83861898335582552</v>
      </c>
      <c r="E3332">
        <v>-5.1993067590988601E-3</v>
      </c>
      <c r="G3332">
        <v>3330</v>
      </c>
      <c r="H3332">
        <f t="shared" ref="H3332:H3395" ca="1" si="108">_xlfn.NORM.INV(RAND(),$L$4,$L$6)</f>
        <v>7.0382873595016462E-3</v>
      </c>
    </row>
    <row r="3333" spans="2:8" x14ac:dyDescent="0.3">
      <c r="B3333" s="113">
        <v>41166</v>
      </c>
      <c r="C3333">
        <v>177.84</v>
      </c>
      <c r="D3333">
        <f t="shared" si="107"/>
        <v>-0.17674289417646516</v>
      </c>
      <c r="E3333">
        <v>-5.2022151367679516E-3</v>
      </c>
      <c r="G3333">
        <v>3331</v>
      </c>
      <c r="H3333">
        <f t="shared" ca="1" si="108"/>
        <v>-2.2210834223738898E-2</v>
      </c>
    </row>
    <row r="3334" spans="2:8" x14ac:dyDescent="0.3">
      <c r="B3334" s="113">
        <v>42094</v>
      </c>
      <c r="C3334">
        <v>216.02</v>
      </c>
      <c r="D3334">
        <f t="shared" si="107"/>
        <v>-0.19244859813084109</v>
      </c>
      <c r="E3334">
        <v>-5.2037761915726243E-3</v>
      </c>
      <c r="G3334">
        <v>3332</v>
      </c>
      <c r="H3334">
        <f t="shared" ca="1" si="108"/>
        <v>-2.3136611558367156E-2</v>
      </c>
    </row>
    <row r="3335" spans="2:8" x14ac:dyDescent="0.3">
      <c r="B3335" s="113">
        <v>43256</v>
      </c>
      <c r="C3335">
        <v>267.5</v>
      </c>
      <c r="D3335">
        <f t="shared" si="107"/>
        <v>0.17789520035226775</v>
      </c>
      <c r="E3335">
        <v>-5.2063964298995069E-3</v>
      </c>
      <c r="G3335">
        <v>3333</v>
      </c>
      <c r="H3335">
        <f t="shared" ca="1" si="108"/>
        <v>9.3588180829973274E-3</v>
      </c>
    </row>
    <row r="3336" spans="2:8" x14ac:dyDescent="0.3">
      <c r="B3336" s="113">
        <v>42338</v>
      </c>
      <c r="C3336">
        <v>227.1</v>
      </c>
      <c r="D3336">
        <f t="shared" si="107"/>
        <v>-0.25394218134034163</v>
      </c>
      <c r="E3336">
        <v>-5.2126680975951543E-3</v>
      </c>
      <c r="G3336">
        <v>3334</v>
      </c>
      <c r="H3336">
        <f t="shared" ca="1" si="108"/>
        <v>2.8517374250960265E-3</v>
      </c>
    </row>
    <row r="3337" spans="2:8" x14ac:dyDescent="0.3">
      <c r="B3337" s="113">
        <v>42898</v>
      </c>
      <c r="C3337">
        <v>304.39999999999998</v>
      </c>
      <c r="D3337">
        <f t="shared" si="107"/>
        <v>0.23188992310805337</v>
      </c>
      <c r="E3337">
        <v>-5.2287581699347148E-3</v>
      </c>
      <c r="G3337">
        <v>3335</v>
      </c>
      <c r="H3337">
        <f t="shared" ca="1" si="108"/>
        <v>8.3952555962210022E-3</v>
      </c>
    </row>
    <row r="3338" spans="2:8" x14ac:dyDescent="0.3">
      <c r="B3338" s="113">
        <v>42564</v>
      </c>
      <c r="C3338">
        <v>247.1</v>
      </c>
      <c r="D3338">
        <f t="shared" si="107"/>
        <v>7.6823612087139841</v>
      </c>
      <c r="E3338">
        <v>-5.2334943639291923E-3</v>
      </c>
      <c r="G3338">
        <v>3336</v>
      </c>
      <c r="H3338">
        <f t="shared" ca="1" si="108"/>
        <v>1.798084728181774E-2</v>
      </c>
    </row>
    <row r="3339" spans="2:8" x14ac:dyDescent="0.3">
      <c r="B3339" s="113">
        <v>38408</v>
      </c>
      <c r="C3339">
        <v>28.46</v>
      </c>
      <c r="D3339">
        <f t="shared" si="107"/>
        <v>0.50582010582010595</v>
      </c>
      <c r="E3339">
        <v>-5.242922055225396E-3</v>
      </c>
      <c r="G3339">
        <v>3337</v>
      </c>
      <c r="H3339">
        <f t="shared" ca="1" si="108"/>
        <v>-2.5616505537308373E-2</v>
      </c>
    </row>
    <row r="3340" spans="2:8" x14ac:dyDescent="0.3">
      <c r="B3340" s="113">
        <v>37950</v>
      </c>
      <c r="C3340">
        <v>18.899999999999999</v>
      </c>
      <c r="D3340">
        <f t="shared" si="107"/>
        <v>-0.76704055220017253</v>
      </c>
      <c r="E3340">
        <v>-5.2631578947369166E-3</v>
      </c>
      <c r="G3340">
        <v>3338</v>
      </c>
      <c r="H3340">
        <f t="shared" ca="1" si="108"/>
        <v>2.4358465706245454E-2</v>
      </c>
    </row>
    <row r="3341" spans="2:8" x14ac:dyDescent="0.3">
      <c r="B3341" s="113">
        <v>40242</v>
      </c>
      <c r="C3341">
        <v>81.13</v>
      </c>
      <c r="D3341">
        <f t="shared" si="107"/>
        <v>-0.58931915970640347</v>
      </c>
      <c r="E3341">
        <v>-5.2721922511035652E-3</v>
      </c>
      <c r="G3341">
        <v>3339</v>
      </c>
      <c r="H3341">
        <f t="shared" ca="1" si="108"/>
        <v>-2.5424975368157823E-2</v>
      </c>
    </row>
    <row r="3342" spans="2:8" x14ac:dyDescent="0.3">
      <c r="B3342" s="113">
        <v>43888</v>
      </c>
      <c r="C3342">
        <v>197.55</v>
      </c>
      <c r="D3342">
        <f t="shared" si="107"/>
        <v>-0.27544470933431131</v>
      </c>
      <c r="E3342">
        <v>-5.2870090634440231E-3</v>
      </c>
      <c r="G3342">
        <v>3340</v>
      </c>
      <c r="H3342">
        <f t="shared" ca="1" si="108"/>
        <v>-6.5765831921678073E-3</v>
      </c>
    </row>
    <row r="3343" spans="2:8" x14ac:dyDescent="0.3">
      <c r="B3343" s="113">
        <v>42832</v>
      </c>
      <c r="C3343">
        <v>272.64999999999998</v>
      </c>
      <c r="D3343">
        <f t="shared" si="107"/>
        <v>3.5904255319148898E-2</v>
      </c>
      <c r="E3343">
        <v>-5.2900401313390926E-3</v>
      </c>
      <c r="G3343">
        <v>3341</v>
      </c>
      <c r="H3343">
        <f t="shared" ca="1" si="108"/>
        <v>4.7467530275108203E-3</v>
      </c>
    </row>
    <row r="3344" spans="2:8" x14ac:dyDescent="0.3">
      <c r="B3344" s="113">
        <v>43087</v>
      </c>
      <c r="C3344">
        <v>263.2</v>
      </c>
      <c r="D3344">
        <f t="shared" si="107"/>
        <v>16.534976682211859</v>
      </c>
      <c r="E3344">
        <v>-5.2910052910054191E-3</v>
      </c>
      <c r="G3344">
        <v>3342</v>
      </c>
      <c r="H3344">
        <f t="shared" ca="1" si="108"/>
        <v>-3.081222593391535E-2</v>
      </c>
    </row>
    <row r="3345" spans="2:8" x14ac:dyDescent="0.3">
      <c r="B3345" s="113">
        <v>37490</v>
      </c>
      <c r="C3345">
        <v>15.01</v>
      </c>
      <c r="D3345">
        <f t="shared" si="107"/>
        <v>-0.94471454880294659</v>
      </c>
      <c r="E3345">
        <v>-5.3015241882041131E-3</v>
      </c>
      <c r="G3345">
        <v>3343</v>
      </c>
      <c r="H3345">
        <f t="shared" ca="1" si="108"/>
        <v>-1.8581088349613046E-2</v>
      </c>
    </row>
    <row r="3346" spans="2:8" x14ac:dyDescent="0.3">
      <c r="B3346" s="113">
        <v>42864</v>
      </c>
      <c r="C3346">
        <v>271.5</v>
      </c>
      <c r="D3346">
        <f t="shared" si="107"/>
        <v>-6.3470162124870569E-2</v>
      </c>
      <c r="E3346">
        <v>-5.3123282652500041E-3</v>
      </c>
      <c r="G3346">
        <v>3344</v>
      </c>
      <c r="H3346">
        <f t="shared" ca="1" si="108"/>
        <v>-8.3730760620421025E-3</v>
      </c>
    </row>
    <row r="3347" spans="2:8" x14ac:dyDescent="0.3">
      <c r="B3347" s="113">
        <v>43486</v>
      </c>
      <c r="C3347">
        <v>289.89999999999998</v>
      </c>
      <c r="D3347">
        <f t="shared" si="107"/>
        <v>0.2436722436722436</v>
      </c>
      <c r="E3347">
        <v>-5.3182364041860063E-3</v>
      </c>
      <c r="G3347">
        <v>3345</v>
      </c>
      <c r="H3347">
        <f t="shared" ca="1" si="108"/>
        <v>-1.502829992539754E-2</v>
      </c>
    </row>
    <row r="3348" spans="2:8" x14ac:dyDescent="0.3">
      <c r="B3348" s="113">
        <v>44235</v>
      </c>
      <c r="C3348">
        <v>233.1</v>
      </c>
      <c r="D3348">
        <f t="shared" si="107"/>
        <v>3.1684549356223175</v>
      </c>
      <c r="E3348">
        <v>-5.3339022829101768E-3</v>
      </c>
      <c r="G3348">
        <v>3346</v>
      </c>
      <c r="H3348">
        <f t="shared" ca="1" si="108"/>
        <v>-3.2948623770602321E-2</v>
      </c>
    </row>
    <row r="3349" spans="2:8" x14ac:dyDescent="0.3">
      <c r="B3349" s="113">
        <v>39785</v>
      </c>
      <c r="C3349">
        <v>55.92</v>
      </c>
      <c r="D3349">
        <f t="shared" si="107"/>
        <v>-0.72715296413759445</v>
      </c>
      <c r="E3349">
        <v>-5.3361792956242828E-3</v>
      </c>
      <c r="G3349">
        <v>3347</v>
      </c>
      <c r="H3349">
        <f t="shared" ca="1" si="108"/>
        <v>-4.0982366870724991E-2</v>
      </c>
    </row>
    <row r="3350" spans="2:8" x14ac:dyDescent="0.3">
      <c r="B3350" s="113">
        <v>44407</v>
      </c>
      <c r="C3350">
        <v>204.95</v>
      </c>
      <c r="D3350">
        <f t="shared" si="107"/>
        <v>1.955512099731006E-3</v>
      </c>
      <c r="E3350">
        <v>-5.3385100703713792E-3</v>
      </c>
      <c r="G3350">
        <v>3348</v>
      </c>
      <c r="H3350">
        <f t="shared" ca="1" si="108"/>
        <v>2.0890053576318821E-2</v>
      </c>
    </row>
    <row r="3351" spans="2:8" x14ac:dyDescent="0.3">
      <c r="B3351" s="113">
        <v>44365</v>
      </c>
      <c r="C3351">
        <v>204.55</v>
      </c>
      <c r="D3351">
        <f t="shared" si="107"/>
        <v>0.50914859082189778</v>
      </c>
      <c r="E3351">
        <v>-5.348893751519544E-3</v>
      </c>
      <c r="G3351">
        <v>3349</v>
      </c>
      <c r="H3351">
        <f t="shared" ca="1" si="108"/>
        <v>1.9251585614593607E-2</v>
      </c>
    </row>
    <row r="3352" spans="2:8" x14ac:dyDescent="0.3">
      <c r="B3352" s="113">
        <v>40947</v>
      </c>
      <c r="C3352">
        <v>135.54</v>
      </c>
      <c r="D3352">
        <f t="shared" si="107"/>
        <v>2.1787054409005626</v>
      </c>
      <c r="E3352">
        <v>-5.3570118147796154E-3</v>
      </c>
      <c r="G3352">
        <v>3350</v>
      </c>
      <c r="H3352">
        <f t="shared" ca="1" si="108"/>
        <v>-7.3054103790810045E-3</v>
      </c>
    </row>
    <row r="3353" spans="2:8" x14ac:dyDescent="0.3">
      <c r="B3353" s="113">
        <v>38615</v>
      </c>
      <c r="C3353">
        <v>42.64</v>
      </c>
      <c r="D3353">
        <f t="shared" si="107"/>
        <v>-0.81596892533448429</v>
      </c>
      <c r="E3353">
        <v>-5.3650571495217373E-3</v>
      </c>
      <c r="G3353">
        <v>3351</v>
      </c>
      <c r="H3353">
        <f t="shared" ca="1" si="108"/>
        <v>3.2244605065985858E-2</v>
      </c>
    </row>
    <row r="3354" spans="2:8" x14ac:dyDescent="0.3">
      <c r="B3354" s="113">
        <v>44477</v>
      </c>
      <c r="C3354">
        <v>231.7</v>
      </c>
      <c r="D3354">
        <f t="shared" si="107"/>
        <v>2.7927647732853162</v>
      </c>
      <c r="E3354">
        <v>-5.3659583601631256E-3</v>
      </c>
      <c r="G3354">
        <v>3352</v>
      </c>
      <c r="H3354">
        <f t="shared" ca="1" si="108"/>
        <v>-6.7688372896319978E-3</v>
      </c>
    </row>
    <row r="3355" spans="2:8" x14ac:dyDescent="0.3">
      <c r="B3355" s="113">
        <v>39379</v>
      </c>
      <c r="C3355">
        <v>61.09</v>
      </c>
      <c r="D3355">
        <f t="shared" si="107"/>
        <v>-0.71251764705882348</v>
      </c>
      <c r="E3355">
        <v>-5.372842722240285E-3</v>
      </c>
      <c r="G3355">
        <v>3353</v>
      </c>
      <c r="H3355">
        <f t="shared" ca="1" si="108"/>
        <v>1.0916826220950806E-2</v>
      </c>
    </row>
    <row r="3356" spans="2:8" x14ac:dyDescent="0.3">
      <c r="B3356" s="113">
        <v>44356</v>
      </c>
      <c r="C3356">
        <v>212.5</v>
      </c>
      <c r="D3356">
        <f t="shared" si="107"/>
        <v>0.51547568107260022</v>
      </c>
      <c r="E3356">
        <v>-5.3826351509478386E-3</v>
      </c>
      <c r="G3356">
        <v>3354</v>
      </c>
      <c r="H3356">
        <f t="shared" ca="1" si="108"/>
        <v>4.943292939996128E-3</v>
      </c>
    </row>
    <row r="3357" spans="2:8" x14ac:dyDescent="0.3">
      <c r="B3357" s="113">
        <v>40861</v>
      </c>
      <c r="C3357">
        <v>140.22</v>
      </c>
      <c r="D3357">
        <f t="shared" si="107"/>
        <v>4.8498122653316651</v>
      </c>
      <c r="E3357">
        <v>-5.3908355795147609E-3</v>
      </c>
      <c r="G3357">
        <v>3355</v>
      </c>
      <c r="H3357">
        <f t="shared" ca="1" si="108"/>
        <v>-1.76940038815715E-2</v>
      </c>
    </row>
    <row r="3358" spans="2:8" x14ac:dyDescent="0.3">
      <c r="B3358" s="113">
        <v>38281</v>
      </c>
      <c r="C3358">
        <v>23.97</v>
      </c>
      <c r="D3358">
        <f t="shared" si="107"/>
        <v>4.1736227045066821E-4</v>
      </c>
      <c r="E3358">
        <v>-5.3941908713694003E-3</v>
      </c>
      <c r="G3358">
        <v>3356</v>
      </c>
      <c r="H3358">
        <f t="shared" ca="1" si="108"/>
        <v>-8.3247574538145921E-3</v>
      </c>
    </row>
    <row r="3359" spans="2:8" x14ac:dyDescent="0.3">
      <c r="B3359" s="113">
        <v>38083</v>
      </c>
      <c r="C3359">
        <v>23.96</v>
      </c>
      <c r="D3359">
        <f t="shared" si="107"/>
        <v>-0.88692779613025008</v>
      </c>
      <c r="E3359">
        <v>-5.3964300539642591E-3</v>
      </c>
      <c r="G3359">
        <v>3357</v>
      </c>
      <c r="H3359">
        <f t="shared" ca="1" si="108"/>
        <v>2.0637131423340189E-2</v>
      </c>
    </row>
    <row r="3360" spans="2:8" x14ac:dyDescent="0.3">
      <c r="B3360" s="113">
        <v>43874</v>
      </c>
      <c r="C3360">
        <v>211.9</v>
      </c>
      <c r="D3360">
        <f t="shared" si="107"/>
        <v>-0.28096369189005765</v>
      </c>
      <c r="E3360">
        <v>-5.3977939450833403E-3</v>
      </c>
      <c r="G3360">
        <v>3358</v>
      </c>
      <c r="H3360">
        <f t="shared" ca="1" si="108"/>
        <v>2.3146754487463245E-2</v>
      </c>
    </row>
    <row r="3361" spans="2:8" x14ac:dyDescent="0.3">
      <c r="B3361" s="113">
        <v>43565</v>
      </c>
      <c r="C3361">
        <v>294.7</v>
      </c>
      <c r="D3361">
        <f t="shared" si="107"/>
        <v>3.8566249176005272</v>
      </c>
      <c r="E3361">
        <v>-5.3999325008438157E-3</v>
      </c>
      <c r="G3361">
        <v>3359</v>
      </c>
      <c r="H3361">
        <f t="shared" ca="1" si="108"/>
        <v>6.0207828502912017E-3</v>
      </c>
    </row>
    <row r="3362" spans="2:8" x14ac:dyDescent="0.3">
      <c r="B3362" s="113">
        <v>39871</v>
      </c>
      <c r="C3362">
        <v>60.68</v>
      </c>
      <c r="D3362">
        <f t="shared" si="107"/>
        <v>3.1335149863760217</v>
      </c>
      <c r="E3362">
        <v>-5.4089493525651252E-3</v>
      </c>
      <c r="G3362">
        <v>3360</v>
      </c>
      <c r="H3362">
        <f t="shared" ca="1" si="108"/>
        <v>-2.5242834757121112E-3</v>
      </c>
    </row>
    <row r="3363" spans="2:8" x14ac:dyDescent="0.3">
      <c r="B3363" s="113">
        <v>37517</v>
      </c>
      <c r="C3363">
        <v>14.68</v>
      </c>
      <c r="D3363">
        <f t="shared" si="107"/>
        <v>-0.9407347597900686</v>
      </c>
      <c r="E3363">
        <v>-5.4200542005420106E-3</v>
      </c>
      <c r="G3363">
        <v>3361</v>
      </c>
      <c r="H3363">
        <f t="shared" ca="1" si="108"/>
        <v>3.4095268475288883E-2</v>
      </c>
    </row>
    <row r="3364" spans="2:8" x14ac:dyDescent="0.3">
      <c r="B3364" s="113">
        <v>43763</v>
      </c>
      <c r="C3364">
        <v>247.7</v>
      </c>
      <c r="D3364">
        <f t="shared" si="107"/>
        <v>2.2947592444799145</v>
      </c>
      <c r="E3364">
        <v>-5.4205982734391598E-3</v>
      </c>
      <c r="G3364">
        <v>3362</v>
      </c>
      <c r="H3364">
        <f t="shared" ca="1" si="108"/>
        <v>2.8152791265056063E-3</v>
      </c>
    </row>
    <row r="3365" spans="2:8" x14ac:dyDescent="0.3">
      <c r="B3365" s="113">
        <v>40059</v>
      </c>
      <c r="C3365">
        <v>75.180000000000007</v>
      </c>
      <c r="D3365">
        <f t="shared" si="107"/>
        <v>-0.62200211172004616</v>
      </c>
      <c r="E3365">
        <v>-5.4239978833178536E-3</v>
      </c>
      <c r="G3365">
        <v>3363</v>
      </c>
      <c r="H3365">
        <f t="shared" ca="1" si="108"/>
        <v>2.658307775663294E-2</v>
      </c>
    </row>
    <row r="3366" spans="2:8" x14ac:dyDescent="0.3">
      <c r="B3366" s="113">
        <v>41325</v>
      </c>
      <c r="C3366">
        <v>198.89</v>
      </c>
      <c r="D3366">
        <f t="shared" si="107"/>
        <v>6.1765961990177205E-2</v>
      </c>
      <c r="E3366">
        <v>-5.4505450545054681E-3</v>
      </c>
      <c r="G3366">
        <v>3364</v>
      </c>
      <c r="H3366">
        <f t="shared" ca="1" si="108"/>
        <v>1.5928407876615553E-2</v>
      </c>
    </row>
    <row r="3367" spans="2:8" x14ac:dyDescent="0.3">
      <c r="B3367" s="113">
        <v>41213</v>
      </c>
      <c r="C3367">
        <v>187.32</v>
      </c>
      <c r="D3367">
        <f t="shared" si="107"/>
        <v>-0.18229439497118918</v>
      </c>
      <c r="E3367">
        <v>-5.4685426068489572E-3</v>
      </c>
      <c r="G3367">
        <v>3365</v>
      </c>
      <c r="H3367">
        <f t="shared" ca="1" si="108"/>
        <v>3.1820878868291685E-2</v>
      </c>
    </row>
    <row r="3368" spans="2:8" x14ac:dyDescent="0.3">
      <c r="B3368" s="113">
        <v>41465</v>
      </c>
      <c r="C3368">
        <v>229.08</v>
      </c>
      <c r="D3368">
        <f t="shared" si="107"/>
        <v>2.7128038897893028</v>
      </c>
      <c r="E3368">
        <v>-5.4701745246157462E-3</v>
      </c>
      <c r="G3368">
        <v>3366</v>
      </c>
      <c r="H3368">
        <f t="shared" ca="1" si="108"/>
        <v>8.9074524010586166E-3</v>
      </c>
    </row>
    <row r="3369" spans="2:8" x14ac:dyDescent="0.3">
      <c r="B3369" s="113">
        <v>39371</v>
      </c>
      <c r="C3369">
        <v>61.7</v>
      </c>
      <c r="D3369">
        <f t="shared" si="107"/>
        <v>-0.69088176352705399</v>
      </c>
      <c r="E3369">
        <v>-5.4803352675692509E-3</v>
      </c>
      <c r="G3369">
        <v>3367</v>
      </c>
      <c r="H3369">
        <f t="shared" ca="1" si="108"/>
        <v>1.5091618118329025E-2</v>
      </c>
    </row>
    <row r="3370" spans="2:8" x14ac:dyDescent="0.3">
      <c r="B3370" s="113">
        <v>44036</v>
      </c>
      <c r="C3370">
        <v>199.6</v>
      </c>
      <c r="D3370">
        <f t="shared" si="107"/>
        <v>-0.37123956528587176</v>
      </c>
      <c r="E3370">
        <v>-5.4808171400099375E-3</v>
      </c>
      <c r="G3370">
        <v>3368</v>
      </c>
      <c r="H3370">
        <f t="shared" ca="1" si="108"/>
        <v>1.8502965284213083E-2</v>
      </c>
    </row>
    <row r="3371" spans="2:8" x14ac:dyDescent="0.3">
      <c r="B3371" s="113">
        <v>42891</v>
      </c>
      <c r="C3371">
        <v>317.45</v>
      </c>
      <c r="D3371">
        <f t="shared" si="107"/>
        <v>0.45853434413048461</v>
      </c>
      <c r="E3371">
        <v>-5.4824561403508778E-3</v>
      </c>
      <c r="G3371">
        <v>3369</v>
      </c>
      <c r="H3371">
        <f t="shared" ca="1" si="108"/>
        <v>-1.1023284487059713E-2</v>
      </c>
    </row>
    <row r="3372" spans="2:8" x14ac:dyDescent="0.3">
      <c r="B3372" s="113">
        <v>44216</v>
      </c>
      <c r="C3372">
        <v>217.65</v>
      </c>
      <c r="D3372">
        <f t="shared" si="107"/>
        <v>4.363461999520496E-2</v>
      </c>
      <c r="E3372">
        <v>-5.4832076764906954E-3</v>
      </c>
      <c r="G3372">
        <v>3370</v>
      </c>
      <c r="H3372">
        <f t="shared" ca="1" si="108"/>
        <v>1.8393247305963558E-2</v>
      </c>
    </row>
    <row r="3373" spans="2:8" x14ac:dyDescent="0.3">
      <c r="B3373" s="113">
        <v>44260</v>
      </c>
      <c r="C3373">
        <v>208.55</v>
      </c>
      <c r="D3373">
        <f t="shared" si="107"/>
        <v>-0.17796610169491517</v>
      </c>
      <c r="E3373">
        <v>-5.4840247973294105E-3</v>
      </c>
      <c r="G3373">
        <v>3371</v>
      </c>
      <c r="H3373">
        <f t="shared" ca="1" si="108"/>
        <v>4.9078392606947919E-3</v>
      </c>
    </row>
    <row r="3374" spans="2:8" x14ac:dyDescent="0.3">
      <c r="B3374" s="113">
        <v>42599</v>
      </c>
      <c r="C3374">
        <v>253.7</v>
      </c>
      <c r="D3374">
        <f t="shared" si="107"/>
        <v>2.6901818181818182</v>
      </c>
      <c r="E3374">
        <v>-5.4880439043512568E-3</v>
      </c>
      <c r="G3374">
        <v>3372</v>
      </c>
      <c r="H3374">
        <f t="shared" ca="1" si="108"/>
        <v>3.0285795195973155E-2</v>
      </c>
    </row>
    <row r="3375" spans="2:8" x14ac:dyDescent="0.3">
      <c r="B3375" s="113">
        <v>39547</v>
      </c>
      <c r="C3375">
        <v>68.75</v>
      </c>
      <c r="D3375">
        <f t="shared" si="107"/>
        <v>-0.70539081247857394</v>
      </c>
      <c r="E3375">
        <v>-5.496889917546586E-3</v>
      </c>
      <c r="G3375">
        <v>3373</v>
      </c>
      <c r="H3375">
        <f t="shared" ca="1" si="108"/>
        <v>-1.9062060677617607E-2</v>
      </c>
    </row>
    <row r="3376" spans="2:8" x14ac:dyDescent="0.3">
      <c r="B3376" s="113">
        <v>41932</v>
      </c>
      <c r="C3376">
        <v>233.36</v>
      </c>
      <c r="D3376">
        <f t="shared" si="107"/>
        <v>8.4890748489074935E-2</v>
      </c>
      <c r="E3376">
        <v>-5.4975495418708373E-3</v>
      </c>
      <c r="G3376">
        <v>3374</v>
      </c>
      <c r="H3376">
        <f t="shared" ca="1" si="108"/>
        <v>3.9153318782898835E-2</v>
      </c>
    </row>
    <row r="3377" spans="2:8" x14ac:dyDescent="0.3">
      <c r="B3377" s="113">
        <v>42223</v>
      </c>
      <c r="C3377">
        <v>215.1</v>
      </c>
      <c r="D3377">
        <f t="shared" si="107"/>
        <v>-4.6542553191489359E-2</v>
      </c>
      <c r="E3377">
        <v>-5.5018724860141375E-3</v>
      </c>
      <c r="G3377">
        <v>3375</v>
      </c>
      <c r="H3377">
        <f t="shared" ca="1" si="108"/>
        <v>2.4157699970172482E-3</v>
      </c>
    </row>
    <row r="3378" spans="2:8" x14ac:dyDescent="0.3">
      <c r="B3378" s="113">
        <v>44502</v>
      </c>
      <c r="C3378">
        <v>225.6</v>
      </c>
      <c r="D3378">
        <f t="shared" si="107"/>
        <v>-7.3701498665571824E-2</v>
      </c>
      <c r="E3378">
        <v>-5.5102490632576596E-3</v>
      </c>
      <c r="G3378">
        <v>3376</v>
      </c>
      <c r="H3378">
        <f t="shared" ca="1" si="108"/>
        <v>5.2359813469255723E-3</v>
      </c>
    </row>
    <row r="3379" spans="2:8" x14ac:dyDescent="0.3">
      <c r="B3379" s="113">
        <v>42556</v>
      </c>
      <c r="C3379">
        <v>243.55</v>
      </c>
      <c r="D3379">
        <f t="shared" si="107"/>
        <v>7.4419410745233971</v>
      </c>
      <c r="E3379">
        <v>-5.5124540628827857E-3</v>
      </c>
      <c r="G3379">
        <v>3377</v>
      </c>
      <c r="H3379">
        <f t="shared" ca="1" si="108"/>
        <v>5.5115623011678543E-2</v>
      </c>
    </row>
    <row r="3380" spans="2:8" x14ac:dyDescent="0.3">
      <c r="B3380" s="113">
        <v>38399</v>
      </c>
      <c r="C3380">
        <v>28.85</v>
      </c>
      <c r="D3380">
        <f t="shared" si="107"/>
        <v>-0.89308875301093205</v>
      </c>
      <c r="E3380">
        <v>-5.5153395380903181E-3</v>
      </c>
      <c r="G3380">
        <v>3378</v>
      </c>
      <c r="H3380">
        <f t="shared" ca="1" si="108"/>
        <v>2.3367326049151408E-3</v>
      </c>
    </row>
    <row r="3381" spans="2:8" x14ac:dyDescent="0.3">
      <c r="B3381" s="113">
        <v>43143</v>
      </c>
      <c r="C3381">
        <v>269.85000000000002</v>
      </c>
      <c r="D3381">
        <f t="shared" si="107"/>
        <v>3.5467565290648699</v>
      </c>
      <c r="E3381">
        <v>-5.5279159756771688E-3</v>
      </c>
      <c r="G3381">
        <v>3379</v>
      </c>
      <c r="H3381">
        <f t="shared" ca="1" si="108"/>
        <v>2.3401744395132405E-2</v>
      </c>
    </row>
    <row r="3382" spans="2:8" x14ac:dyDescent="0.3">
      <c r="B3382" s="113">
        <v>39801</v>
      </c>
      <c r="C3382">
        <v>59.35</v>
      </c>
      <c r="D3382">
        <f t="shared" si="107"/>
        <v>-0.72236515881554941</v>
      </c>
      <c r="E3382">
        <v>-5.5294906166219555E-3</v>
      </c>
      <c r="G3382">
        <v>3380</v>
      </c>
      <c r="H3382">
        <f t="shared" ca="1" si="108"/>
        <v>-9.3883368297949191E-3</v>
      </c>
    </row>
    <row r="3383" spans="2:8" x14ac:dyDescent="0.3">
      <c r="B3383" s="113">
        <v>42457</v>
      </c>
      <c r="C3383">
        <v>213.77</v>
      </c>
      <c r="D3383">
        <f t="shared" si="107"/>
        <v>13.876130828114128</v>
      </c>
      <c r="E3383">
        <v>-5.5359136583550319E-3</v>
      </c>
      <c r="G3383">
        <v>3381</v>
      </c>
      <c r="H3383">
        <f t="shared" ca="1" si="108"/>
        <v>-1.126294816988865E-2</v>
      </c>
    </row>
    <row r="3384" spans="2:8" x14ac:dyDescent="0.3">
      <c r="B3384" s="113">
        <v>37460</v>
      </c>
      <c r="C3384">
        <v>14.37</v>
      </c>
      <c r="D3384">
        <f t="shared" si="107"/>
        <v>-0.77136038186157518</v>
      </c>
      <c r="E3384">
        <v>-5.5363321799308009E-3</v>
      </c>
      <c r="G3384">
        <v>3382</v>
      </c>
      <c r="H3384">
        <f t="shared" ca="1" si="108"/>
        <v>-3.5897640794353429E-3</v>
      </c>
    </row>
    <row r="3385" spans="2:8" x14ac:dyDescent="0.3">
      <c r="B3385" s="113">
        <v>39658</v>
      </c>
      <c r="C3385">
        <v>62.85</v>
      </c>
      <c r="D3385">
        <f t="shared" si="107"/>
        <v>-0.70420745481927716</v>
      </c>
      <c r="E3385">
        <v>-5.5379746835443264E-3</v>
      </c>
      <c r="G3385">
        <v>3383</v>
      </c>
      <c r="H3385">
        <f t="shared" ca="1" si="108"/>
        <v>-1.3052249726193564E-2</v>
      </c>
    </row>
    <row r="3386" spans="2:8" x14ac:dyDescent="0.3">
      <c r="B3386" s="113">
        <v>42205</v>
      </c>
      <c r="C3386">
        <v>212.48</v>
      </c>
      <c r="D3386">
        <f t="shared" si="107"/>
        <v>-0.31820952992138618</v>
      </c>
      <c r="E3386">
        <v>-5.5693358917957491E-3</v>
      </c>
      <c r="G3386">
        <v>3384</v>
      </c>
      <c r="H3386">
        <f t="shared" ca="1" si="108"/>
        <v>-2.3619615806433823E-2</v>
      </c>
    </row>
    <row r="3387" spans="2:8" x14ac:dyDescent="0.3">
      <c r="B3387" s="113">
        <v>43340</v>
      </c>
      <c r="C3387">
        <v>311.64999999999998</v>
      </c>
      <c r="D3387">
        <f t="shared" si="107"/>
        <v>6.2201772324471716E-2</v>
      </c>
      <c r="E3387">
        <v>-5.5839183152520747E-3</v>
      </c>
      <c r="G3387">
        <v>3385</v>
      </c>
      <c r="H3387">
        <f t="shared" ca="1" si="108"/>
        <v>-3.3700965069700446E-2</v>
      </c>
    </row>
    <row r="3388" spans="2:8" x14ac:dyDescent="0.3">
      <c r="B3388" s="113">
        <v>43550</v>
      </c>
      <c r="C3388">
        <v>293.39999999999998</v>
      </c>
      <c r="D3388">
        <f t="shared" si="107"/>
        <v>0.13941747572815524</v>
      </c>
      <c r="E3388">
        <v>-5.5922724961872021E-3</v>
      </c>
      <c r="G3388">
        <v>3386</v>
      </c>
      <c r="H3388">
        <f t="shared" ca="1" si="108"/>
        <v>6.5790779910963387E-3</v>
      </c>
    </row>
    <row r="3389" spans="2:8" x14ac:dyDescent="0.3">
      <c r="B3389" s="113">
        <v>44678</v>
      </c>
      <c r="C3389">
        <v>257.5</v>
      </c>
      <c r="D3389">
        <f t="shared" si="107"/>
        <v>3.835680751173709</v>
      </c>
      <c r="E3389">
        <v>-5.5995365900752608E-3</v>
      </c>
      <c r="G3389">
        <v>3387</v>
      </c>
      <c r="H3389">
        <f t="shared" ca="1" si="108"/>
        <v>-6.2948145536709859E-3</v>
      </c>
    </row>
    <row r="3390" spans="2:8" x14ac:dyDescent="0.3">
      <c r="B3390" s="113">
        <v>39199</v>
      </c>
      <c r="C3390">
        <v>53.25</v>
      </c>
      <c r="D3390">
        <f t="shared" si="107"/>
        <v>2.3343769567939887</v>
      </c>
      <c r="E3390">
        <v>-5.6022408963584906E-3</v>
      </c>
      <c r="G3390">
        <v>3388</v>
      </c>
      <c r="H3390">
        <f t="shared" ca="1" si="108"/>
        <v>4.4159010243802798E-3</v>
      </c>
    </row>
    <row r="3391" spans="2:8" x14ac:dyDescent="0.3">
      <c r="B3391" s="113">
        <v>37824</v>
      </c>
      <c r="C3391">
        <v>15.97</v>
      </c>
      <c r="D3391">
        <f t="shared" si="107"/>
        <v>-0.92169649423878397</v>
      </c>
      <c r="E3391">
        <v>-5.6039850560397316E-3</v>
      </c>
      <c r="G3391">
        <v>3389</v>
      </c>
      <c r="H3391">
        <f t="shared" ca="1" si="108"/>
        <v>-1.8127535457832755E-2</v>
      </c>
    </row>
    <row r="3392" spans="2:8" x14ac:dyDescent="0.3">
      <c r="B3392" s="113">
        <v>44370</v>
      </c>
      <c r="C3392">
        <v>203.95</v>
      </c>
      <c r="D3392">
        <f t="shared" si="107"/>
        <v>4.4840010755579458</v>
      </c>
      <c r="E3392">
        <v>-5.6070209653827684E-3</v>
      </c>
      <c r="G3392">
        <v>3390</v>
      </c>
      <c r="H3392">
        <f t="shared" ca="1" si="108"/>
        <v>-3.0274267619307557E-2</v>
      </c>
    </row>
    <row r="3393" spans="2:8" x14ac:dyDescent="0.3">
      <c r="B3393" s="113">
        <v>38562</v>
      </c>
      <c r="C3393">
        <v>37.19</v>
      </c>
      <c r="D3393">
        <f t="shared" si="107"/>
        <v>-0.77150405505038089</v>
      </c>
      <c r="E3393">
        <v>-5.6149732620321084E-3</v>
      </c>
      <c r="G3393">
        <v>3391</v>
      </c>
      <c r="H3393">
        <f t="shared" ca="1" si="108"/>
        <v>1.1455199678836651E-2</v>
      </c>
    </row>
    <row r="3394" spans="2:8" x14ac:dyDescent="0.3">
      <c r="B3394" s="113">
        <v>41029</v>
      </c>
      <c r="C3394">
        <v>162.76</v>
      </c>
      <c r="D3394">
        <f t="shared" si="107"/>
        <v>-0.34251666330034342</v>
      </c>
      <c r="E3394">
        <v>-5.6207233626589439E-3</v>
      </c>
      <c r="G3394">
        <v>3392</v>
      </c>
      <c r="H3394">
        <f t="shared" ca="1" si="108"/>
        <v>1.0903562748882992E-2</v>
      </c>
    </row>
    <row r="3395" spans="2:8" x14ac:dyDescent="0.3">
      <c r="B3395" s="113">
        <v>42746</v>
      </c>
      <c r="C3395">
        <v>247.55</v>
      </c>
      <c r="D3395">
        <f t="shared" ref="D3395:D3458" si="109">(C3395-C3396)/C3396</f>
        <v>16.507072135785009</v>
      </c>
      <c r="E3395">
        <v>-5.6236192006426083E-3</v>
      </c>
      <c r="G3395">
        <v>3393</v>
      </c>
      <c r="H3395">
        <f t="shared" ca="1" si="108"/>
        <v>-2.300357970943287E-2</v>
      </c>
    </row>
    <row r="3396" spans="2:8" x14ac:dyDescent="0.3">
      <c r="B3396" s="113">
        <v>37685</v>
      </c>
      <c r="C3396">
        <v>14.14</v>
      </c>
      <c r="D3396">
        <f t="shared" si="109"/>
        <v>-0.92724466169282216</v>
      </c>
      <c r="E3396">
        <v>-5.625879043600567E-3</v>
      </c>
      <c r="G3396">
        <v>3394</v>
      </c>
      <c r="H3396">
        <f t="shared" ref="H3396:H3459" ca="1" si="110">_xlfn.NORM.INV(RAND(),$L$4,$L$6)</f>
        <v>-4.4213766041954566E-5</v>
      </c>
    </row>
    <row r="3397" spans="2:8" x14ac:dyDescent="0.3">
      <c r="B3397" s="113">
        <v>44022</v>
      </c>
      <c r="C3397">
        <v>194.35</v>
      </c>
      <c r="D3397">
        <f t="shared" si="109"/>
        <v>-0.18511530398322854</v>
      </c>
      <c r="E3397">
        <v>-5.6280378613455841E-3</v>
      </c>
      <c r="G3397">
        <v>3395</v>
      </c>
      <c r="H3397">
        <f t="shared" ca="1" si="110"/>
        <v>-2.5463755511998441E-2</v>
      </c>
    </row>
    <row r="3398" spans="2:8" x14ac:dyDescent="0.3">
      <c r="B3398" s="113">
        <v>43833</v>
      </c>
      <c r="C3398">
        <v>238.5</v>
      </c>
      <c r="D3398">
        <f t="shared" si="109"/>
        <v>2.8686131386861313</v>
      </c>
      <c r="E3398">
        <v>-5.6285178236397514E-3</v>
      </c>
      <c r="G3398">
        <v>3396</v>
      </c>
      <c r="H3398">
        <f t="shared" ca="1" si="110"/>
        <v>7.4129997629909811E-3</v>
      </c>
    </row>
    <row r="3399" spans="2:8" x14ac:dyDescent="0.3">
      <c r="B3399" s="113">
        <v>39031</v>
      </c>
      <c r="C3399">
        <v>61.65</v>
      </c>
      <c r="D3399">
        <f t="shared" si="109"/>
        <v>-0.69555555555555548</v>
      </c>
      <c r="E3399">
        <v>-5.6451612903226037E-3</v>
      </c>
      <c r="G3399">
        <v>3397</v>
      </c>
      <c r="H3399">
        <f t="shared" ca="1" si="110"/>
        <v>-5.1372403740984878E-3</v>
      </c>
    </row>
    <row r="3400" spans="2:8" x14ac:dyDescent="0.3">
      <c r="B3400" s="113">
        <v>44383</v>
      </c>
      <c r="C3400">
        <v>202.5</v>
      </c>
      <c r="D3400">
        <f t="shared" si="109"/>
        <v>2.5980810234541578</v>
      </c>
      <c r="E3400">
        <v>-5.6469432850479043E-3</v>
      </c>
      <c r="G3400">
        <v>3398</v>
      </c>
      <c r="H3400">
        <f t="shared" ca="1" si="110"/>
        <v>1.9026952280291689E-2</v>
      </c>
    </row>
    <row r="3401" spans="2:8" x14ac:dyDescent="0.3">
      <c r="B3401" s="113">
        <v>39757</v>
      </c>
      <c r="C3401">
        <v>56.28</v>
      </c>
      <c r="D3401">
        <f t="shared" si="109"/>
        <v>-0.78637312583032837</v>
      </c>
      <c r="E3401">
        <v>-5.6537102473498283E-3</v>
      </c>
      <c r="G3401">
        <v>3399</v>
      </c>
      <c r="H3401">
        <f t="shared" ca="1" si="110"/>
        <v>1.4590658883237647E-2</v>
      </c>
    </row>
    <row r="3402" spans="2:8" x14ac:dyDescent="0.3">
      <c r="B3402" s="113">
        <v>42804</v>
      </c>
      <c r="C3402">
        <v>263.45</v>
      </c>
      <c r="D3402">
        <f t="shared" si="109"/>
        <v>3.17181314330958</v>
      </c>
      <c r="E3402">
        <v>-5.6614455557652387E-3</v>
      </c>
      <c r="G3402">
        <v>3400</v>
      </c>
      <c r="H3402">
        <f t="shared" ca="1" si="110"/>
        <v>3.4798876470361309E-3</v>
      </c>
    </row>
    <row r="3403" spans="2:8" x14ac:dyDescent="0.3">
      <c r="B3403" s="113">
        <v>39653</v>
      </c>
      <c r="C3403">
        <v>63.15</v>
      </c>
      <c r="D3403">
        <f t="shared" si="109"/>
        <v>-0.26475724764233322</v>
      </c>
      <c r="E3403">
        <v>-5.6683986773736336E-3</v>
      </c>
      <c r="G3403">
        <v>3401</v>
      </c>
      <c r="H3403">
        <f t="shared" ca="1" si="110"/>
        <v>8.2072580821697747E-3</v>
      </c>
    </row>
    <row r="3404" spans="2:8" x14ac:dyDescent="0.3">
      <c r="B3404" s="113">
        <v>40114</v>
      </c>
      <c r="C3404">
        <v>85.89</v>
      </c>
      <c r="D3404">
        <f t="shared" si="109"/>
        <v>-0.60154945258860648</v>
      </c>
      <c r="E3404">
        <v>-5.6726094003240902E-3</v>
      </c>
      <c r="G3404">
        <v>3402</v>
      </c>
      <c r="H3404">
        <f t="shared" ca="1" si="110"/>
        <v>1.4089323502039723E-2</v>
      </c>
    </row>
    <row r="3405" spans="2:8" x14ac:dyDescent="0.3">
      <c r="B3405" s="113">
        <v>42247</v>
      </c>
      <c r="C3405">
        <v>215.56</v>
      </c>
      <c r="D3405">
        <f t="shared" si="109"/>
        <v>1.5729291000238721</v>
      </c>
      <c r="E3405">
        <v>-5.6736934360440512E-3</v>
      </c>
      <c r="G3405">
        <v>3403</v>
      </c>
      <c r="H3405">
        <f t="shared" ca="1" si="110"/>
        <v>3.0193558765303917E-3</v>
      </c>
    </row>
    <row r="3406" spans="2:8" x14ac:dyDescent="0.3">
      <c r="B3406" s="113">
        <v>40158</v>
      </c>
      <c r="C3406">
        <v>83.78</v>
      </c>
      <c r="D3406">
        <f t="shared" si="109"/>
        <v>-0.59846633117661152</v>
      </c>
      <c r="E3406">
        <v>-5.696653216235509E-3</v>
      </c>
      <c r="G3406">
        <v>3404</v>
      </c>
      <c r="H3406">
        <f t="shared" ca="1" si="110"/>
        <v>2.6536985375011295E-2</v>
      </c>
    </row>
    <row r="3407" spans="2:8" x14ac:dyDescent="0.3">
      <c r="B3407" s="113">
        <v>44419</v>
      </c>
      <c r="C3407">
        <v>208.65</v>
      </c>
      <c r="D3407">
        <f t="shared" si="109"/>
        <v>12.357874519846352</v>
      </c>
      <c r="E3407">
        <v>-5.7183702644745711E-3</v>
      </c>
      <c r="G3407">
        <v>3405</v>
      </c>
      <c r="H3407">
        <f t="shared" ca="1" si="110"/>
        <v>3.0299060690898924E-2</v>
      </c>
    </row>
    <row r="3408" spans="2:8" x14ac:dyDescent="0.3">
      <c r="B3408" s="113">
        <v>37788</v>
      </c>
      <c r="C3408">
        <v>15.62</v>
      </c>
      <c r="D3408">
        <f t="shared" si="109"/>
        <v>-0.93790498906777975</v>
      </c>
      <c r="E3408">
        <v>-5.72883513685561E-3</v>
      </c>
      <c r="G3408">
        <v>3406</v>
      </c>
      <c r="H3408">
        <f t="shared" ca="1" si="110"/>
        <v>1.0109494845727611E-2</v>
      </c>
    </row>
    <row r="3409" spans="2:8" x14ac:dyDescent="0.3">
      <c r="B3409" s="113">
        <v>43696</v>
      </c>
      <c r="C3409">
        <v>251.55</v>
      </c>
      <c r="D3409">
        <f t="shared" si="109"/>
        <v>-2.9701060752169675E-2</v>
      </c>
      <c r="E3409">
        <v>-5.7312252964426425E-3</v>
      </c>
      <c r="G3409">
        <v>3407</v>
      </c>
      <c r="H3409">
        <f t="shared" ca="1" si="110"/>
        <v>-1.5085083215724169E-2</v>
      </c>
    </row>
    <row r="3410" spans="2:8" x14ac:dyDescent="0.3">
      <c r="B3410" s="113">
        <v>43066</v>
      </c>
      <c r="C3410">
        <v>259.25</v>
      </c>
      <c r="D3410">
        <f t="shared" si="109"/>
        <v>1.5452965037665723E-3</v>
      </c>
      <c r="E3410">
        <v>-5.7526366251198467E-3</v>
      </c>
      <c r="G3410">
        <v>3408</v>
      </c>
      <c r="H3410">
        <f t="shared" ca="1" si="110"/>
        <v>-2.8961069287418078E-2</v>
      </c>
    </row>
    <row r="3411" spans="2:8" x14ac:dyDescent="0.3">
      <c r="B3411" s="113">
        <v>42632</v>
      </c>
      <c r="C3411">
        <v>258.85000000000002</v>
      </c>
      <c r="D3411">
        <f t="shared" si="109"/>
        <v>0.11347700778595098</v>
      </c>
      <c r="E3411">
        <v>-5.7614749375840208E-3</v>
      </c>
      <c r="G3411">
        <v>3409</v>
      </c>
      <c r="H3411">
        <f t="shared" ca="1" si="110"/>
        <v>-1.1470345721336084E-2</v>
      </c>
    </row>
    <row r="3412" spans="2:8" x14ac:dyDescent="0.3">
      <c r="B3412" s="113">
        <v>42026</v>
      </c>
      <c r="C3412">
        <v>232.47</v>
      </c>
      <c r="D3412">
        <f t="shared" si="109"/>
        <v>6.1135250917992652</v>
      </c>
      <c r="E3412">
        <v>-5.7736720554272276E-3</v>
      </c>
      <c r="G3412">
        <v>3410</v>
      </c>
      <c r="H3412">
        <f t="shared" ca="1" si="110"/>
        <v>2.3739437433041098E-2</v>
      </c>
    </row>
    <row r="3413" spans="2:8" x14ac:dyDescent="0.3">
      <c r="B3413" s="113">
        <v>38489</v>
      </c>
      <c r="C3413">
        <v>32.68</v>
      </c>
      <c r="D3413">
        <f t="shared" si="109"/>
        <v>-0.86891295627757714</v>
      </c>
      <c r="E3413">
        <v>-5.7803468208091797E-3</v>
      </c>
      <c r="G3413">
        <v>3411</v>
      </c>
      <c r="H3413">
        <f t="shared" ca="1" si="110"/>
        <v>-3.7043007448426105E-2</v>
      </c>
    </row>
    <row r="3414" spans="2:8" x14ac:dyDescent="0.3">
      <c r="B3414" s="113">
        <v>43788</v>
      </c>
      <c r="C3414">
        <v>249.3</v>
      </c>
      <c r="D3414">
        <f t="shared" si="109"/>
        <v>3.8533638825244736E-2</v>
      </c>
      <c r="E3414">
        <v>-5.7826520438683492E-3</v>
      </c>
      <c r="G3414">
        <v>3412</v>
      </c>
      <c r="H3414">
        <f t="shared" ca="1" si="110"/>
        <v>-3.957753202757545E-4</v>
      </c>
    </row>
    <row r="3415" spans="2:8" x14ac:dyDescent="0.3">
      <c r="B3415" s="113">
        <v>43699</v>
      </c>
      <c r="C3415">
        <v>240.05</v>
      </c>
      <c r="D3415">
        <f t="shared" si="109"/>
        <v>-9.4663398076560323E-2</v>
      </c>
      <c r="E3415">
        <v>-5.7983019258644741E-3</v>
      </c>
      <c r="G3415">
        <v>3413</v>
      </c>
      <c r="H3415">
        <f t="shared" ca="1" si="110"/>
        <v>1.6403309622494082E-2</v>
      </c>
    </row>
    <row r="3416" spans="2:8" x14ac:dyDescent="0.3">
      <c r="B3416" s="113">
        <v>43201</v>
      </c>
      <c r="C3416">
        <v>265.14999999999998</v>
      </c>
      <c r="D3416">
        <f t="shared" si="109"/>
        <v>16.228719948018192</v>
      </c>
      <c r="E3416">
        <v>-5.8117735283090043E-3</v>
      </c>
      <c r="G3416">
        <v>3414</v>
      </c>
      <c r="H3416">
        <f t="shared" ca="1" si="110"/>
        <v>9.2494336275232569E-3</v>
      </c>
    </row>
    <row r="3417" spans="2:8" x14ac:dyDescent="0.3">
      <c r="B3417" s="113">
        <v>37449</v>
      </c>
      <c r="C3417">
        <v>15.39</v>
      </c>
      <c r="D3417">
        <f t="shared" si="109"/>
        <v>-0.88156072033246113</v>
      </c>
      <c r="E3417">
        <v>-5.8139534883720834E-3</v>
      </c>
      <c r="G3417">
        <v>3415</v>
      </c>
      <c r="H3417">
        <f t="shared" ca="1" si="110"/>
        <v>1.2280832016268223E-2</v>
      </c>
    </row>
    <row r="3418" spans="2:8" x14ac:dyDescent="0.3">
      <c r="B3418" s="113">
        <v>40889</v>
      </c>
      <c r="C3418">
        <v>129.94</v>
      </c>
      <c r="D3418">
        <f t="shared" si="109"/>
        <v>0.31385237613751255</v>
      </c>
      <c r="E3418">
        <v>-5.8148431522570083E-3</v>
      </c>
      <c r="G3418">
        <v>3416</v>
      </c>
      <c r="H3418">
        <f t="shared" ca="1" si="110"/>
        <v>6.3753599636254057E-3</v>
      </c>
    </row>
    <row r="3419" spans="2:8" x14ac:dyDescent="0.3">
      <c r="B3419" s="113">
        <v>40375</v>
      </c>
      <c r="C3419">
        <v>98.9</v>
      </c>
      <c r="D3419">
        <f t="shared" si="109"/>
        <v>-0.51590797846304459</v>
      </c>
      <c r="E3419">
        <v>-5.8303176517892873E-3</v>
      </c>
      <c r="G3419">
        <v>3417</v>
      </c>
      <c r="H3419">
        <f t="shared" ca="1" si="110"/>
        <v>-2.123454375141973E-2</v>
      </c>
    </row>
    <row r="3420" spans="2:8" x14ac:dyDescent="0.3">
      <c r="B3420" s="113">
        <v>44315</v>
      </c>
      <c r="C3420">
        <v>204.3</v>
      </c>
      <c r="D3420">
        <f t="shared" si="109"/>
        <v>2.079125847776941</v>
      </c>
      <c r="E3420">
        <v>-5.8394160583941056E-3</v>
      </c>
      <c r="G3420">
        <v>3418</v>
      </c>
      <c r="H3420">
        <f t="shared" ca="1" si="110"/>
        <v>-3.6931821164799331E-2</v>
      </c>
    </row>
    <row r="3421" spans="2:8" x14ac:dyDescent="0.3">
      <c r="B3421" s="113">
        <v>39500</v>
      </c>
      <c r="C3421">
        <v>66.349999999999994</v>
      </c>
      <c r="D3421">
        <f t="shared" si="109"/>
        <v>-0.41777816777816779</v>
      </c>
      <c r="E3421">
        <v>-5.8435720707222145E-3</v>
      </c>
      <c r="G3421">
        <v>3419</v>
      </c>
      <c r="H3421">
        <f t="shared" ca="1" si="110"/>
        <v>1.2808647725353126E-2</v>
      </c>
    </row>
    <row r="3422" spans="2:8" x14ac:dyDescent="0.3">
      <c r="B3422" s="113">
        <v>40458</v>
      </c>
      <c r="C3422">
        <v>113.96</v>
      </c>
      <c r="D3422">
        <f t="shared" si="109"/>
        <v>-0.50690147548786302</v>
      </c>
      <c r="E3422">
        <v>-5.8448922620605581E-3</v>
      </c>
      <c r="G3422">
        <v>3420</v>
      </c>
      <c r="H3422">
        <f t="shared" ca="1" si="110"/>
        <v>1.2436010326343972E-2</v>
      </c>
    </row>
    <row r="3423" spans="2:8" x14ac:dyDescent="0.3">
      <c r="B3423" s="113">
        <v>41870</v>
      </c>
      <c r="C3423">
        <v>231.11</v>
      </c>
      <c r="D3423">
        <f t="shared" si="109"/>
        <v>14.125000000000002</v>
      </c>
      <c r="E3423">
        <v>-5.85021723233099E-3</v>
      </c>
      <c r="G3423">
        <v>3421</v>
      </c>
      <c r="H3423">
        <f t="shared" ca="1" si="110"/>
        <v>8.4647208218343057E-3</v>
      </c>
    </row>
    <row r="3424" spans="2:8" x14ac:dyDescent="0.3">
      <c r="B3424" s="113">
        <v>37769</v>
      </c>
      <c r="C3424">
        <v>15.28</v>
      </c>
      <c r="D3424">
        <f t="shared" si="109"/>
        <v>-0.94372007366482513</v>
      </c>
      <c r="E3424">
        <v>-5.8555627846454041E-3</v>
      </c>
      <c r="G3424">
        <v>3422</v>
      </c>
      <c r="H3424">
        <f t="shared" ca="1" si="110"/>
        <v>-1.2625086617804784E-2</v>
      </c>
    </row>
    <row r="3425" spans="2:8" x14ac:dyDescent="0.3">
      <c r="B3425" s="113">
        <v>42958</v>
      </c>
      <c r="C3425">
        <v>271.5</v>
      </c>
      <c r="D3425">
        <f t="shared" si="109"/>
        <v>19.036900369003689</v>
      </c>
      <c r="E3425">
        <v>-5.8586598315636127E-3</v>
      </c>
      <c r="G3425">
        <v>3423</v>
      </c>
      <c r="H3425">
        <f t="shared" ca="1" si="110"/>
        <v>2.1863775106579959E-2</v>
      </c>
    </row>
    <row r="3426" spans="2:8" x14ac:dyDescent="0.3">
      <c r="B3426" s="113">
        <v>37572</v>
      </c>
      <c r="C3426">
        <v>13.55</v>
      </c>
      <c r="D3426">
        <f t="shared" si="109"/>
        <v>-0.19964559952746599</v>
      </c>
      <c r="E3426">
        <v>-5.8694057226705842E-3</v>
      </c>
      <c r="G3426">
        <v>3424</v>
      </c>
      <c r="H3426">
        <f t="shared" ca="1" si="110"/>
        <v>-5.3911659621275467E-3</v>
      </c>
    </row>
    <row r="3427" spans="2:8" x14ac:dyDescent="0.3">
      <c r="B3427" s="113">
        <v>37809</v>
      </c>
      <c r="C3427">
        <v>16.93</v>
      </c>
      <c r="D3427">
        <f t="shared" si="109"/>
        <v>-0.94283302380550393</v>
      </c>
      <c r="E3427">
        <v>-5.8719906048151152E-3</v>
      </c>
      <c r="G3427">
        <v>3425</v>
      </c>
      <c r="H3427">
        <f t="shared" ca="1" si="110"/>
        <v>-3.0435650138402288E-2</v>
      </c>
    </row>
    <row r="3428" spans="2:8" x14ac:dyDescent="0.3">
      <c r="B3428" s="113">
        <v>43558</v>
      </c>
      <c r="C3428">
        <v>296.14999999999998</v>
      </c>
      <c r="D3428">
        <f t="shared" si="109"/>
        <v>1.6131650930909733</v>
      </c>
      <c r="E3428">
        <v>-5.8744545149378991E-3</v>
      </c>
      <c r="G3428">
        <v>3426</v>
      </c>
      <c r="H3428">
        <f t="shared" ca="1" si="110"/>
        <v>3.0020342396521398E-2</v>
      </c>
    </row>
    <row r="3429" spans="2:8" x14ac:dyDescent="0.3">
      <c r="B3429" s="113">
        <v>40501</v>
      </c>
      <c r="C3429">
        <v>113.33</v>
      </c>
      <c r="D3429">
        <f t="shared" si="109"/>
        <v>-0.5373341498264953</v>
      </c>
      <c r="E3429">
        <v>-5.8771929824561553E-3</v>
      </c>
      <c r="G3429">
        <v>3427</v>
      </c>
      <c r="H3429">
        <f t="shared" ca="1" si="110"/>
        <v>-2.2477834237025944E-3</v>
      </c>
    </row>
    <row r="3430" spans="2:8" x14ac:dyDescent="0.3">
      <c r="B3430" s="113">
        <v>43801</v>
      </c>
      <c r="C3430">
        <v>244.95</v>
      </c>
      <c r="D3430">
        <f t="shared" si="109"/>
        <v>0.16007577551503663</v>
      </c>
      <c r="E3430">
        <v>-5.8847402597403285E-3</v>
      </c>
      <c r="G3430">
        <v>3428</v>
      </c>
      <c r="H3430">
        <f t="shared" ca="1" si="110"/>
        <v>8.7323061217864841E-3</v>
      </c>
    </row>
    <row r="3431" spans="2:8" x14ac:dyDescent="0.3">
      <c r="B3431" s="113">
        <v>44403</v>
      </c>
      <c r="C3431">
        <v>211.15</v>
      </c>
      <c r="D3431">
        <f t="shared" si="109"/>
        <v>-0.16656798894809549</v>
      </c>
      <c r="E3431">
        <v>-5.8851224105461392E-3</v>
      </c>
      <c r="G3431">
        <v>3429</v>
      </c>
      <c r="H3431">
        <f t="shared" ca="1" si="110"/>
        <v>2.6420757062642259E-2</v>
      </c>
    </row>
    <row r="3432" spans="2:8" x14ac:dyDescent="0.3">
      <c r="B3432" s="113">
        <v>44645</v>
      </c>
      <c r="C3432">
        <v>253.35</v>
      </c>
      <c r="D3432">
        <f t="shared" si="109"/>
        <v>14.008886255924171</v>
      </c>
      <c r="E3432">
        <v>-5.8858151854031789E-3</v>
      </c>
      <c r="G3432">
        <v>3430</v>
      </c>
      <c r="H3432">
        <f t="shared" ca="1" si="110"/>
        <v>-2.8466722800780199E-2</v>
      </c>
    </row>
    <row r="3433" spans="2:8" x14ac:dyDescent="0.3">
      <c r="B3433" s="113">
        <v>37853</v>
      </c>
      <c r="C3433">
        <v>16.88</v>
      </c>
      <c r="D3433">
        <f t="shared" si="109"/>
        <v>-0.898982645122681</v>
      </c>
      <c r="E3433">
        <v>-5.8892815076561494E-3</v>
      </c>
      <c r="G3433">
        <v>3431</v>
      </c>
      <c r="H3433">
        <f t="shared" ca="1" si="110"/>
        <v>-4.9131705136121306E-2</v>
      </c>
    </row>
    <row r="3434" spans="2:8" x14ac:dyDescent="0.3">
      <c r="B3434" s="113">
        <v>41106</v>
      </c>
      <c r="C3434">
        <v>167.1</v>
      </c>
      <c r="D3434">
        <f t="shared" si="109"/>
        <v>-0.360627511000574</v>
      </c>
      <c r="E3434">
        <v>-5.8897019453864538E-3</v>
      </c>
      <c r="G3434">
        <v>3432</v>
      </c>
      <c r="H3434">
        <f t="shared" ca="1" si="110"/>
        <v>-3.9790391298460008E-2</v>
      </c>
    </row>
    <row r="3435" spans="2:8" x14ac:dyDescent="0.3">
      <c r="B3435" s="113">
        <v>43775</v>
      </c>
      <c r="C3435">
        <v>261.35000000000002</v>
      </c>
      <c r="D3435">
        <f t="shared" si="109"/>
        <v>2.2325293753865187</v>
      </c>
      <c r="E3435">
        <v>-5.8957778623048868E-3</v>
      </c>
      <c r="G3435">
        <v>3433</v>
      </c>
      <c r="H3435">
        <f t="shared" ca="1" si="110"/>
        <v>2.5050665902779368E-2</v>
      </c>
    </row>
    <row r="3436" spans="2:8" x14ac:dyDescent="0.3">
      <c r="B3436" s="113">
        <v>40218</v>
      </c>
      <c r="C3436">
        <v>80.849999999999994</v>
      </c>
      <c r="D3436">
        <f t="shared" si="109"/>
        <v>-0.58249419054996132</v>
      </c>
      <c r="E3436">
        <v>-5.9018812246404029E-3</v>
      </c>
      <c r="G3436">
        <v>3434</v>
      </c>
      <c r="H3436">
        <f t="shared" ca="1" si="110"/>
        <v>-3.8383686554207702E-3</v>
      </c>
    </row>
    <row r="3437" spans="2:8" x14ac:dyDescent="0.3">
      <c r="B3437" s="113">
        <v>44162</v>
      </c>
      <c r="C3437">
        <v>193.65</v>
      </c>
      <c r="D3437">
        <f t="shared" si="109"/>
        <v>-0.25733461169702776</v>
      </c>
      <c r="E3437">
        <v>-5.9034907597536219E-3</v>
      </c>
      <c r="G3437">
        <v>3435</v>
      </c>
      <c r="H3437">
        <f t="shared" ca="1" si="110"/>
        <v>1.8220834904316651E-2</v>
      </c>
    </row>
    <row r="3438" spans="2:8" x14ac:dyDescent="0.3">
      <c r="B3438" s="113">
        <v>43102</v>
      </c>
      <c r="C3438">
        <v>260.75</v>
      </c>
      <c r="D3438">
        <f t="shared" si="109"/>
        <v>0.29212091179385524</v>
      </c>
      <c r="E3438">
        <v>-5.9092642012962687E-3</v>
      </c>
      <c r="G3438">
        <v>3436</v>
      </c>
      <c r="H3438">
        <f t="shared" ca="1" si="110"/>
        <v>5.6670356805241413E-3</v>
      </c>
    </row>
    <row r="3439" spans="2:8" x14ac:dyDescent="0.3">
      <c r="B3439" s="113">
        <v>43886</v>
      </c>
      <c r="C3439">
        <v>201.8</v>
      </c>
      <c r="D3439">
        <f t="shared" si="109"/>
        <v>4.4570037858301799</v>
      </c>
      <c r="E3439">
        <v>-5.9113300492610278E-3</v>
      </c>
      <c r="G3439">
        <v>3437</v>
      </c>
      <c r="H3439">
        <f t="shared" ca="1" si="110"/>
        <v>-4.2830056916104496E-2</v>
      </c>
    </row>
    <row r="3440" spans="2:8" x14ac:dyDescent="0.3">
      <c r="B3440" s="113">
        <v>38538</v>
      </c>
      <c r="C3440">
        <v>36.979999999999997</v>
      </c>
      <c r="D3440">
        <f t="shared" si="109"/>
        <v>-0.85752263533037953</v>
      </c>
      <c r="E3440">
        <v>-5.9139784946238162E-3</v>
      </c>
      <c r="G3440">
        <v>3438</v>
      </c>
      <c r="H3440">
        <f t="shared" ca="1" si="110"/>
        <v>-5.5846377108121953E-4</v>
      </c>
    </row>
    <row r="3441" spans="2:8" x14ac:dyDescent="0.3">
      <c r="B3441" s="113">
        <v>44680</v>
      </c>
      <c r="C3441">
        <v>259.55</v>
      </c>
      <c r="D3441">
        <f t="shared" si="109"/>
        <v>16.28029294274301</v>
      </c>
      <c r="E3441">
        <v>-5.9364228265032983E-3</v>
      </c>
      <c r="G3441">
        <v>3439</v>
      </c>
      <c r="H3441">
        <f t="shared" ca="1" si="110"/>
        <v>5.543250988104517E-3</v>
      </c>
    </row>
    <row r="3442" spans="2:8" x14ac:dyDescent="0.3">
      <c r="B3442" s="113">
        <v>37776</v>
      </c>
      <c r="C3442">
        <v>15.02</v>
      </c>
      <c r="D3442">
        <f t="shared" si="109"/>
        <v>-0.93784398924063728</v>
      </c>
      <c r="E3442">
        <v>-5.9563203176704075E-3</v>
      </c>
      <c r="G3442">
        <v>3440</v>
      </c>
      <c r="H3442">
        <f t="shared" ca="1" si="110"/>
        <v>-4.7547871062586346E-3</v>
      </c>
    </row>
    <row r="3443" spans="2:8" x14ac:dyDescent="0.3">
      <c r="B3443" s="113">
        <v>42673</v>
      </c>
      <c r="C3443">
        <v>241.65</v>
      </c>
      <c r="D3443">
        <f t="shared" si="109"/>
        <v>2.2293197915274621</v>
      </c>
      <c r="E3443">
        <v>-5.9646236116823884E-3</v>
      </c>
      <c r="G3443">
        <v>3441</v>
      </c>
      <c r="H3443">
        <f t="shared" ca="1" si="110"/>
        <v>4.1721430706522337E-3</v>
      </c>
    </row>
    <row r="3444" spans="2:8" x14ac:dyDescent="0.3">
      <c r="B3444" s="113">
        <v>39588</v>
      </c>
      <c r="C3444">
        <v>74.83</v>
      </c>
      <c r="D3444">
        <f t="shared" si="109"/>
        <v>-0.69357084357084364</v>
      </c>
      <c r="E3444">
        <v>-5.9776833156217164E-3</v>
      </c>
      <c r="G3444">
        <v>3442</v>
      </c>
      <c r="H3444">
        <f t="shared" ca="1" si="110"/>
        <v>-3.8038971223107468E-2</v>
      </c>
    </row>
    <row r="3445" spans="2:8" x14ac:dyDescent="0.3">
      <c r="B3445" s="113">
        <v>42550</v>
      </c>
      <c r="C3445">
        <v>244.2</v>
      </c>
      <c r="D3445">
        <f t="shared" si="109"/>
        <v>3.2016517549896766</v>
      </c>
      <c r="E3445">
        <v>-5.9836365856636908E-3</v>
      </c>
      <c r="G3445">
        <v>3443</v>
      </c>
      <c r="H3445">
        <f t="shared" ca="1" si="110"/>
        <v>2.6973687503777564E-2</v>
      </c>
    </row>
    <row r="3446" spans="2:8" x14ac:dyDescent="0.3">
      <c r="B3446" s="113">
        <v>39125</v>
      </c>
      <c r="C3446">
        <v>58.12</v>
      </c>
      <c r="D3446">
        <f t="shared" si="109"/>
        <v>-0.31365139348134163</v>
      </c>
      <c r="E3446">
        <v>-5.985975714041413E-3</v>
      </c>
      <c r="G3446">
        <v>3444</v>
      </c>
      <c r="H3446">
        <f t="shared" ca="1" si="110"/>
        <v>3.4538546251677068E-3</v>
      </c>
    </row>
    <row r="3447" spans="2:8" x14ac:dyDescent="0.3">
      <c r="B3447" s="113">
        <v>40150</v>
      </c>
      <c r="C3447">
        <v>84.68</v>
      </c>
      <c r="D3447">
        <f t="shared" si="109"/>
        <v>0.45773799276983995</v>
      </c>
      <c r="E3447">
        <v>-5.9866181476698078E-3</v>
      </c>
      <c r="G3447">
        <v>3445</v>
      </c>
      <c r="H3447">
        <f t="shared" ca="1" si="110"/>
        <v>6.1063578406534277E-3</v>
      </c>
    </row>
    <row r="3448" spans="2:8" x14ac:dyDescent="0.3">
      <c r="B3448" s="113">
        <v>38940</v>
      </c>
      <c r="C3448">
        <v>58.09</v>
      </c>
      <c r="D3448">
        <f t="shared" si="109"/>
        <v>0.52267365661861087</v>
      </c>
      <c r="E3448">
        <v>-5.9890485968513742E-3</v>
      </c>
      <c r="G3448">
        <v>3446</v>
      </c>
      <c r="H3448">
        <f t="shared" ca="1" si="110"/>
        <v>-1.6076568697554545E-2</v>
      </c>
    </row>
    <row r="3449" spans="2:8" x14ac:dyDescent="0.3">
      <c r="B3449" s="113">
        <v>38575</v>
      </c>
      <c r="C3449">
        <v>38.15</v>
      </c>
      <c r="D3449">
        <f t="shared" si="109"/>
        <v>-0.81653361546599978</v>
      </c>
      <c r="E3449">
        <v>-5.9927045336113588E-3</v>
      </c>
      <c r="G3449">
        <v>3447</v>
      </c>
      <c r="H3449">
        <f t="shared" ca="1" si="110"/>
        <v>-8.7830503847815416E-4</v>
      </c>
    </row>
    <row r="3450" spans="2:8" x14ac:dyDescent="0.3">
      <c r="B3450" s="113">
        <v>41627</v>
      </c>
      <c r="C3450">
        <v>207.94</v>
      </c>
      <c r="D3450">
        <f t="shared" si="109"/>
        <v>13.002693602693602</v>
      </c>
      <c r="E3450">
        <v>-6.0229445506691731E-3</v>
      </c>
      <c r="G3450">
        <v>3448</v>
      </c>
      <c r="H3450">
        <f t="shared" ca="1" si="110"/>
        <v>2.2851528885273923E-2</v>
      </c>
    </row>
    <row r="3451" spans="2:8" x14ac:dyDescent="0.3">
      <c r="B3451" s="113">
        <v>37627</v>
      </c>
      <c r="C3451">
        <v>14.85</v>
      </c>
      <c r="D3451">
        <f t="shared" si="109"/>
        <v>-0.93328840970350402</v>
      </c>
      <c r="E3451">
        <v>-6.0240963855421594E-3</v>
      </c>
      <c r="G3451">
        <v>3449</v>
      </c>
      <c r="H3451">
        <f t="shared" ca="1" si="110"/>
        <v>-6.091786840655449E-3</v>
      </c>
    </row>
    <row r="3452" spans="2:8" x14ac:dyDescent="0.3">
      <c r="B3452" s="113">
        <v>44575</v>
      </c>
      <c r="C3452">
        <v>222.6</v>
      </c>
      <c r="D3452">
        <f t="shared" si="109"/>
        <v>2.9285875197116724E-3</v>
      </c>
      <c r="E3452">
        <v>-6.0281312793033911E-3</v>
      </c>
      <c r="G3452">
        <v>3450</v>
      </c>
      <c r="H3452">
        <f t="shared" ca="1" si="110"/>
        <v>-1.0091386517703173E-2</v>
      </c>
    </row>
    <row r="3453" spans="2:8" x14ac:dyDescent="0.3">
      <c r="B3453" s="113">
        <v>44572</v>
      </c>
      <c r="C3453">
        <v>221.95</v>
      </c>
      <c r="D3453">
        <f t="shared" si="109"/>
        <v>-0.20204925399964047</v>
      </c>
      <c r="E3453">
        <v>-6.0456784594716644E-3</v>
      </c>
      <c r="G3453">
        <v>3451</v>
      </c>
      <c r="H3453">
        <f t="shared" ca="1" si="110"/>
        <v>8.1544502255080399E-3</v>
      </c>
    </row>
    <row r="3454" spans="2:8" x14ac:dyDescent="0.3">
      <c r="B3454" s="113">
        <v>43452</v>
      </c>
      <c r="C3454">
        <v>278.14999999999998</v>
      </c>
      <c r="D3454">
        <f t="shared" si="109"/>
        <v>3.8576667830946558</v>
      </c>
      <c r="E3454">
        <v>-6.0746828658211375E-3</v>
      </c>
      <c r="G3454">
        <v>3452</v>
      </c>
      <c r="H3454">
        <f t="shared" ca="1" si="110"/>
        <v>-2.5809449481631608E-3</v>
      </c>
    </row>
    <row r="3455" spans="2:8" x14ac:dyDescent="0.3">
      <c r="B3455" s="113">
        <v>39329</v>
      </c>
      <c r="C3455">
        <v>57.26</v>
      </c>
      <c r="D3455">
        <f t="shared" si="109"/>
        <v>-0.38588588588588585</v>
      </c>
      <c r="E3455">
        <v>-6.0753341433779102E-3</v>
      </c>
      <c r="G3455">
        <v>3453</v>
      </c>
      <c r="H3455">
        <f t="shared" ca="1" si="110"/>
        <v>-3.628342181357385E-3</v>
      </c>
    </row>
    <row r="3456" spans="2:8" x14ac:dyDescent="0.3">
      <c r="B3456" s="113">
        <v>40331</v>
      </c>
      <c r="C3456">
        <v>93.24</v>
      </c>
      <c r="D3456">
        <f t="shared" si="109"/>
        <v>0.50144927536231876</v>
      </c>
      <c r="E3456">
        <v>-6.0761112887752627E-3</v>
      </c>
      <c r="G3456">
        <v>3454</v>
      </c>
      <c r="H3456">
        <f t="shared" ca="1" si="110"/>
        <v>4.8058310841360809E-3</v>
      </c>
    </row>
    <row r="3457" spans="2:8" x14ac:dyDescent="0.3">
      <c r="B3457" s="113">
        <v>39024</v>
      </c>
      <c r="C3457">
        <v>62.1</v>
      </c>
      <c r="D3457">
        <f t="shared" si="109"/>
        <v>-0.28290993071593529</v>
      </c>
      <c r="E3457">
        <v>-6.0819462227912208E-3</v>
      </c>
      <c r="G3457">
        <v>3455</v>
      </c>
      <c r="H3457">
        <f t="shared" ca="1" si="110"/>
        <v>1.431692009290934E-2</v>
      </c>
    </row>
    <row r="3458" spans="2:8" x14ac:dyDescent="0.3">
      <c r="B3458" s="113">
        <v>40255</v>
      </c>
      <c r="C3458">
        <v>86.6</v>
      </c>
      <c r="D3458">
        <f t="shared" si="109"/>
        <v>-0.66660250240615981</v>
      </c>
      <c r="E3458">
        <v>-6.0828646849535309E-3</v>
      </c>
      <c r="G3458">
        <v>3456</v>
      </c>
      <c r="H3458">
        <f t="shared" ca="1" si="110"/>
        <v>6.479866654385066E-3</v>
      </c>
    </row>
    <row r="3459" spans="2:8" x14ac:dyDescent="0.3">
      <c r="B3459" s="113">
        <v>44691</v>
      </c>
      <c r="C3459">
        <v>259.75</v>
      </c>
      <c r="D3459">
        <f t="shared" ref="D3459:D3522" si="111">(C3459-C3460)/C3460</f>
        <v>-9.1147655703289046E-2</v>
      </c>
      <c r="E3459">
        <v>-6.0840284686614187E-3</v>
      </c>
      <c r="G3459">
        <v>3457</v>
      </c>
      <c r="H3459">
        <f t="shared" ca="1" si="110"/>
        <v>8.5245960837850351E-3</v>
      </c>
    </row>
    <row r="3460" spans="2:8" x14ac:dyDescent="0.3">
      <c r="B3460" s="113">
        <v>43434</v>
      </c>
      <c r="C3460">
        <v>285.8</v>
      </c>
      <c r="D3460">
        <f t="shared" si="111"/>
        <v>0.59131403118040105</v>
      </c>
      <c r="E3460">
        <v>-6.0858981046774474E-3</v>
      </c>
      <c r="G3460">
        <v>3458</v>
      </c>
      <c r="H3460">
        <f t="shared" ref="H3460:H3523" ca="1" si="112">_xlfn.NORM.INV(RAND(),$L$4,$L$6)</f>
        <v>-2.3284262483169824E-2</v>
      </c>
    </row>
    <row r="3461" spans="2:8" x14ac:dyDescent="0.3">
      <c r="B3461" s="113">
        <v>43942</v>
      </c>
      <c r="C3461">
        <v>179.6</v>
      </c>
      <c r="D3461">
        <f t="shared" si="111"/>
        <v>1.560593099515255</v>
      </c>
      <c r="E3461">
        <v>-6.0874377421139703E-3</v>
      </c>
      <c r="G3461">
        <v>3459</v>
      </c>
      <c r="H3461">
        <f t="shared" ca="1" si="112"/>
        <v>-6.833519349944658E-3</v>
      </c>
    </row>
    <row r="3462" spans="2:8" x14ac:dyDescent="0.3">
      <c r="B3462" s="113">
        <v>39566</v>
      </c>
      <c r="C3462">
        <v>70.14</v>
      </c>
      <c r="D3462">
        <f t="shared" si="111"/>
        <v>-0.72183224271267099</v>
      </c>
      <c r="E3462">
        <v>-6.0932407538613099E-3</v>
      </c>
      <c r="G3462">
        <v>3460</v>
      </c>
      <c r="H3462">
        <f t="shared" ca="1" si="112"/>
        <v>-2.8603311537140633E-2</v>
      </c>
    </row>
    <row r="3463" spans="2:8" x14ac:dyDescent="0.3">
      <c r="B3463" s="113">
        <v>42600</v>
      </c>
      <c r="C3463">
        <v>252.15</v>
      </c>
      <c r="D3463">
        <f t="shared" si="111"/>
        <v>-0.13868488471391971</v>
      </c>
      <c r="E3463">
        <v>-6.1095782420180645E-3</v>
      </c>
      <c r="G3463">
        <v>3461</v>
      </c>
      <c r="H3463">
        <f t="shared" ca="1" si="112"/>
        <v>-7.7502620841456201E-3</v>
      </c>
    </row>
    <row r="3464" spans="2:8" x14ac:dyDescent="0.3">
      <c r="B3464" s="113">
        <v>43563</v>
      </c>
      <c r="C3464">
        <v>292.75</v>
      </c>
      <c r="D3464">
        <f t="shared" si="111"/>
        <v>8.0299198025909924</v>
      </c>
      <c r="E3464">
        <v>-6.1110168052962528E-3</v>
      </c>
      <c r="G3464">
        <v>3462</v>
      </c>
      <c r="H3464">
        <f t="shared" ca="1" si="112"/>
        <v>-3.7944941920681099E-3</v>
      </c>
    </row>
    <row r="3465" spans="2:8" x14ac:dyDescent="0.3">
      <c r="B3465" s="113">
        <v>38484</v>
      </c>
      <c r="C3465">
        <v>32.42</v>
      </c>
      <c r="D3465">
        <f t="shared" si="111"/>
        <v>-0.83186391453168751</v>
      </c>
      <c r="E3465">
        <v>-6.1312078479459154E-3</v>
      </c>
      <c r="G3465">
        <v>3463</v>
      </c>
      <c r="H3465">
        <f t="shared" ca="1" si="112"/>
        <v>-3.332727732504074E-2</v>
      </c>
    </row>
    <row r="3466" spans="2:8" x14ac:dyDescent="0.3">
      <c r="B3466" s="113">
        <v>41331</v>
      </c>
      <c r="C3466">
        <v>192.82</v>
      </c>
      <c r="D3466">
        <f t="shared" si="111"/>
        <v>4.180548092423428</v>
      </c>
      <c r="E3466">
        <v>-6.1337044482243069E-3</v>
      </c>
      <c r="G3466">
        <v>3464</v>
      </c>
      <c r="H3466">
        <f t="shared" ca="1" si="112"/>
        <v>-1.2875066916985888E-2</v>
      </c>
    </row>
    <row r="3467" spans="2:8" x14ac:dyDescent="0.3">
      <c r="B3467" s="113">
        <v>38583</v>
      </c>
      <c r="C3467">
        <v>37.22</v>
      </c>
      <c r="D3467">
        <f t="shared" si="111"/>
        <v>-0.86462993271503907</v>
      </c>
      <c r="E3467">
        <v>-6.1415220293726024E-3</v>
      </c>
      <c r="G3467">
        <v>3465</v>
      </c>
      <c r="H3467">
        <f t="shared" ca="1" si="112"/>
        <v>-3.8449348994316339E-2</v>
      </c>
    </row>
    <row r="3468" spans="2:8" x14ac:dyDescent="0.3">
      <c r="B3468" s="113">
        <v>42867</v>
      </c>
      <c r="C3468">
        <v>274.95</v>
      </c>
      <c r="D3468">
        <f t="shared" si="111"/>
        <v>2.1512893982808023</v>
      </c>
      <c r="E3468">
        <v>-6.1449484908729039E-3</v>
      </c>
      <c r="G3468">
        <v>3466</v>
      </c>
      <c r="H3468">
        <f t="shared" ca="1" si="112"/>
        <v>1.5043383688992752E-2</v>
      </c>
    </row>
    <row r="3469" spans="2:8" x14ac:dyDescent="0.3">
      <c r="B3469" s="113">
        <v>40288</v>
      </c>
      <c r="C3469">
        <v>87.25</v>
      </c>
      <c r="D3469">
        <f t="shared" si="111"/>
        <v>-0.67254644398573837</v>
      </c>
      <c r="E3469">
        <v>-6.1510422599385601E-3</v>
      </c>
      <c r="G3469">
        <v>3467</v>
      </c>
      <c r="H3469">
        <f t="shared" ca="1" si="112"/>
        <v>5.5812803361968309E-3</v>
      </c>
    </row>
    <row r="3470" spans="2:8" x14ac:dyDescent="0.3">
      <c r="B3470" s="113">
        <v>43147</v>
      </c>
      <c r="C3470">
        <v>266.45</v>
      </c>
      <c r="D3470">
        <f t="shared" si="111"/>
        <v>1.3573387596213393</v>
      </c>
      <c r="E3470">
        <v>-6.154419992540224E-3</v>
      </c>
      <c r="G3470">
        <v>3468</v>
      </c>
      <c r="H3470">
        <f t="shared" ca="1" si="112"/>
        <v>4.6038665521759307E-3</v>
      </c>
    </row>
    <row r="3471" spans="2:8" x14ac:dyDescent="0.3">
      <c r="B3471" s="113">
        <v>40470</v>
      </c>
      <c r="C3471">
        <v>113.03</v>
      </c>
      <c r="D3471">
        <f t="shared" si="111"/>
        <v>3.3759194734804496</v>
      </c>
      <c r="E3471">
        <v>-6.154928339048649E-3</v>
      </c>
      <c r="G3471">
        <v>3469</v>
      </c>
      <c r="H3471">
        <f t="shared" ca="1" si="112"/>
        <v>2.4143640341831572E-3</v>
      </c>
    </row>
    <row r="3472" spans="2:8" x14ac:dyDescent="0.3">
      <c r="B3472" s="113">
        <v>38055</v>
      </c>
      <c r="C3472">
        <v>25.83</v>
      </c>
      <c r="D3472">
        <f t="shared" si="111"/>
        <v>-0.80706602927995219</v>
      </c>
      <c r="E3472">
        <v>-6.1562139284340187E-3</v>
      </c>
      <c r="G3472">
        <v>3470</v>
      </c>
      <c r="H3472">
        <f t="shared" ca="1" si="112"/>
        <v>-7.2416973908059051E-3</v>
      </c>
    </row>
    <row r="3473" spans="2:8" x14ac:dyDescent="0.3">
      <c r="B3473" s="113">
        <v>40779</v>
      </c>
      <c r="C3473">
        <v>133.88</v>
      </c>
      <c r="D3473">
        <f t="shared" si="111"/>
        <v>3.6117809162934891</v>
      </c>
      <c r="E3473">
        <v>-6.1613837131616993E-3</v>
      </c>
      <c r="G3473">
        <v>3471</v>
      </c>
      <c r="H3473">
        <f t="shared" ca="1" si="112"/>
        <v>2.0279711794995302E-3</v>
      </c>
    </row>
    <row r="3474" spans="2:8" x14ac:dyDescent="0.3">
      <c r="B3474" s="113">
        <v>38439</v>
      </c>
      <c r="C3474">
        <v>29.03</v>
      </c>
      <c r="D3474">
        <f t="shared" si="111"/>
        <v>-0.78295327102803736</v>
      </c>
      <c r="E3474">
        <v>-6.162273194111596E-3</v>
      </c>
      <c r="G3474">
        <v>3472</v>
      </c>
      <c r="H3474">
        <f t="shared" ca="1" si="112"/>
        <v>8.9706142127556916E-3</v>
      </c>
    </row>
    <row r="3475" spans="2:8" x14ac:dyDescent="0.3">
      <c r="B3475" s="113">
        <v>40739</v>
      </c>
      <c r="C3475">
        <v>133.75</v>
      </c>
      <c r="D3475">
        <f t="shared" si="111"/>
        <v>0.56726037028357157</v>
      </c>
      <c r="E3475">
        <v>-6.1673354138803123E-3</v>
      </c>
      <c r="G3475">
        <v>3473</v>
      </c>
      <c r="H3475">
        <f t="shared" ca="1" si="112"/>
        <v>-9.5546035877677894E-3</v>
      </c>
    </row>
    <row r="3476" spans="2:8" x14ac:dyDescent="0.3">
      <c r="B3476" s="113">
        <v>40127</v>
      </c>
      <c r="C3476">
        <v>85.34</v>
      </c>
      <c r="D3476">
        <f t="shared" si="111"/>
        <v>-0.59225991399904443</v>
      </c>
      <c r="E3476">
        <v>-6.1721206474904056E-3</v>
      </c>
      <c r="G3476">
        <v>3474</v>
      </c>
      <c r="H3476">
        <f t="shared" ca="1" si="112"/>
        <v>-6.8750697018476557E-3</v>
      </c>
    </row>
    <row r="3477" spans="2:8" x14ac:dyDescent="0.3">
      <c r="B3477" s="113">
        <v>44445</v>
      </c>
      <c r="C3477">
        <v>209.3</v>
      </c>
      <c r="D3477">
        <f t="shared" si="111"/>
        <v>2.9460784313725492</v>
      </c>
      <c r="E3477">
        <v>-6.1728395061727585E-3</v>
      </c>
      <c r="G3477">
        <v>3475</v>
      </c>
      <c r="H3477">
        <f t="shared" ca="1" si="112"/>
        <v>3.0500802654340907E-3</v>
      </c>
    </row>
    <row r="3478" spans="2:8" x14ac:dyDescent="0.3">
      <c r="B3478" s="113">
        <v>39210</v>
      </c>
      <c r="C3478">
        <v>53.04</v>
      </c>
      <c r="D3478">
        <f t="shared" si="111"/>
        <v>-0.74573346116970285</v>
      </c>
      <c r="E3478">
        <v>-6.1832490163012616E-3</v>
      </c>
      <c r="G3478">
        <v>3476</v>
      </c>
      <c r="H3478">
        <f t="shared" ca="1" si="112"/>
        <v>1.3241474505728519E-2</v>
      </c>
    </row>
    <row r="3479" spans="2:8" x14ac:dyDescent="0.3">
      <c r="B3479" s="113">
        <v>44412</v>
      </c>
      <c r="C3479">
        <v>208.6</v>
      </c>
      <c r="D3479">
        <f t="shared" si="111"/>
        <v>-3.0894308943089456E-2</v>
      </c>
      <c r="E3479">
        <v>-6.1934254406860951E-3</v>
      </c>
      <c r="G3479">
        <v>3477</v>
      </c>
      <c r="H3479">
        <f t="shared" ca="1" si="112"/>
        <v>-1.3382874875658436E-2</v>
      </c>
    </row>
    <row r="3480" spans="2:8" x14ac:dyDescent="0.3">
      <c r="B3480" s="113">
        <v>44348</v>
      </c>
      <c r="C3480">
        <v>215.25</v>
      </c>
      <c r="D3480">
        <f t="shared" si="111"/>
        <v>-0.22807961269499738</v>
      </c>
      <c r="E3480">
        <v>-6.2326869806093926E-3</v>
      </c>
      <c r="G3480">
        <v>3478</v>
      </c>
      <c r="H3480">
        <f t="shared" ca="1" si="112"/>
        <v>3.1544527715752701E-3</v>
      </c>
    </row>
    <row r="3481" spans="2:8" x14ac:dyDescent="0.3">
      <c r="B3481" s="113">
        <v>43468</v>
      </c>
      <c r="C3481">
        <v>278.85000000000002</v>
      </c>
      <c r="D3481">
        <f t="shared" si="111"/>
        <v>13.622443628736237</v>
      </c>
      <c r="E3481">
        <v>-6.23663578047042E-3</v>
      </c>
      <c r="G3481">
        <v>3479</v>
      </c>
      <c r="H3481">
        <f t="shared" ca="1" si="112"/>
        <v>6.8028270283380515E-3</v>
      </c>
    </row>
    <row r="3482" spans="2:8" x14ac:dyDescent="0.3">
      <c r="B3482" s="113">
        <v>37923</v>
      </c>
      <c r="C3482">
        <v>19.07</v>
      </c>
      <c r="D3482">
        <f t="shared" si="111"/>
        <v>-0.90765133171912837</v>
      </c>
      <c r="E3482">
        <v>-6.2532569046378833E-3</v>
      </c>
      <c r="G3482">
        <v>3480</v>
      </c>
      <c r="H3482">
        <f t="shared" ca="1" si="112"/>
        <v>2.8859501113561842E-3</v>
      </c>
    </row>
    <row r="3483" spans="2:8" x14ac:dyDescent="0.3">
      <c r="B3483" s="113">
        <v>44265</v>
      </c>
      <c r="C3483">
        <v>206.5</v>
      </c>
      <c r="D3483">
        <f t="shared" si="111"/>
        <v>-0.23504352657899608</v>
      </c>
      <c r="E3483">
        <v>-6.2560153994225759E-3</v>
      </c>
      <c r="G3483">
        <v>3481</v>
      </c>
      <c r="H3483">
        <f t="shared" ca="1" si="112"/>
        <v>1.6553566884708989E-2</v>
      </c>
    </row>
    <row r="3484" spans="2:8" x14ac:dyDescent="0.3">
      <c r="B3484" s="113">
        <v>43252</v>
      </c>
      <c r="C3484">
        <v>269.95</v>
      </c>
      <c r="D3484">
        <f t="shared" si="111"/>
        <v>0.21588145212143039</v>
      </c>
      <c r="E3484">
        <v>-6.2580526412662936E-3</v>
      </c>
      <c r="G3484">
        <v>3482</v>
      </c>
      <c r="H3484">
        <f t="shared" ca="1" si="112"/>
        <v>5.6744431021410061E-3</v>
      </c>
    </row>
    <row r="3485" spans="2:8" x14ac:dyDescent="0.3">
      <c r="B3485" s="113">
        <v>41411</v>
      </c>
      <c r="C3485">
        <v>222.02</v>
      </c>
      <c r="D3485">
        <f t="shared" si="111"/>
        <v>1.8025751072961376</v>
      </c>
      <c r="E3485">
        <v>-6.2662250469965866E-3</v>
      </c>
      <c r="G3485">
        <v>3483</v>
      </c>
      <c r="H3485">
        <f t="shared" ca="1" si="112"/>
        <v>2.1380215184476404E-2</v>
      </c>
    </row>
    <row r="3486" spans="2:8" x14ac:dyDescent="0.3">
      <c r="B3486" s="113">
        <v>40051</v>
      </c>
      <c r="C3486">
        <v>79.22</v>
      </c>
      <c r="D3486">
        <f t="shared" si="111"/>
        <v>-0.37484217171717171</v>
      </c>
      <c r="E3486">
        <v>-6.2719518314099353E-3</v>
      </c>
      <c r="G3486">
        <v>3484</v>
      </c>
      <c r="H3486">
        <f t="shared" ca="1" si="112"/>
        <v>3.2646409357126246E-2</v>
      </c>
    </row>
    <row r="3487" spans="2:8" x14ac:dyDescent="0.3">
      <c r="B3487" s="113">
        <v>40665</v>
      </c>
      <c r="C3487">
        <v>126.72</v>
      </c>
      <c r="D3487">
        <f t="shared" si="111"/>
        <v>1.2898445970365016</v>
      </c>
      <c r="E3487">
        <v>-6.2735257214554356E-3</v>
      </c>
      <c r="G3487">
        <v>3485</v>
      </c>
      <c r="H3487">
        <f t="shared" ca="1" si="112"/>
        <v>1.8026302819820261E-2</v>
      </c>
    </row>
    <row r="3488" spans="2:8" x14ac:dyDescent="0.3">
      <c r="B3488" s="113">
        <v>38925</v>
      </c>
      <c r="C3488">
        <v>55.34</v>
      </c>
      <c r="D3488">
        <f t="shared" si="111"/>
        <v>-0.18581727232602613</v>
      </c>
      <c r="E3488">
        <v>-6.2847908062487762E-3</v>
      </c>
      <c r="G3488">
        <v>3486</v>
      </c>
      <c r="H3488">
        <f t="shared" ca="1" si="112"/>
        <v>-2.4463740635036361E-2</v>
      </c>
    </row>
    <row r="3489" spans="2:8" x14ac:dyDescent="0.3">
      <c r="B3489" s="113">
        <v>38847</v>
      </c>
      <c r="C3489">
        <v>67.97</v>
      </c>
      <c r="D3489">
        <f t="shared" si="111"/>
        <v>-0.66876218323586745</v>
      </c>
      <c r="E3489">
        <v>-6.2865497076024382E-3</v>
      </c>
      <c r="G3489">
        <v>3487</v>
      </c>
      <c r="H3489">
        <f t="shared" ca="1" si="112"/>
        <v>-2.6195152362276101E-2</v>
      </c>
    </row>
    <row r="3490" spans="2:8" x14ac:dyDescent="0.3">
      <c r="B3490" s="113">
        <v>44267</v>
      </c>
      <c r="C3490">
        <v>205.2</v>
      </c>
      <c r="D3490">
        <f t="shared" si="111"/>
        <v>-0.29581331503088537</v>
      </c>
      <c r="E3490">
        <v>-6.2953995157385536E-3</v>
      </c>
      <c r="G3490">
        <v>3488</v>
      </c>
      <c r="H3490">
        <f t="shared" ca="1" si="112"/>
        <v>-9.4472124597752983E-4</v>
      </c>
    </row>
    <row r="3491" spans="2:8" x14ac:dyDescent="0.3">
      <c r="B3491" s="113">
        <v>42941</v>
      </c>
      <c r="C3491">
        <v>291.39999999999998</v>
      </c>
      <c r="D3491">
        <f t="shared" si="111"/>
        <v>0.74626955114759974</v>
      </c>
      <c r="E3491">
        <v>-6.3086104006820892E-3</v>
      </c>
      <c r="G3491">
        <v>3489</v>
      </c>
      <c r="H3491">
        <f t="shared" ca="1" si="112"/>
        <v>5.459341594810937E-3</v>
      </c>
    </row>
    <row r="3492" spans="2:8" x14ac:dyDescent="0.3">
      <c r="B3492" s="113">
        <v>41102</v>
      </c>
      <c r="C3492">
        <v>166.87</v>
      </c>
      <c r="D3492">
        <f t="shared" si="111"/>
        <v>1.9497967120381829</v>
      </c>
      <c r="E3492">
        <v>-6.3121538736378383E-3</v>
      </c>
      <c r="G3492">
        <v>3490</v>
      </c>
      <c r="H3492">
        <f t="shared" ca="1" si="112"/>
        <v>-2.2253599985584183E-3</v>
      </c>
    </row>
    <row r="3493" spans="2:8" x14ac:dyDescent="0.3">
      <c r="B3493" s="113">
        <v>39832</v>
      </c>
      <c r="C3493">
        <v>56.57</v>
      </c>
      <c r="D3493">
        <f t="shared" si="111"/>
        <v>-0.68685303072239146</v>
      </c>
      <c r="E3493">
        <v>-6.3235552432812127E-3</v>
      </c>
      <c r="G3493">
        <v>3491</v>
      </c>
      <c r="H3493">
        <f t="shared" ca="1" si="112"/>
        <v>-2.4401112448643372E-2</v>
      </c>
    </row>
    <row r="3494" spans="2:8" x14ac:dyDescent="0.3">
      <c r="B3494" s="113">
        <v>44090</v>
      </c>
      <c r="C3494">
        <v>180.65</v>
      </c>
      <c r="D3494">
        <f t="shared" si="111"/>
        <v>1.6747112822031387</v>
      </c>
      <c r="E3494">
        <v>-6.3256325632563568E-3</v>
      </c>
      <c r="G3494">
        <v>3492</v>
      </c>
      <c r="H3494">
        <f t="shared" ca="1" si="112"/>
        <v>2.1715588408457956E-2</v>
      </c>
    </row>
    <row r="3495" spans="2:8" x14ac:dyDescent="0.3">
      <c r="B3495" s="113">
        <v>38848</v>
      </c>
      <c r="C3495">
        <v>67.540000000000006</v>
      </c>
      <c r="D3495">
        <f t="shared" si="111"/>
        <v>-0.70318611294221045</v>
      </c>
      <c r="E3495">
        <v>-6.3263204354861357E-3</v>
      </c>
      <c r="G3495">
        <v>3493</v>
      </c>
      <c r="H3495">
        <f t="shared" ca="1" si="112"/>
        <v>-1.3613775320208614E-4</v>
      </c>
    </row>
    <row r="3496" spans="2:8" x14ac:dyDescent="0.3">
      <c r="B3496" s="113">
        <v>44237</v>
      </c>
      <c r="C3496">
        <v>227.55</v>
      </c>
      <c r="D3496">
        <f t="shared" si="111"/>
        <v>1.1987631655232391</v>
      </c>
      <c r="E3496">
        <v>-6.3318777292575923E-3</v>
      </c>
      <c r="G3496">
        <v>3494</v>
      </c>
      <c r="H3496">
        <f t="shared" ca="1" si="112"/>
        <v>-6.2630877270509018E-3</v>
      </c>
    </row>
    <row r="3497" spans="2:8" x14ac:dyDescent="0.3">
      <c r="B3497" s="113">
        <v>40582</v>
      </c>
      <c r="C3497">
        <v>103.49</v>
      </c>
      <c r="D3497">
        <f t="shared" si="111"/>
        <v>-0.63255813953488371</v>
      </c>
      <c r="E3497">
        <v>-6.3370139222276595E-3</v>
      </c>
      <c r="G3497">
        <v>3495</v>
      </c>
      <c r="H3497">
        <f t="shared" ca="1" si="112"/>
        <v>-4.2592437678119054E-3</v>
      </c>
    </row>
    <row r="3498" spans="2:8" x14ac:dyDescent="0.3">
      <c r="B3498" s="113">
        <v>42872</v>
      </c>
      <c r="C3498">
        <v>281.64999999999998</v>
      </c>
      <c r="D3498">
        <f t="shared" si="111"/>
        <v>0.20055413469735714</v>
      </c>
      <c r="E3498">
        <v>-6.3503263362145405E-3</v>
      </c>
      <c r="G3498">
        <v>3496</v>
      </c>
      <c r="H3498">
        <f t="shared" ca="1" si="112"/>
        <v>1.827190200776966E-2</v>
      </c>
    </row>
    <row r="3499" spans="2:8" x14ac:dyDescent="0.3">
      <c r="B3499" s="113">
        <v>44543</v>
      </c>
      <c r="C3499">
        <v>234.6</v>
      </c>
      <c r="D3499">
        <f t="shared" si="111"/>
        <v>1.6433802816901408</v>
      </c>
      <c r="E3499">
        <v>-6.3532401524777635E-3</v>
      </c>
      <c r="G3499">
        <v>3497</v>
      </c>
      <c r="H3499">
        <f t="shared" ca="1" si="112"/>
        <v>2.1025573190293339E-3</v>
      </c>
    </row>
    <row r="3500" spans="2:8" x14ac:dyDescent="0.3">
      <c r="B3500" s="113">
        <v>40276</v>
      </c>
      <c r="C3500">
        <v>88.75</v>
      </c>
      <c r="D3500">
        <f t="shared" si="111"/>
        <v>-0.69935636856368566</v>
      </c>
      <c r="E3500">
        <v>-6.3815494849976846E-3</v>
      </c>
      <c r="G3500">
        <v>3498</v>
      </c>
      <c r="H3500">
        <f t="shared" ca="1" si="112"/>
        <v>4.4587930720440842E-3</v>
      </c>
    </row>
    <row r="3501" spans="2:8" x14ac:dyDescent="0.3">
      <c r="B3501" s="113">
        <v>43376</v>
      </c>
      <c r="C3501">
        <v>295.2</v>
      </c>
      <c r="D3501">
        <f t="shared" si="111"/>
        <v>4.2789699570815447</v>
      </c>
      <c r="E3501">
        <v>-6.3951531470886371E-3</v>
      </c>
      <c r="G3501">
        <v>3499</v>
      </c>
      <c r="H3501">
        <f t="shared" ca="1" si="112"/>
        <v>4.1949932390153585E-2</v>
      </c>
    </row>
    <row r="3502" spans="2:8" x14ac:dyDescent="0.3">
      <c r="B3502" s="113">
        <v>39758</v>
      </c>
      <c r="C3502">
        <v>55.92</v>
      </c>
      <c r="D3502">
        <f t="shared" si="111"/>
        <v>-0.63619803526120622</v>
      </c>
      <c r="E3502">
        <v>-6.3965884861407144E-3</v>
      </c>
      <c r="G3502">
        <v>3500</v>
      </c>
      <c r="H3502">
        <f t="shared" ca="1" si="112"/>
        <v>-1.5089615558357894E-2</v>
      </c>
    </row>
    <row r="3503" spans="2:8" x14ac:dyDescent="0.3">
      <c r="B3503" s="113">
        <v>41054</v>
      </c>
      <c r="C3503">
        <v>153.71</v>
      </c>
      <c r="D3503">
        <f t="shared" si="111"/>
        <v>-0.18762221869880027</v>
      </c>
      <c r="E3503">
        <v>-6.3994828700709811E-3</v>
      </c>
      <c r="G3503">
        <v>3501</v>
      </c>
      <c r="H3503">
        <f t="shared" ca="1" si="112"/>
        <v>1.6502368557183098E-2</v>
      </c>
    </row>
    <row r="3504" spans="2:8" x14ac:dyDescent="0.3">
      <c r="B3504" s="113">
        <v>41276</v>
      </c>
      <c r="C3504">
        <v>189.21</v>
      </c>
      <c r="D3504">
        <f t="shared" si="111"/>
        <v>-6.099255583126547E-2</v>
      </c>
      <c r="E3504">
        <v>-6.4065535892453857E-3</v>
      </c>
      <c r="G3504">
        <v>3502</v>
      </c>
      <c r="H3504">
        <f t="shared" ca="1" si="112"/>
        <v>-9.5059506444188601E-4</v>
      </c>
    </row>
    <row r="3505" spans="2:8" x14ac:dyDescent="0.3">
      <c r="B3505" s="113">
        <v>44204</v>
      </c>
      <c r="C3505">
        <v>201.5</v>
      </c>
      <c r="D3505">
        <f t="shared" si="111"/>
        <v>-0.10304918762519477</v>
      </c>
      <c r="E3505">
        <v>-6.4102564102564655E-3</v>
      </c>
      <c r="G3505">
        <v>3503</v>
      </c>
      <c r="H3505">
        <f t="shared" ca="1" si="112"/>
        <v>-1.9447529836260414E-3</v>
      </c>
    </row>
    <row r="3506" spans="2:8" x14ac:dyDescent="0.3">
      <c r="B3506" s="113">
        <v>42697</v>
      </c>
      <c r="C3506">
        <v>224.65</v>
      </c>
      <c r="D3506">
        <f t="shared" si="111"/>
        <v>1.7366305274698501</v>
      </c>
      <c r="E3506">
        <v>-6.4130915524103875E-3</v>
      </c>
      <c r="G3506">
        <v>3504</v>
      </c>
      <c r="H3506">
        <f t="shared" ca="1" si="112"/>
        <v>-1.5305042888426127E-2</v>
      </c>
    </row>
    <row r="3507" spans="2:8" x14ac:dyDescent="0.3">
      <c r="B3507" s="113">
        <v>40233</v>
      </c>
      <c r="C3507">
        <v>82.09</v>
      </c>
      <c r="D3507">
        <f t="shared" si="111"/>
        <v>-0.69579395960718915</v>
      </c>
      <c r="E3507">
        <v>-6.4149116436698272E-3</v>
      </c>
      <c r="G3507">
        <v>3505</v>
      </c>
      <c r="H3507">
        <f t="shared" ca="1" si="112"/>
        <v>1.9212654764510064E-3</v>
      </c>
    </row>
    <row r="3508" spans="2:8" x14ac:dyDescent="0.3">
      <c r="B3508" s="113">
        <v>43298</v>
      </c>
      <c r="C3508">
        <v>269.85000000000002</v>
      </c>
      <c r="D3508">
        <f t="shared" si="111"/>
        <v>3.2812946216087582</v>
      </c>
      <c r="E3508">
        <v>-6.4432989690721646E-3</v>
      </c>
      <c r="G3508">
        <v>3506</v>
      </c>
      <c r="H3508">
        <f t="shared" ca="1" si="112"/>
        <v>1.7303585619511178E-2</v>
      </c>
    </row>
    <row r="3509" spans="2:8" x14ac:dyDescent="0.3">
      <c r="B3509" s="113">
        <v>39706</v>
      </c>
      <c r="C3509">
        <v>63.03</v>
      </c>
      <c r="D3509">
        <f t="shared" si="111"/>
        <v>-0.69803094907296503</v>
      </c>
      <c r="E3509">
        <v>-6.4627994955863272E-3</v>
      </c>
      <c r="G3509">
        <v>3507</v>
      </c>
      <c r="H3509">
        <f t="shared" ca="1" si="112"/>
        <v>-1.8082639307256645E-2</v>
      </c>
    </row>
    <row r="3510" spans="2:8" x14ac:dyDescent="0.3">
      <c r="B3510" s="113">
        <v>42234</v>
      </c>
      <c r="C3510">
        <v>208.73</v>
      </c>
      <c r="D3510">
        <f t="shared" si="111"/>
        <v>4.4427640156453716</v>
      </c>
      <c r="E3510">
        <v>-6.4734161549812631E-3</v>
      </c>
      <c r="G3510">
        <v>3508</v>
      </c>
      <c r="H3510">
        <f t="shared" ca="1" si="112"/>
        <v>2.227624678679244E-2</v>
      </c>
    </row>
    <row r="3511" spans="2:8" x14ac:dyDescent="0.3">
      <c r="B3511" s="113">
        <v>38652</v>
      </c>
      <c r="C3511">
        <v>38.35</v>
      </c>
      <c r="D3511">
        <f t="shared" si="111"/>
        <v>-0.84274408496330011</v>
      </c>
      <c r="E3511">
        <v>-6.4766839378238338E-3</v>
      </c>
      <c r="G3511">
        <v>3509</v>
      </c>
      <c r="H3511">
        <f t="shared" ca="1" si="112"/>
        <v>1.2286459061139874E-2</v>
      </c>
    </row>
    <row r="3512" spans="2:8" x14ac:dyDescent="0.3">
      <c r="B3512" s="113">
        <v>41962</v>
      </c>
      <c r="C3512">
        <v>243.87</v>
      </c>
      <c r="D3512">
        <f t="shared" si="111"/>
        <v>8.9376528117359424</v>
      </c>
      <c r="E3512">
        <v>-6.4776338303593394E-3</v>
      </c>
      <c r="G3512">
        <v>3510</v>
      </c>
      <c r="H3512">
        <f t="shared" ca="1" si="112"/>
        <v>-1.0674791422499694E-2</v>
      </c>
    </row>
    <row r="3513" spans="2:8" x14ac:dyDescent="0.3">
      <c r="B3513" s="113">
        <v>38271</v>
      </c>
      <c r="C3513">
        <v>24.54</v>
      </c>
      <c r="D3513">
        <f t="shared" si="111"/>
        <v>-0.70882771713336501</v>
      </c>
      <c r="E3513">
        <v>-6.477732793522273E-3</v>
      </c>
      <c r="G3513">
        <v>3511</v>
      </c>
      <c r="H3513">
        <f t="shared" ca="1" si="112"/>
        <v>-2.6232573880805778E-2</v>
      </c>
    </row>
    <row r="3514" spans="2:8" x14ac:dyDescent="0.3">
      <c r="B3514" s="113">
        <v>40206</v>
      </c>
      <c r="C3514">
        <v>84.28</v>
      </c>
      <c r="D3514">
        <f t="shared" si="111"/>
        <v>-0.53712653778558883</v>
      </c>
      <c r="E3514">
        <v>-6.4835553459860569E-3</v>
      </c>
      <c r="G3514">
        <v>3512</v>
      </c>
      <c r="H3514">
        <f t="shared" ca="1" si="112"/>
        <v>-2.4029472664854806E-2</v>
      </c>
    </row>
    <row r="3515" spans="2:8" x14ac:dyDescent="0.3">
      <c r="B3515" s="113">
        <v>41229</v>
      </c>
      <c r="C3515">
        <v>182.08</v>
      </c>
      <c r="D3515">
        <f t="shared" si="111"/>
        <v>4.9503267973856211</v>
      </c>
      <c r="E3515">
        <v>-6.4931521798439334E-3</v>
      </c>
      <c r="G3515">
        <v>3513</v>
      </c>
      <c r="H3515">
        <f t="shared" ca="1" si="112"/>
        <v>1.453298769708038E-2</v>
      </c>
    </row>
    <row r="3516" spans="2:8" x14ac:dyDescent="0.3">
      <c r="B3516" s="113">
        <v>38467</v>
      </c>
      <c r="C3516">
        <v>30.6</v>
      </c>
      <c r="D3516">
        <f t="shared" si="111"/>
        <v>-0.88884852887758814</v>
      </c>
      <c r="E3516">
        <v>-6.4935064935064705E-3</v>
      </c>
      <c r="G3516">
        <v>3514</v>
      </c>
      <c r="H3516">
        <f t="shared" ca="1" si="112"/>
        <v>2.8559174039713257E-2</v>
      </c>
    </row>
    <row r="3517" spans="2:8" x14ac:dyDescent="0.3">
      <c r="B3517" s="113">
        <v>43508</v>
      </c>
      <c r="C3517">
        <v>275.3</v>
      </c>
      <c r="D3517">
        <f t="shared" si="111"/>
        <v>3.2868265337900966</v>
      </c>
      <c r="E3517">
        <v>-6.4958498736918486E-3</v>
      </c>
      <c r="G3517">
        <v>3515</v>
      </c>
      <c r="H3517">
        <f t="shared" ca="1" si="112"/>
        <v>2.7694856573153747E-2</v>
      </c>
    </row>
    <row r="3518" spans="2:8" x14ac:dyDescent="0.3">
      <c r="B3518" s="113">
        <v>39714</v>
      </c>
      <c r="C3518">
        <v>64.22</v>
      </c>
      <c r="D3518">
        <f t="shared" si="111"/>
        <v>-0.65836791147994467</v>
      </c>
      <c r="E3518">
        <v>-6.4975247524752741E-3</v>
      </c>
      <c r="G3518">
        <v>3516</v>
      </c>
      <c r="H3518">
        <f t="shared" ca="1" si="112"/>
        <v>-2.5321016104516827E-2</v>
      </c>
    </row>
    <row r="3519" spans="2:8" x14ac:dyDescent="0.3">
      <c r="B3519" s="113">
        <v>41277</v>
      </c>
      <c r="C3519">
        <v>187.98</v>
      </c>
      <c r="D3519">
        <f t="shared" si="111"/>
        <v>1.6762528473804101</v>
      </c>
      <c r="E3519">
        <v>-6.5007134929444431E-3</v>
      </c>
      <c r="G3519">
        <v>3517</v>
      </c>
      <c r="H3519">
        <f t="shared" ca="1" si="112"/>
        <v>-2.0500571933486051E-2</v>
      </c>
    </row>
    <row r="3520" spans="2:8" x14ac:dyDescent="0.3">
      <c r="B3520" s="113">
        <v>39561</v>
      </c>
      <c r="C3520">
        <v>70.239999999999995</v>
      </c>
      <c r="D3520">
        <f t="shared" si="111"/>
        <v>2.2868507253158628</v>
      </c>
      <c r="E3520">
        <v>-6.506364922206619E-3</v>
      </c>
      <c r="G3520">
        <v>3518</v>
      </c>
      <c r="H3520">
        <f t="shared" ca="1" si="112"/>
        <v>-2.3338230210374619E-2</v>
      </c>
    </row>
    <row r="3521" spans="2:8" x14ac:dyDescent="0.3">
      <c r="B3521" s="113">
        <v>37967</v>
      </c>
      <c r="C3521">
        <v>21.37</v>
      </c>
      <c r="D3521">
        <f t="shared" si="111"/>
        <v>-0.80813431495780208</v>
      </c>
      <c r="E3521">
        <v>-6.5086006508600913E-3</v>
      </c>
      <c r="G3521">
        <v>3519</v>
      </c>
      <c r="H3521">
        <f t="shared" ca="1" si="112"/>
        <v>2.8792830744137812E-2</v>
      </c>
    </row>
    <row r="3522" spans="2:8" x14ac:dyDescent="0.3">
      <c r="B3522" s="113">
        <v>40568</v>
      </c>
      <c r="C3522">
        <v>111.38</v>
      </c>
      <c r="D3522">
        <f t="shared" si="111"/>
        <v>6.324539212143012E-3</v>
      </c>
      <c r="E3522">
        <v>-6.5114619570065466E-3</v>
      </c>
      <c r="G3522">
        <v>3520</v>
      </c>
      <c r="H3522">
        <f t="shared" ca="1" si="112"/>
        <v>1.8237179779243464E-2</v>
      </c>
    </row>
    <row r="3523" spans="2:8" x14ac:dyDescent="0.3">
      <c r="B3523" s="113">
        <v>40532</v>
      </c>
      <c r="C3523">
        <v>110.68</v>
      </c>
      <c r="D3523">
        <f t="shared" ref="D3523:D3586" si="113">(C3523-C3524)/C3524</f>
        <v>0.97642857142857153</v>
      </c>
      <c r="E3523">
        <v>-6.5523741136342319E-3</v>
      </c>
      <c r="G3523">
        <v>3521</v>
      </c>
      <c r="H3523">
        <f t="shared" ca="1" si="112"/>
        <v>1.5818853766477334E-2</v>
      </c>
    </row>
    <row r="3524" spans="2:8" x14ac:dyDescent="0.3">
      <c r="B3524" s="113">
        <v>39735</v>
      </c>
      <c r="C3524">
        <v>56</v>
      </c>
      <c r="D3524">
        <f t="shared" si="113"/>
        <v>-9.5607235142118885E-2</v>
      </c>
      <c r="E3524">
        <v>-6.563775057654736E-3</v>
      </c>
      <c r="G3524">
        <v>3522</v>
      </c>
      <c r="H3524">
        <f t="shared" ref="H3524:H3587" ca="1" si="114">_xlfn.NORM.INV(RAND(),$L$4,$L$6)</f>
        <v>-1.5254595106438154E-2</v>
      </c>
    </row>
    <row r="3525" spans="2:8" x14ac:dyDescent="0.3">
      <c r="B3525" s="113">
        <v>39947</v>
      </c>
      <c r="C3525">
        <v>61.92</v>
      </c>
      <c r="D3525">
        <f t="shared" si="113"/>
        <v>-0.68311156601842382</v>
      </c>
      <c r="E3525">
        <v>-6.5778918658751257E-3</v>
      </c>
      <c r="G3525">
        <v>3523</v>
      </c>
      <c r="H3525">
        <f t="shared" ca="1" si="114"/>
        <v>3.292573839404684E-2</v>
      </c>
    </row>
    <row r="3526" spans="2:8" x14ac:dyDescent="0.3">
      <c r="B3526" s="113">
        <v>44068</v>
      </c>
      <c r="C3526">
        <v>195.4</v>
      </c>
      <c r="D3526">
        <f t="shared" si="113"/>
        <v>0.13078703703703701</v>
      </c>
      <c r="E3526">
        <v>-6.6090493136755617E-3</v>
      </c>
      <c r="G3526">
        <v>3524</v>
      </c>
      <c r="H3526">
        <f t="shared" ca="1" si="114"/>
        <v>1.3309866892480133E-2</v>
      </c>
    </row>
    <row r="3527" spans="2:8" x14ac:dyDescent="0.3">
      <c r="B3527" s="113">
        <v>44144</v>
      </c>
      <c r="C3527">
        <v>172.8</v>
      </c>
      <c r="D3527">
        <f t="shared" si="113"/>
        <v>-7.7662129703762919E-2</v>
      </c>
      <c r="E3527">
        <v>-6.6110951422821349E-3</v>
      </c>
      <c r="G3527">
        <v>3525</v>
      </c>
      <c r="H3527">
        <f t="shared" ca="1" si="114"/>
        <v>-3.9740330828518921E-3</v>
      </c>
    </row>
    <row r="3528" spans="2:8" x14ac:dyDescent="0.3">
      <c r="B3528" s="113">
        <v>44152</v>
      </c>
      <c r="C3528">
        <v>187.35</v>
      </c>
      <c r="D3528">
        <f t="shared" si="113"/>
        <v>11.523395721925132</v>
      </c>
      <c r="E3528">
        <v>-6.6277836691410394E-3</v>
      </c>
      <c r="G3528">
        <v>3526</v>
      </c>
      <c r="H3528">
        <f t="shared" ca="1" si="114"/>
        <v>6.6269179396072049E-3</v>
      </c>
    </row>
    <row r="3529" spans="2:8" x14ac:dyDescent="0.3">
      <c r="B3529" s="113">
        <v>37630</v>
      </c>
      <c r="C3529">
        <v>14.96</v>
      </c>
      <c r="D3529">
        <f t="shared" si="113"/>
        <v>-0.8875695175108973</v>
      </c>
      <c r="E3529">
        <v>-6.6401062416998431E-3</v>
      </c>
      <c r="G3529">
        <v>3527</v>
      </c>
      <c r="H3529">
        <f t="shared" ca="1" si="114"/>
        <v>5.6307827761605716E-4</v>
      </c>
    </row>
    <row r="3530" spans="2:8" x14ac:dyDescent="0.3">
      <c r="B3530" s="113">
        <v>40906</v>
      </c>
      <c r="C3530">
        <v>133.06</v>
      </c>
      <c r="D3530">
        <f t="shared" si="113"/>
        <v>-0.38611303344867359</v>
      </c>
      <c r="E3530">
        <v>-6.6442702500932168E-3</v>
      </c>
      <c r="G3530">
        <v>3528</v>
      </c>
      <c r="H3530">
        <f t="shared" ca="1" si="114"/>
        <v>-1.609162001325894E-2</v>
      </c>
    </row>
    <row r="3531" spans="2:8" x14ac:dyDescent="0.3">
      <c r="B3531" s="113">
        <v>44230</v>
      </c>
      <c r="C3531">
        <v>216.75</v>
      </c>
      <c r="D3531">
        <f t="shared" si="113"/>
        <v>4.7405044940562496E-2</v>
      </c>
      <c r="E3531">
        <v>-6.6452795600366122E-3</v>
      </c>
      <c r="G3531">
        <v>3529</v>
      </c>
      <c r="H3531">
        <f t="shared" ca="1" si="114"/>
        <v>2.6104424472246091E-2</v>
      </c>
    </row>
    <row r="3532" spans="2:8" x14ac:dyDescent="0.3">
      <c r="B3532" s="113">
        <v>42269</v>
      </c>
      <c r="C3532">
        <v>206.94</v>
      </c>
      <c r="D3532">
        <f t="shared" si="113"/>
        <v>1.5326153469587567</v>
      </c>
      <c r="E3532">
        <v>-6.6721067537081295E-3</v>
      </c>
      <c r="G3532">
        <v>3530</v>
      </c>
      <c r="H3532">
        <f t="shared" ca="1" si="114"/>
        <v>1.4382610708825953E-2</v>
      </c>
    </row>
    <row r="3533" spans="2:8" x14ac:dyDescent="0.3">
      <c r="B3533" s="113">
        <v>40029</v>
      </c>
      <c r="C3533">
        <v>81.709999999999994</v>
      </c>
      <c r="D3533">
        <f t="shared" si="113"/>
        <v>-0.60697450697450706</v>
      </c>
      <c r="E3533">
        <v>-6.6861171893996029E-3</v>
      </c>
      <c r="G3533">
        <v>3531</v>
      </c>
      <c r="H3533">
        <f t="shared" ca="1" si="114"/>
        <v>2.0551124417369903E-2</v>
      </c>
    </row>
    <row r="3534" spans="2:8" x14ac:dyDescent="0.3">
      <c r="B3534" s="113">
        <v>44358</v>
      </c>
      <c r="C3534">
        <v>207.9</v>
      </c>
      <c r="D3534">
        <f t="shared" si="113"/>
        <v>-0.28186528497409324</v>
      </c>
      <c r="E3534">
        <v>-6.6889632107023679E-3</v>
      </c>
      <c r="G3534">
        <v>3532</v>
      </c>
      <c r="H3534">
        <f t="shared" ca="1" si="114"/>
        <v>-3.9244443065594152E-2</v>
      </c>
    </row>
    <row r="3535" spans="2:8" x14ac:dyDescent="0.3">
      <c r="B3535" s="113">
        <v>42936</v>
      </c>
      <c r="C3535">
        <v>289.5</v>
      </c>
      <c r="D3535">
        <f t="shared" si="113"/>
        <v>1.5330300113745732</v>
      </c>
      <c r="E3535">
        <v>-6.6906845084919843E-3</v>
      </c>
      <c r="G3535">
        <v>3533</v>
      </c>
      <c r="H3535">
        <f t="shared" ca="1" si="114"/>
        <v>-1.3063659307170824E-2</v>
      </c>
    </row>
    <row r="3536" spans="2:8" x14ac:dyDescent="0.3">
      <c r="B3536" s="113">
        <v>40606</v>
      </c>
      <c r="C3536">
        <v>114.29</v>
      </c>
      <c r="D3536">
        <f t="shared" si="113"/>
        <v>-0.50602930371266797</v>
      </c>
      <c r="E3536">
        <v>-6.6921606118546502E-3</v>
      </c>
      <c r="G3536">
        <v>3534</v>
      </c>
      <c r="H3536">
        <f t="shared" ca="1" si="114"/>
        <v>3.0612518264476894E-3</v>
      </c>
    </row>
    <row r="3537" spans="2:8" x14ac:dyDescent="0.3">
      <c r="B3537" s="113">
        <v>41934</v>
      </c>
      <c r="C3537">
        <v>231.37</v>
      </c>
      <c r="D3537">
        <f t="shared" si="113"/>
        <v>9.9506792420186118E-4</v>
      </c>
      <c r="E3537">
        <v>-6.6972910316404162E-3</v>
      </c>
      <c r="G3537">
        <v>3535</v>
      </c>
      <c r="H3537">
        <f t="shared" ca="1" si="114"/>
        <v>8.026238468461705E-3</v>
      </c>
    </row>
    <row r="3538" spans="2:8" x14ac:dyDescent="0.3">
      <c r="B3538" s="113">
        <v>42297</v>
      </c>
      <c r="C3538">
        <v>231.14</v>
      </c>
      <c r="D3538">
        <f t="shared" si="113"/>
        <v>-0.1999307718933887</v>
      </c>
      <c r="E3538">
        <v>-6.7039106145251499E-3</v>
      </c>
      <c r="G3538">
        <v>3536</v>
      </c>
      <c r="H3538">
        <f t="shared" ca="1" si="114"/>
        <v>2.553436652675592E-3</v>
      </c>
    </row>
    <row r="3539" spans="2:8" x14ac:dyDescent="0.3">
      <c r="B3539" s="113">
        <v>43613</v>
      </c>
      <c r="C3539">
        <v>288.89999999999998</v>
      </c>
      <c r="D3539">
        <f t="shared" si="113"/>
        <v>0.28394293586951685</v>
      </c>
      <c r="E3539">
        <v>-6.7044868488913365E-3</v>
      </c>
      <c r="G3539">
        <v>3537</v>
      </c>
      <c r="H3539">
        <f t="shared" ca="1" si="114"/>
        <v>1.1572476473910921E-2</v>
      </c>
    </row>
    <row r="3540" spans="2:8" x14ac:dyDescent="0.3">
      <c r="B3540" s="113">
        <v>41487</v>
      </c>
      <c r="C3540">
        <v>225.01</v>
      </c>
      <c r="D3540">
        <f t="shared" si="113"/>
        <v>3.002312344361437</v>
      </c>
      <c r="E3540">
        <v>-6.7099280448506167E-3</v>
      </c>
      <c r="G3540">
        <v>3538</v>
      </c>
      <c r="H3540">
        <f t="shared" ca="1" si="114"/>
        <v>9.8975719352764491E-3</v>
      </c>
    </row>
    <row r="3541" spans="2:8" x14ac:dyDescent="0.3">
      <c r="B3541" s="113">
        <v>39073</v>
      </c>
      <c r="C3541">
        <v>56.22</v>
      </c>
      <c r="D3541">
        <f t="shared" si="113"/>
        <v>-0.78880540946656652</v>
      </c>
      <c r="E3541">
        <v>-6.7137809187279599E-3</v>
      </c>
      <c r="G3541">
        <v>3539</v>
      </c>
      <c r="H3541">
        <f t="shared" ca="1" si="114"/>
        <v>1.318689788645736E-2</v>
      </c>
    </row>
    <row r="3542" spans="2:8" x14ac:dyDescent="0.3">
      <c r="B3542" s="113">
        <v>43018</v>
      </c>
      <c r="C3542">
        <v>266.2</v>
      </c>
      <c r="D3542">
        <f t="shared" si="113"/>
        <v>0.33366733466933868</v>
      </c>
      <c r="E3542">
        <v>-6.7164179104478037E-3</v>
      </c>
      <c r="G3542">
        <v>3540</v>
      </c>
      <c r="H3542">
        <f t="shared" ca="1" si="114"/>
        <v>2.70541123411123E-2</v>
      </c>
    </row>
    <row r="3543" spans="2:8" x14ac:dyDescent="0.3">
      <c r="B3543" s="113">
        <v>44320</v>
      </c>
      <c r="C3543">
        <v>199.6</v>
      </c>
      <c r="D3543">
        <f t="shared" si="113"/>
        <v>-7.1455154447339103E-2</v>
      </c>
      <c r="E3543">
        <v>-6.7180890768847694E-3</v>
      </c>
      <c r="G3543">
        <v>3541</v>
      </c>
      <c r="H3543">
        <f t="shared" ca="1" si="114"/>
        <v>-1.2951620185384124E-3</v>
      </c>
    </row>
    <row r="3544" spans="2:8" x14ac:dyDescent="0.3">
      <c r="B3544" s="113">
        <v>42136</v>
      </c>
      <c r="C3544">
        <v>214.96</v>
      </c>
      <c r="D3544">
        <f t="shared" si="113"/>
        <v>-0.16568988938482426</v>
      </c>
      <c r="E3544">
        <v>-6.7461417613897956E-3</v>
      </c>
      <c r="G3544">
        <v>3542</v>
      </c>
      <c r="H3544">
        <f t="shared" ca="1" si="114"/>
        <v>-1.7961672082875215E-2</v>
      </c>
    </row>
    <row r="3545" spans="2:8" x14ac:dyDescent="0.3">
      <c r="B3545" s="113">
        <v>43769</v>
      </c>
      <c r="C3545">
        <v>257.64999999999998</v>
      </c>
      <c r="D3545">
        <f t="shared" si="113"/>
        <v>1.5058354405757635</v>
      </c>
      <c r="E3545">
        <v>-6.746337702390132E-3</v>
      </c>
      <c r="G3545">
        <v>3543</v>
      </c>
      <c r="H3545">
        <f t="shared" ca="1" si="114"/>
        <v>9.1708728571517004E-3</v>
      </c>
    </row>
    <row r="3546" spans="2:8" x14ac:dyDescent="0.3">
      <c r="B3546" s="113">
        <v>40585</v>
      </c>
      <c r="C3546">
        <v>102.82</v>
      </c>
      <c r="D3546">
        <f t="shared" si="113"/>
        <v>-0.59922042486844673</v>
      </c>
      <c r="E3546">
        <v>-6.7619783616692701E-3</v>
      </c>
      <c r="G3546">
        <v>3544</v>
      </c>
      <c r="H3546">
        <f t="shared" ca="1" si="114"/>
        <v>9.4758389457153397E-3</v>
      </c>
    </row>
    <row r="3547" spans="2:8" x14ac:dyDescent="0.3">
      <c r="B3547" s="113">
        <v>43053</v>
      </c>
      <c r="C3547">
        <v>256.55</v>
      </c>
      <c r="D3547">
        <f t="shared" si="113"/>
        <v>1.1151784978151535</v>
      </c>
      <c r="E3547">
        <v>-6.7750677506775063E-3</v>
      </c>
      <c r="G3547">
        <v>3545</v>
      </c>
      <c r="H3547">
        <f t="shared" ca="1" si="114"/>
        <v>-1.7603521651861354E-2</v>
      </c>
    </row>
    <row r="3548" spans="2:8" x14ac:dyDescent="0.3">
      <c r="B3548" s="113">
        <v>40639</v>
      </c>
      <c r="C3548">
        <v>121.29</v>
      </c>
      <c r="D3548">
        <f t="shared" si="113"/>
        <v>-0.49619937694704047</v>
      </c>
      <c r="E3548">
        <v>-6.7965935145758126E-3</v>
      </c>
      <c r="G3548">
        <v>3546</v>
      </c>
      <c r="H3548">
        <f t="shared" ca="1" si="114"/>
        <v>-1.4977477722253897E-2</v>
      </c>
    </row>
    <row r="3549" spans="2:8" x14ac:dyDescent="0.3">
      <c r="B3549" s="113">
        <v>43846</v>
      </c>
      <c r="C3549">
        <v>240.75</v>
      </c>
      <c r="D3549">
        <f t="shared" si="113"/>
        <v>2.8569368792053824</v>
      </c>
      <c r="E3549">
        <v>-6.8069306930693303E-3</v>
      </c>
      <c r="G3549">
        <v>3547</v>
      </c>
      <c r="H3549">
        <f t="shared" ca="1" si="114"/>
        <v>-2.5605402863622437E-2</v>
      </c>
    </row>
    <row r="3550" spans="2:8" x14ac:dyDescent="0.3">
      <c r="B3550" s="113">
        <v>39659</v>
      </c>
      <c r="C3550">
        <v>62.42</v>
      </c>
      <c r="D3550">
        <f t="shared" si="113"/>
        <v>-0.5049567769053851</v>
      </c>
      <c r="E3550">
        <v>-6.8416865552903688E-3</v>
      </c>
      <c r="G3550">
        <v>3548</v>
      </c>
      <c r="H3550">
        <f t="shared" ca="1" si="114"/>
        <v>-2.088401912407687E-2</v>
      </c>
    </row>
    <row r="3551" spans="2:8" x14ac:dyDescent="0.3">
      <c r="B3551" s="113">
        <v>40651</v>
      </c>
      <c r="C3551">
        <v>126.09</v>
      </c>
      <c r="D3551">
        <f t="shared" si="113"/>
        <v>1.0758972670398419</v>
      </c>
      <c r="E3551">
        <v>-6.8525519848770507E-3</v>
      </c>
      <c r="G3551">
        <v>3549</v>
      </c>
      <c r="H3551">
        <f t="shared" ca="1" si="114"/>
        <v>3.1267521681201966E-3</v>
      </c>
    </row>
    <row r="3552" spans="2:8" x14ac:dyDescent="0.3">
      <c r="B3552" s="113">
        <v>39373</v>
      </c>
      <c r="C3552">
        <v>60.74</v>
      </c>
      <c r="D3552">
        <f t="shared" si="113"/>
        <v>2.2342917997870075</v>
      </c>
      <c r="E3552">
        <v>-6.867233485938434E-3</v>
      </c>
      <c r="G3552">
        <v>3550</v>
      </c>
      <c r="H3552">
        <f t="shared" ca="1" si="114"/>
        <v>-9.2304132866969507E-3</v>
      </c>
    </row>
    <row r="3553" spans="2:8" x14ac:dyDescent="0.3">
      <c r="B3553" s="113">
        <v>37866</v>
      </c>
      <c r="C3553">
        <v>18.78</v>
      </c>
      <c r="D3553">
        <f t="shared" si="113"/>
        <v>-0.93148485954031379</v>
      </c>
      <c r="E3553">
        <v>-6.8746694870438392E-3</v>
      </c>
      <c r="G3553">
        <v>3551</v>
      </c>
      <c r="H3553">
        <f t="shared" ca="1" si="114"/>
        <v>-7.5259199172765662E-3</v>
      </c>
    </row>
    <row r="3554" spans="2:8" x14ac:dyDescent="0.3">
      <c r="B3554" s="113">
        <v>43215</v>
      </c>
      <c r="C3554">
        <v>274.10000000000002</v>
      </c>
      <c r="D3554">
        <f t="shared" si="113"/>
        <v>10.891540130151844</v>
      </c>
      <c r="E3554">
        <v>-6.8840579710144102E-3</v>
      </c>
      <c r="G3554">
        <v>3552</v>
      </c>
      <c r="H3554">
        <f t="shared" ca="1" si="114"/>
        <v>2.2353674483023299E-2</v>
      </c>
    </row>
    <row r="3555" spans="2:8" x14ac:dyDescent="0.3">
      <c r="B3555" s="113">
        <v>38077</v>
      </c>
      <c r="C3555">
        <v>23.05</v>
      </c>
      <c r="D3555">
        <f t="shared" si="113"/>
        <v>-0.82749588384972317</v>
      </c>
      <c r="E3555">
        <v>-6.8935803532959991E-3</v>
      </c>
      <c r="G3555">
        <v>3553</v>
      </c>
      <c r="H3555">
        <f t="shared" ca="1" si="114"/>
        <v>-1.1295304101141426E-2</v>
      </c>
    </row>
    <row r="3556" spans="2:8" x14ac:dyDescent="0.3">
      <c r="B3556" s="113">
        <v>40725</v>
      </c>
      <c r="C3556">
        <v>133.62</v>
      </c>
      <c r="D3556">
        <f t="shared" si="113"/>
        <v>8.3050139275766028</v>
      </c>
      <c r="E3556">
        <v>-6.9119286510591358E-3</v>
      </c>
      <c r="G3556">
        <v>3554</v>
      </c>
      <c r="H3556">
        <f t="shared" ca="1" si="114"/>
        <v>3.147321675848809E-2</v>
      </c>
    </row>
    <row r="3557" spans="2:8" x14ac:dyDescent="0.3">
      <c r="B3557" s="113">
        <v>37529</v>
      </c>
      <c r="C3557">
        <v>14.36</v>
      </c>
      <c r="D3557">
        <f t="shared" si="113"/>
        <v>-0.89525893508388033</v>
      </c>
      <c r="E3557">
        <v>-6.9156293222684241E-3</v>
      </c>
      <c r="G3557">
        <v>3555</v>
      </c>
      <c r="H3557">
        <f t="shared" ca="1" si="114"/>
        <v>1.9505734969234367E-2</v>
      </c>
    </row>
    <row r="3558" spans="2:8" x14ac:dyDescent="0.3">
      <c r="B3558" s="113">
        <v>40980</v>
      </c>
      <c r="C3558">
        <v>137.1</v>
      </c>
      <c r="D3558">
        <f t="shared" si="113"/>
        <v>-0.28853139595225741</v>
      </c>
      <c r="E3558">
        <v>-6.9534984789222654E-3</v>
      </c>
      <c r="G3558">
        <v>3556</v>
      </c>
      <c r="H3558">
        <f t="shared" ca="1" si="114"/>
        <v>-3.2156097161401792E-3</v>
      </c>
    </row>
    <row r="3559" spans="2:8" x14ac:dyDescent="0.3">
      <c r="B3559" s="113">
        <v>44032</v>
      </c>
      <c r="C3559">
        <v>192.7</v>
      </c>
      <c r="D3559">
        <f t="shared" si="113"/>
        <v>1.8172514619883038</v>
      </c>
      <c r="E3559">
        <v>-6.956969853130753E-3</v>
      </c>
      <c r="G3559">
        <v>3557</v>
      </c>
      <c r="H3559">
        <f t="shared" ca="1" si="114"/>
        <v>1.666399314936865E-3</v>
      </c>
    </row>
    <row r="3560" spans="2:8" x14ac:dyDescent="0.3">
      <c r="B3560" s="113">
        <v>38846</v>
      </c>
      <c r="C3560">
        <v>68.400000000000006</v>
      </c>
      <c r="D3560">
        <f t="shared" si="113"/>
        <v>-0.71597043434930652</v>
      </c>
      <c r="E3560">
        <v>-6.9686411149824301E-3</v>
      </c>
      <c r="G3560">
        <v>3558</v>
      </c>
      <c r="H3560">
        <f t="shared" ca="1" si="114"/>
        <v>-1.6748369873174477E-3</v>
      </c>
    </row>
    <row r="3561" spans="2:8" x14ac:dyDescent="0.3">
      <c r="B3561" s="113">
        <v>41976</v>
      </c>
      <c r="C3561">
        <v>240.82</v>
      </c>
      <c r="D3561">
        <f t="shared" si="113"/>
        <v>0.18228680838529135</v>
      </c>
      <c r="E3561">
        <v>-6.9687847923796866E-3</v>
      </c>
      <c r="G3561">
        <v>3559</v>
      </c>
      <c r="H3561">
        <f t="shared" ca="1" si="114"/>
        <v>2.0029446866682506E-2</v>
      </c>
    </row>
    <row r="3562" spans="2:8" x14ac:dyDescent="0.3">
      <c r="B3562" s="113">
        <v>41309</v>
      </c>
      <c r="C3562">
        <v>203.69</v>
      </c>
      <c r="D3562">
        <f t="shared" si="113"/>
        <v>-8.2436145772332131E-2</v>
      </c>
      <c r="E3562">
        <v>-6.9715288611544796E-3</v>
      </c>
      <c r="G3562">
        <v>3560</v>
      </c>
      <c r="H3562">
        <f t="shared" ca="1" si="114"/>
        <v>-2.4941419565409031E-2</v>
      </c>
    </row>
    <row r="3563" spans="2:8" x14ac:dyDescent="0.3">
      <c r="B3563" s="113">
        <v>42311</v>
      </c>
      <c r="C3563">
        <v>221.99</v>
      </c>
      <c r="D3563">
        <f t="shared" si="113"/>
        <v>6.0923322683706065</v>
      </c>
      <c r="E3563">
        <v>-6.9783046298367351E-3</v>
      </c>
      <c r="G3563">
        <v>3561</v>
      </c>
      <c r="H3563">
        <f t="shared" ca="1" si="114"/>
        <v>-9.1954451223314887E-3</v>
      </c>
    </row>
    <row r="3564" spans="2:8" x14ac:dyDescent="0.3">
      <c r="B3564" s="113">
        <v>38477</v>
      </c>
      <c r="C3564">
        <v>31.3</v>
      </c>
      <c r="D3564">
        <f t="shared" si="113"/>
        <v>-0.88710550045085657</v>
      </c>
      <c r="E3564">
        <v>-6.9796954314720449E-3</v>
      </c>
      <c r="G3564">
        <v>3562</v>
      </c>
      <c r="H3564">
        <f t="shared" ca="1" si="114"/>
        <v>-1.9536721998863121E-2</v>
      </c>
    </row>
    <row r="3565" spans="2:8" x14ac:dyDescent="0.3">
      <c r="B3565" s="113">
        <v>42858</v>
      </c>
      <c r="C3565">
        <v>277.25</v>
      </c>
      <c r="D3565">
        <f t="shared" si="113"/>
        <v>-6.8849706129303107E-2</v>
      </c>
      <c r="E3565">
        <v>-6.9842406876790422E-3</v>
      </c>
      <c r="G3565">
        <v>3563</v>
      </c>
      <c r="H3565">
        <f t="shared" ca="1" si="114"/>
        <v>6.9895522148906179E-3</v>
      </c>
    </row>
    <row r="3566" spans="2:8" x14ac:dyDescent="0.3">
      <c r="B3566" s="113">
        <v>43595</v>
      </c>
      <c r="C3566">
        <v>297.75</v>
      </c>
      <c r="D3566">
        <f t="shared" si="113"/>
        <v>0.32174723664935406</v>
      </c>
      <c r="E3566">
        <v>-7.0035017508755133E-3</v>
      </c>
      <c r="G3566">
        <v>3564</v>
      </c>
      <c r="H3566">
        <f t="shared" ca="1" si="114"/>
        <v>6.6177000990187565E-3</v>
      </c>
    </row>
    <row r="3567" spans="2:8" x14ac:dyDescent="0.3">
      <c r="B3567" s="113">
        <v>41561</v>
      </c>
      <c r="C3567">
        <v>225.27</v>
      </c>
      <c r="D3567">
        <f t="shared" si="113"/>
        <v>7.8479968578161818</v>
      </c>
      <c r="E3567">
        <v>-7.0087278497752061E-3</v>
      </c>
      <c r="G3567">
        <v>3565</v>
      </c>
      <c r="H3567">
        <f t="shared" ca="1" si="114"/>
        <v>-1.4459403961772513E-2</v>
      </c>
    </row>
    <row r="3568" spans="2:8" x14ac:dyDescent="0.3">
      <c r="B3568" s="113">
        <v>38254</v>
      </c>
      <c r="C3568">
        <v>25.46</v>
      </c>
      <c r="D3568">
        <f t="shared" si="113"/>
        <v>-0.24963159445918062</v>
      </c>
      <c r="E3568">
        <v>-7.0202808112324383E-3</v>
      </c>
      <c r="G3568">
        <v>3566</v>
      </c>
      <c r="H3568">
        <f t="shared" ca="1" si="114"/>
        <v>-1.7966879910000629E-2</v>
      </c>
    </row>
    <row r="3569" spans="2:8" x14ac:dyDescent="0.3">
      <c r="B3569" s="113">
        <v>38523</v>
      </c>
      <c r="C3569">
        <v>33.93</v>
      </c>
      <c r="D3569">
        <f t="shared" si="113"/>
        <v>-0.83888123842537632</v>
      </c>
      <c r="E3569">
        <v>-7.0237050043898738E-3</v>
      </c>
      <c r="G3569">
        <v>3567</v>
      </c>
      <c r="H3569">
        <f t="shared" ca="1" si="114"/>
        <v>6.621896840167008E-4</v>
      </c>
    </row>
    <row r="3570" spans="2:8" x14ac:dyDescent="0.3">
      <c r="B3570" s="113">
        <v>42242</v>
      </c>
      <c r="C3570">
        <v>210.59</v>
      </c>
      <c r="D3570">
        <f t="shared" si="113"/>
        <v>1.0413920124079101</v>
      </c>
      <c r="E3570">
        <v>-7.0256506978499103E-3</v>
      </c>
      <c r="G3570">
        <v>3568</v>
      </c>
      <c r="H3570">
        <f t="shared" ca="1" si="114"/>
        <v>-2.9857642992971486E-2</v>
      </c>
    </row>
    <row r="3571" spans="2:8" x14ac:dyDescent="0.3">
      <c r="B3571" s="113">
        <v>40597</v>
      </c>
      <c r="C3571">
        <v>103.16</v>
      </c>
      <c r="D3571">
        <f t="shared" si="113"/>
        <v>-0.57007709939570739</v>
      </c>
      <c r="E3571">
        <v>-7.0266628164405041E-3</v>
      </c>
      <c r="G3571">
        <v>3569</v>
      </c>
      <c r="H3571">
        <f t="shared" ca="1" si="114"/>
        <v>3.4614689462932886E-3</v>
      </c>
    </row>
    <row r="3572" spans="2:8" x14ac:dyDescent="0.3">
      <c r="B3572" s="113">
        <v>42675</v>
      </c>
      <c r="C3572">
        <v>239.95</v>
      </c>
      <c r="D3572">
        <f t="shared" si="113"/>
        <v>16.029808374733854</v>
      </c>
      <c r="E3572">
        <v>-7.0349679288227475E-3</v>
      </c>
      <c r="G3572">
        <v>3570</v>
      </c>
      <c r="H3572">
        <f t="shared" ca="1" si="114"/>
        <v>2.6002058165900205E-2</v>
      </c>
    </row>
    <row r="3573" spans="2:8" x14ac:dyDescent="0.3">
      <c r="B3573" s="113">
        <v>37659</v>
      </c>
      <c r="C3573">
        <v>14.09</v>
      </c>
      <c r="D3573">
        <f t="shared" si="113"/>
        <v>-0.94440718090353126</v>
      </c>
      <c r="E3573">
        <v>-7.0472163495419061E-3</v>
      </c>
      <c r="G3573">
        <v>3571</v>
      </c>
      <c r="H3573">
        <f t="shared" ca="1" si="114"/>
        <v>4.4998604889331897E-2</v>
      </c>
    </row>
    <row r="3574" spans="2:8" x14ac:dyDescent="0.3">
      <c r="B3574" s="113">
        <v>42636</v>
      </c>
      <c r="C3574">
        <v>253.45</v>
      </c>
      <c r="D3574">
        <f t="shared" si="113"/>
        <v>-7.6684881602914437E-2</v>
      </c>
      <c r="E3574">
        <v>-7.0519098922625324E-3</v>
      </c>
      <c r="G3574">
        <v>3572</v>
      </c>
      <c r="H3574">
        <f t="shared" ca="1" si="114"/>
        <v>6.0212855587977671E-3</v>
      </c>
    </row>
    <row r="3575" spans="2:8" x14ac:dyDescent="0.3">
      <c r="B3575" s="113">
        <v>43419</v>
      </c>
      <c r="C3575">
        <v>274.5</v>
      </c>
      <c r="D3575">
        <f t="shared" si="113"/>
        <v>1.1232982673267327</v>
      </c>
      <c r="E3575">
        <v>-7.0537167661421183E-3</v>
      </c>
      <c r="G3575">
        <v>3573</v>
      </c>
      <c r="H3575">
        <f t="shared" ca="1" si="114"/>
        <v>-1.1352650352838587E-2</v>
      </c>
    </row>
    <row r="3576" spans="2:8" x14ac:dyDescent="0.3">
      <c r="B3576" s="113">
        <v>40763</v>
      </c>
      <c r="C3576">
        <v>129.28</v>
      </c>
      <c r="D3576">
        <f t="shared" si="113"/>
        <v>-0.39430284857571213</v>
      </c>
      <c r="E3576">
        <v>-7.0660522273424545E-3</v>
      </c>
      <c r="G3576">
        <v>3574</v>
      </c>
      <c r="H3576">
        <f t="shared" ca="1" si="114"/>
        <v>-2.393503977466703E-2</v>
      </c>
    </row>
    <row r="3577" spans="2:8" x14ac:dyDescent="0.3">
      <c r="B3577" s="113">
        <v>42403</v>
      </c>
      <c r="C3577">
        <v>213.44</v>
      </c>
      <c r="D3577">
        <f t="shared" si="113"/>
        <v>4.8330058939096282E-2</v>
      </c>
      <c r="E3577">
        <v>-7.0710829921846402E-3</v>
      </c>
      <c r="G3577">
        <v>3575</v>
      </c>
      <c r="H3577">
        <f t="shared" ca="1" si="114"/>
        <v>-2.834091832905172E-2</v>
      </c>
    </row>
    <row r="3578" spans="2:8" x14ac:dyDescent="0.3">
      <c r="B3578" s="113">
        <v>44375</v>
      </c>
      <c r="C3578">
        <v>203.6</v>
      </c>
      <c r="D3578">
        <f t="shared" si="113"/>
        <v>-0.32538104705102722</v>
      </c>
      <c r="E3578">
        <v>-7.0714459887833061E-3</v>
      </c>
      <c r="G3578">
        <v>3576</v>
      </c>
      <c r="H3578">
        <f t="shared" ca="1" si="114"/>
        <v>-3.141745045020331E-4</v>
      </c>
    </row>
    <row r="3579" spans="2:8" x14ac:dyDescent="0.3">
      <c r="B3579" s="113">
        <v>43318</v>
      </c>
      <c r="C3579">
        <v>301.8</v>
      </c>
      <c r="D3579">
        <f t="shared" si="113"/>
        <v>-2.2351797862001872E-2</v>
      </c>
      <c r="E3579">
        <v>-7.0735318308931643E-3</v>
      </c>
      <c r="G3579">
        <v>3577</v>
      </c>
      <c r="H3579">
        <f t="shared" ca="1" si="114"/>
        <v>-6.0996860666742087E-3</v>
      </c>
    </row>
    <row r="3580" spans="2:8" x14ac:dyDescent="0.3">
      <c r="B3580" s="113">
        <v>42906</v>
      </c>
      <c r="C3580">
        <v>308.7</v>
      </c>
      <c r="D3580">
        <f t="shared" si="113"/>
        <v>9.4857336956521738</v>
      </c>
      <c r="E3580">
        <v>-7.0762302991315175E-3</v>
      </c>
      <c r="G3580">
        <v>3578</v>
      </c>
      <c r="H3580">
        <f t="shared" ca="1" si="114"/>
        <v>3.0925754311202844E-2</v>
      </c>
    </row>
    <row r="3581" spans="2:8" x14ac:dyDescent="0.3">
      <c r="B3581" s="113">
        <v>38390</v>
      </c>
      <c r="C3581">
        <v>29.44</v>
      </c>
      <c r="D3581">
        <f t="shared" si="113"/>
        <v>-0.6087707641196014</v>
      </c>
      <c r="E3581">
        <v>-7.0826306913995716E-3</v>
      </c>
      <c r="G3581">
        <v>3579</v>
      </c>
      <c r="H3581">
        <f t="shared" ca="1" si="114"/>
        <v>1.0527279720372134E-3</v>
      </c>
    </row>
    <row r="3582" spans="2:8" x14ac:dyDescent="0.3">
      <c r="B3582" s="113">
        <v>40065</v>
      </c>
      <c r="C3582">
        <v>75.25</v>
      </c>
      <c r="D3582">
        <f t="shared" si="113"/>
        <v>0.20015948963317379</v>
      </c>
      <c r="E3582">
        <v>-7.1249505211770179E-3</v>
      </c>
      <c r="G3582">
        <v>3580</v>
      </c>
      <c r="H3582">
        <f t="shared" ca="1" si="114"/>
        <v>-1.2397645464404737E-2</v>
      </c>
    </row>
    <row r="3583" spans="2:8" x14ac:dyDescent="0.3">
      <c r="B3583" s="113">
        <v>39654</v>
      </c>
      <c r="C3583">
        <v>62.7</v>
      </c>
      <c r="D3583">
        <f t="shared" si="113"/>
        <v>-0.74276923076923085</v>
      </c>
      <c r="E3583">
        <v>-7.1258907363419754E-3</v>
      </c>
      <c r="G3583">
        <v>3581</v>
      </c>
      <c r="H3583">
        <f t="shared" ca="1" si="114"/>
        <v>1.640567963649249E-2</v>
      </c>
    </row>
    <row r="3584" spans="2:8" x14ac:dyDescent="0.3">
      <c r="B3584" s="113">
        <v>43719</v>
      </c>
      <c r="C3584">
        <v>243.75</v>
      </c>
      <c r="D3584">
        <f t="shared" si="113"/>
        <v>0.15182874964559112</v>
      </c>
      <c r="E3584">
        <v>-7.1283095723014261E-3</v>
      </c>
      <c r="G3584">
        <v>3582</v>
      </c>
      <c r="H3584">
        <f t="shared" ca="1" si="114"/>
        <v>-5.1267245575485915E-3</v>
      </c>
    </row>
    <row r="3585" spans="2:8" x14ac:dyDescent="0.3">
      <c r="B3585" s="113">
        <v>41611</v>
      </c>
      <c r="C3585">
        <v>211.62</v>
      </c>
      <c r="D3585">
        <f t="shared" si="113"/>
        <v>14.224460431654675</v>
      </c>
      <c r="E3585">
        <v>-7.1314628882423849E-3</v>
      </c>
      <c r="G3585">
        <v>3583</v>
      </c>
      <c r="H3585">
        <f t="shared" ca="1" si="114"/>
        <v>2.1291683941116239E-2</v>
      </c>
    </row>
    <row r="3586" spans="2:8" x14ac:dyDescent="0.3">
      <c r="B3586" s="113">
        <v>37468</v>
      </c>
      <c r="C3586">
        <v>13.9</v>
      </c>
      <c r="D3586">
        <f t="shared" si="113"/>
        <v>-0.76145529431954695</v>
      </c>
      <c r="E3586">
        <v>-7.1428571428571175E-3</v>
      </c>
      <c r="G3586">
        <v>3584</v>
      </c>
      <c r="H3586">
        <f t="shared" ca="1" si="114"/>
        <v>-2.1523044704698014E-3</v>
      </c>
    </row>
    <row r="3587" spans="2:8" x14ac:dyDescent="0.3">
      <c r="B3587" s="113">
        <v>38897</v>
      </c>
      <c r="C3587">
        <v>58.27</v>
      </c>
      <c r="D3587">
        <f t="shared" ref="D3587:D3650" si="115">(C3587-C3588)/C3588</f>
        <v>-0.78998017660839781</v>
      </c>
      <c r="E3587">
        <v>-7.1562446754130961E-3</v>
      </c>
      <c r="G3587">
        <v>3585</v>
      </c>
      <c r="H3587">
        <f t="shared" ca="1" si="114"/>
        <v>-1.0985916422596458E-2</v>
      </c>
    </row>
    <row r="3588" spans="2:8" x14ac:dyDescent="0.3">
      <c r="B3588" s="113">
        <v>43654</v>
      </c>
      <c r="C3588">
        <v>277.45</v>
      </c>
      <c r="D3588">
        <f t="shared" si="115"/>
        <v>10.115785256410255</v>
      </c>
      <c r="E3588">
        <v>-7.1569153694757562E-3</v>
      </c>
      <c r="G3588">
        <v>3586</v>
      </c>
      <c r="H3588">
        <f t="shared" ref="H3588:H3651" ca="1" si="116">_xlfn.NORM.INV(RAND(),$L$4,$L$6)</f>
        <v>-1.4057070041928783E-2</v>
      </c>
    </row>
    <row r="3589" spans="2:8" x14ac:dyDescent="0.3">
      <c r="B3589" s="113">
        <v>38309</v>
      </c>
      <c r="C3589">
        <v>24.96</v>
      </c>
      <c r="D3589">
        <f t="shared" si="115"/>
        <v>-0.87655786350148368</v>
      </c>
      <c r="E3589">
        <v>-7.1599045346061934E-3</v>
      </c>
      <c r="G3589">
        <v>3587</v>
      </c>
      <c r="H3589">
        <f t="shared" ca="1" si="116"/>
        <v>-5.0850055263204734E-3</v>
      </c>
    </row>
    <row r="3590" spans="2:8" x14ac:dyDescent="0.3">
      <c r="B3590" s="113">
        <v>41354</v>
      </c>
      <c r="C3590">
        <v>202.2</v>
      </c>
      <c r="D3590">
        <f t="shared" si="115"/>
        <v>2.3966067528976982</v>
      </c>
      <c r="E3590">
        <v>-7.1688107630364728E-3</v>
      </c>
      <c r="G3590">
        <v>3588</v>
      </c>
      <c r="H3590">
        <f t="shared" ca="1" si="116"/>
        <v>-3.0423317903897892E-2</v>
      </c>
    </row>
    <row r="3591" spans="2:8" x14ac:dyDescent="0.3">
      <c r="B3591" s="113">
        <v>39049</v>
      </c>
      <c r="C3591">
        <v>59.53</v>
      </c>
      <c r="D3591">
        <f t="shared" si="115"/>
        <v>0.16428711128495987</v>
      </c>
      <c r="E3591">
        <v>-7.1714476317544977E-3</v>
      </c>
      <c r="G3591">
        <v>3589</v>
      </c>
      <c r="H3591">
        <f t="shared" ca="1" si="116"/>
        <v>9.180708242560098E-3</v>
      </c>
    </row>
    <row r="3592" spans="2:8" x14ac:dyDescent="0.3">
      <c r="B3592" s="113">
        <v>39279</v>
      </c>
      <c r="C3592">
        <v>51.13</v>
      </c>
      <c r="D3592">
        <f t="shared" si="115"/>
        <v>-0.58888799549730653</v>
      </c>
      <c r="E3592">
        <v>-7.1844660194174265E-3</v>
      </c>
      <c r="G3592">
        <v>3590</v>
      </c>
      <c r="H3592">
        <f t="shared" ca="1" si="116"/>
        <v>2.7007093352153084E-2</v>
      </c>
    </row>
    <row r="3593" spans="2:8" x14ac:dyDescent="0.3">
      <c r="B3593" s="113">
        <v>40693</v>
      </c>
      <c r="C3593">
        <v>124.37</v>
      </c>
      <c r="D3593">
        <f t="shared" si="115"/>
        <v>-0.34952928870292882</v>
      </c>
      <c r="E3593">
        <v>-7.1844815199169111E-3</v>
      </c>
      <c r="G3593">
        <v>3591</v>
      </c>
      <c r="H3593">
        <f t="shared" ca="1" si="116"/>
        <v>-1.1062853479132101E-2</v>
      </c>
    </row>
    <row r="3594" spans="2:8" x14ac:dyDescent="0.3">
      <c r="B3594" s="113">
        <v>41270</v>
      </c>
      <c r="C3594">
        <v>191.2</v>
      </c>
      <c r="D3594">
        <f t="shared" si="115"/>
        <v>-0.17728055077452676</v>
      </c>
      <c r="E3594">
        <v>-7.2174048496807452E-3</v>
      </c>
      <c r="G3594">
        <v>3592</v>
      </c>
      <c r="H3594">
        <f t="shared" ca="1" si="116"/>
        <v>-1.1307000073411904E-2</v>
      </c>
    </row>
    <row r="3595" spans="2:8" x14ac:dyDescent="0.3">
      <c r="B3595" s="113">
        <v>41925</v>
      </c>
      <c r="C3595">
        <v>232.4</v>
      </c>
      <c r="D3595">
        <f t="shared" si="115"/>
        <v>2.0103590553946154E-2</v>
      </c>
      <c r="E3595">
        <v>-7.2194455124097471E-3</v>
      </c>
      <c r="G3595">
        <v>3593</v>
      </c>
      <c r="H3595">
        <f t="shared" ca="1" si="116"/>
        <v>4.7939995140510432E-3</v>
      </c>
    </row>
    <row r="3596" spans="2:8" x14ac:dyDescent="0.3">
      <c r="B3596" s="113">
        <v>41873</v>
      </c>
      <c r="C3596">
        <v>227.82</v>
      </c>
      <c r="D3596">
        <f t="shared" si="115"/>
        <v>2.7001786584375509</v>
      </c>
      <c r="E3596">
        <v>-7.2337458602056677E-3</v>
      </c>
      <c r="G3596">
        <v>3594</v>
      </c>
      <c r="H3596">
        <f t="shared" ca="1" si="116"/>
        <v>-2.2111599676388219E-2</v>
      </c>
    </row>
    <row r="3597" spans="2:8" x14ac:dyDescent="0.3">
      <c r="B3597" s="113">
        <v>39415</v>
      </c>
      <c r="C3597">
        <v>61.57</v>
      </c>
      <c r="D3597">
        <f t="shared" si="115"/>
        <v>-0.54530684587548928</v>
      </c>
      <c r="E3597">
        <v>-7.2557239600129445E-3</v>
      </c>
      <c r="G3597">
        <v>3595</v>
      </c>
      <c r="H3597">
        <f t="shared" ca="1" si="116"/>
        <v>2.126476193469962E-2</v>
      </c>
    </row>
    <row r="3598" spans="2:8" x14ac:dyDescent="0.3">
      <c r="B3598" s="113">
        <v>40834</v>
      </c>
      <c r="C3598">
        <v>135.41</v>
      </c>
      <c r="D3598">
        <f t="shared" si="115"/>
        <v>-0.38098285714285718</v>
      </c>
      <c r="E3598">
        <v>-7.2580645161290985E-3</v>
      </c>
      <c r="G3598">
        <v>3596</v>
      </c>
      <c r="H3598">
        <f t="shared" ca="1" si="116"/>
        <v>1.2472668623831788E-2</v>
      </c>
    </row>
    <row r="3599" spans="2:8" x14ac:dyDescent="0.3">
      <c r="B3599" s="113">
        <v>44581</v>
      </c>
      <c r="C3599">
        <v>218.75</v>
      </c>
      <c r="D3599">
        <f t="shared" si="115"/>
        <v>0.66692067362645746</v>
      </c>
      <c r="E3599">
        <v>-7.2611754027682978E-3</v>
      </c>
      <c r="G3599">
        <v>3597</v>
      </c>
      <c r="H3599">
        <f t="shared" ca="1" si="116"/>
        <v>-2.0872637625618286E-2</v>
      </c>
    </row>
    <row r="3600" spans="2:8" x14ac:dyDescent="0.3">
      <c r="B3600" s="113">
        <v>40802</v>
      </c>
      <c r="C3600">
        <v>131.22999999999999</v>
      </c>
      <c r="D3600">
        <f t="shared" si="115"/>
        <v>-0.35564175586762253</v>
      </c>
      <c r="E3600">
        <v>-7.2622739995461686E-3</v>
      </c>
      <c r="G3600">
        <v>3598</v>
      </c>
      <c r="H3600">
        <f t="shared" ca="1" si="116"/>
        <v>3.7146825550735479E-2</v>
      </c>
    </row>
    <row r="3601" spans="2:8" x14ac:dyDescent="0.3">
      <c r="B3601" s="113">
        <v>41365</v>
      </c>
      <c r="C3601">
        <v>203.66</v>
      </c>
      <c r="D3601">
        <f t="shared" si="115"/>
        <v>-0.19326599326599325</v>
      </c>
      <c r="E3601">
        <v>-7.2629783085547605E-3</v>
      </c>
      <c r="G3601">
        <v>3599</v>
      </c>
      <c r="H3601">
        <f t="shared" ca="1" si="116"/>
        <v>1.607225542805911E-2</v>
      </c>
    </row>
    <row r="3602" spans="2:8" x14ac:dyDescent="0.3">
      <c r="B3602" s="113">
        <v>42580</v>
      </c>
      <c r="C3602">
        <v>252.45</v>
      </c>
      <c r="D3602">
        <f t="shared" si="115"/>
        <v>15.897590361445783</v>
      </c>
      <c r="E3602">
        <v>-7.2748721981912021E-3</v>
      </c>
      <c r="G3602">
        <v>3600</v>
      </c>
      <c r="H3602">
        <f t="shared" ca="1" si="116"/>
        <v>-2.7822181414465613E-2</v>
      </c>
    </row>
    <row r="3603" spans="2:8" x14ac:dyDescent="0.3">
      <c r="B3603" s="113">
        <v>37748</v>
      </c>
      <c r="C3603">
        <v>14.94</v>
      </c>
      <c r="D3603">
        <f t="shared" si="115"/>
        <v>-0.7554427893272222</v>
      </c>
      <c r="E3603">
        <v>-7.3089700996678544E-3</v>
      </c>
      <c r="G3603">
        <v>3601</v>
      </c>
      <c r="H3603">
        <f t="shared" ca="1" si="116"/>
        <v>-3.6063275382953023E-3</v>
      </c>
    </row>
    <row r="3604" spans="2:8" x14ac:dyDescent="0.3">
      <c r="B3604" s="113">
        <v>38988</v>
      </c>
      <c r="C3604">
        <v>61.09</v>
      </c>
      <c r="D3604">
        <f t="shared" si="115"/>
        <v>-0.71655917969656191</v>
      </c>
      <c r="E3604">
        <v>-7.3123171920701294E-3</v>
      </c>
      <c r="G3604">
        <v>3602</v>
      </c>
      <c r="H3604">
        <f t="shared" ca="1" si="116"/>
        <v>1.285956766093386E-2</v>
      </c>
    </row>
    <row r="3605" spans="2:8" x14ac:dyDescent="0.3">
      <c r="B3605" s="113">
        <v>42373</v>
      </c>
      <c r="C3605">
        <v>215.53</v>
      </c>
      <c r="D3605">
        <f t="shared" si="115"/>
        <v>5.62557639102367</v>
      </c>
      <c r="E3605">
        <v>-7.3231392778187335E-3</v>
      </c>
      <c r="G3605">
        <v>3603</v>
      </c>
      <c r="H3605">
        <f t="shared" ca="1" si="116"/>
        <v>-1.6011172095329672E-2</v>
      </c>
    </row>
    <row r="3606" spans="2:8" x14ac:dyDescent="0.3">
      <c r="B3606" s="113">
        <v>38482</v>
      </c>
      <c r="C3606">
        <v>32.53</v>
      </c>
      <c r="D3606">
        <f t="shared" si="115"/>
        <v>-0.7499038979011301</v>
      </c>
      <c r="E3606">
        <v>-7.3237717424474201E-3</v>
      </c>
      <c r="G3606">
        <v>3604</v>
      </c>
      <c r="H3606">
        <f t="shared" ca="1" si="116"/>
        <v>3.2731213120405556E-2</v>
      </c>
    </row>
    <row r="3607" spans="2:8" x14ac:dyDescent="0.3">
      <c r="B3607" s="113">
        <v>40798</v>
      </c>
      <c r="C3607">
        <v>130.07</v>
      </c>
      <c r="D3607">
        <f t="shared" si="115"/>
        <v>-0.48096568236233045</v>
      </c>
      <c r="E3607">
        <v>-7.3265664351675796E-3</v>
      </c>
      <c r="G3607">
        <v>3605</v>
      </c>
      <c r="H3607">
        <f t="shared" ca="1" si="116"/>
        <v>-2.494020332005778E-2</v>
      </c>
    </row>
    <row r="3608" spans="2:8" x14ac:dyDescent="0.3">
      <c r="B3608" s="113">
        <v>42583</v>
      </c>
      <c r="C3608">
        <v>250.6</v>
      </c>
      <c r="D3608">
        <f t="shared" si="115"/>
        <v>0.14215395834282848</v>
      </c>
      <c r="E3608">
        <v>-7.3281837987720115E-3</v>
      </c>
      <c r="G3608">
        <v>3606</v>
      </c>
      <c r="H3608">
        <f t="shared" ca="1" si="116"/>
        <v>2.5377399151150271E-2</v>
      </c>
    </row>
    <row r="3609" spans="2:8" x14ac:dyDescent="0.3">
      <c r="B3609" s="113">
        <v>41794</v>
      </c>
      <c r="C3609">
        <v>219.41</v>
      </c>
      <c r="D3609">
        <f t="shared" si="115"/>
        <v>5.9746908809891836E-2</v>
      </c>
      <c r="E3609">
        <v>-7.3293218115188189E-3</v>
      </c>
      <c r="G3609">
        <v>3607</v>
      </c>
      <c r="H3609">
        <f t="shared" ca="1" si="116"/>
        <v>1.1313297746981914E-2</v>
      </c>
    </row>
    <row r="3610" spans="2:8" x14ac:dyDescent="0.3">
      <c r="B3610" s="113">
        <v>42199</v>
      </c>
      <c r="C3610">
        <v>207.04</v>
      </c>
      <c r="D3610">
        <f t="shared" si="115"/>
        <v>-0.19424012453784784</v>
      </c>
      <c r="E3610">
        <v>-7.3356666826485169E-3</v>
      </c>
      <c r="G3610">
        <v>3608</v>
      </c>
      <c r="H3610">
        <f t="shared" ca="1" si="116"/>
        <v>1.0603363812453149E-2</v>
      </c>
    </row>
    <row r="3611" spans="2:8" x14ac:dyDescent="0.3">
      <c r="B3611" s="113">
        <v>42633</v>
      </c>
      <c r="C3611">
        <v>256.95</v>
      </c>
      <c r="D3611">
        <f t="shared" si="115"/>
        <v>10.181462140992167</v>
      </c>
      <c r="E3611">
        <v>-7.3401583928917671E-3</v>
      </c>
      <c r="G3611">
        <v>3609</v>
      </c>
      <c r="H3611">
        <f t="shared" ca="1" si="116"/>
        <v>2.3293744319948347E-2</v>
      </c>
    </row>
    <row r="3612" spans="2:8" x14ac:dyDescent="0.3">
      <c r="B3612" s="113">
        <v>38209</v>
      </c>
      <c r="C3612">
        <v>22.98</v>
      </c>
      <c r="D3612">
        <f t="shared" si="115"/>
        <v>-0.91474680022259325</v>
      </c>
      <c r="E3612">
        <v>-7.3434125269977611E-3</v>
      </c>
      <c r="G3612">
        <v>3610</v>
      </c>
      <c r="H3612">
        <f t="shared" ca="1" si="116"/>
        <v>8.0932090303685814E-3</v>
      </c>
    </row>
    <row r="3613" spans="2:8" x14ac:dyDescent="0.3">
      <c r="B3613" s="113">
        <v>42999</v>
      </c>
      <c r="C3613">
        <v>269.55</v>
      </c>
      <c r="D3613">
        <f t="shared" si="115"/>
        <v>-4.3300798580301648E-2</v>
      </c>
      <c r="E3613">
        <v>-7.3651261277849376E-3</v>
      </c>
      <c r="G3613">
        <v>3611</v>
      </c>
      <c r="H3613">
        <f t="shared" ca="1" si="116"/>
        <v>3.3295054616638897E-2</v>
      </c>
    </row>
    <row r="3614" spans="2:8" x14ac:dyDescent="0.3">
      <c r="B3614" s="113">
        <v>43425</v>
      </c>
      <c r="C3614">
        <v>281.75</v>
      </c>
      <c r="D3614">
        <f t="shared" si="115"/>
        <v>2.3358986502486387</v>
      </c>
      <c r="E3614">
        <v>-7.3982737361283166E-3</v>
      </c>
      <c r="G3614">
        <v>3612</v>
      </c>
      <c r="H3614">
        <f t="shared" ca="1" si="116"/>
        <v>1.8105685838728021E-2</v>
      </c>
    </row>
    <row r="3615" spans="2:8" x14ac:dyDescent="0.3">
      <c r="B3615" s="113">
        <v>40154</v>
      </c>
      <c r="C3615">
        <v>84.46</v>
      </c>
      <c r="D3615">
        <f t="shared" si="115"/>
        <v>-0.56430229558937328</v>
      </c>
      <c r="E3615">
        <v>-7.4039252556118186E-3</v>
      </c>
      <c r="G3615">
        <v>3613</v>
      </c>
      <c r="H3615">
        <f t="shared" ca="1" si="116"/>
        <v>-4.6013958304977265E-3</v>
      </c>
    </row>
    <row r="3616" spans="2:8" x14ac:dyDescent="0.3">
      <c r="B3616" s="113">
        <v>43893</v>
      </c>
      <c r="C3616">
        <v>193.85</v>
      </c>
      <c r="D3616">
        <f t="shared" si="115"/>
        <v>-0.30915894511760522</v>
      </c>
      <c r="E3616">
        <v>-7.4244751664107374E-3</v>
      </c>
      <c r="G3616">
        <v>3614</v>
      </c>
      <c r="H3616">
        <f t="shared" ca="1" si="116"/>
        <v>-1.5177711434059349E-2</v>
      </c>
    </row>
    <row r="3617" spans="2:8" x14ac:dyDescent="0.3">
      <c r="B3617" s="113">
        <v>43467</v>
      </c>
      <c r="C3617">
        <v>280.60000000000002</v>
      </c>
      <c r="D3617">
        <f t="shared" si="115"/>
        <v>0.26630263098515283</v>
      </c>
      <c r="E3617">
        <v>-7.4283692960734555E-3</v>
      </c>
      <c r="G3617">
        <v>3615</v>
      </c>
      <c r="H3617">
        <f t="shared" ca="1" si="116"/>
        <v>1.6021685300695605E-3</v>
      </c>
    </row>
    <row r="3618" spans="2:8" x14ac:dyDescent="0.3">
      <c r="B3618" s="113">
        <v>42319</v>
      </c>
      <c r="C3618">
        <v>221.59</v>
      </c>
      <c r="D3618">
        <f t="shared" si="115"/>
        <v>6.9195854181558261</v>
      </c>
      <c r="E3618">
        <v>-7.4356103023516086E-3</v>
      </c>
      <c r="G3618">
        <v>3616</v>
      </c>
      <c r="H3618">
        <f t="shared" ca="1" si="116"/>
        <v>-6.6865682095072427E-3</v>
      </c>
    </row>
    <row r="3619" spans="2:8" x14ac:dyDescent="0.3">
      <c r="B3619" s="113">
        <v>38329</v>
      </c>
      <c r="C3619">
        <v>27.98</v>
      </c>
      <c r="D3619">
        <f t="shared" si="115"/>
        <v>-0.44670753411113306</v>
      </c>
      <c r="E3619">
        <v>-7.449450159631105E-3</v>
      </c>
      <c r="G3619">
        <v>3617</v>
      </c>
      <c r="H3619">
        <f t="shared" ca="1" si="116"/>
        <v>-2.5527723039603385E-2</v>
      </c>
    </row>
    <row r="3620" spans="2:8" x14ac:dyDescent="0.3">
      <c r="B3620" s="113">
        <v>39274</v>
      </c>
      <c r="C3620">
        <v>50.57</v>
      </c>
      <c r="D3620">
        <f t="shared" si="115"/>
        <v>-0.7762686369066053</v>
      </c>
      <c r="E3620">
        <v>-7.458292443572179E-3</v>
      </c>
      <c r="G3620">
        <v>3618</v>
      </c>
      <c r="H3620">
        <f t="shared" ca="1" si="116"/>
        <v>1.9053357795524289E-2</v>
      </c>
    </row>
    <row r="3621" spans="2:8" x14ac:dyDescent="0.3">
      <c r="B3621" s="113">
        <v>41744</v>
      </c>
      <c r="C3621">
        <v>226.03</v>
      </c>
      <c r="D3621">
        <f t="shared" si="115"/>
        <v>2.7035883991479599</v>
      </c>
      <c r="E3621">
        <v>-7.4649804593158071E-3</v>
      </c>
      <c r="G3621">
        <v>3619</v>
      </c>
      <c r="H3621">
        <f t="shared" ca="1" si="116"/>
        <v>1.3444904213759687E-3</v>
      </c>
    </row>
    <row r="3622" spans="2:8" x14ac:dyDescent="0.3">
      <c r="B3622" s="113">
        <v>39035</v>
      </c>
      <c r="C3622">
        <v>61.03</v>
      </c>
      <c r="D3622">
        <f t="shared" si="115"/>
        <v>2.0714645193759433</v>
      </c>
      <c r="E3622">
        <v>-7.4808912018214484E-3</v>
      </c>
      <c r="G3622">
        <v>3620</v>
      </c>
      <c r="H3622">
        <f t="shared" ca="1" si="116"/>
        <v>7.9227997199544497E-3</v>
      </c>
    </row>
    <row r="3623" spans="2:8" x14ac:dyDescent="0.3">
      <c r="B3623" s="113">
        <v>38126</v>
      </c>
      <c r="C3623">
        <v>19.87</v>
      </c>
      <c r="D3623">
        <f t="shared" si="115"/>
        <v>-0.66649882510909697</v>
      </c>
      <c r="E3623">
        <v>-7.4925074925074218E-3</v>
      </c>
      <c r="G3623">
        <v>3621</v>
      </c>
      <c r="H3623">
        <f t="shared" ca="1" si="116"/>
        <v>-1.9624094818052287E-2</v>
      </c>
    </row>
    <row r="3624" spans="2:8" x14ac:dyDescent="0.3">
      <c r="B3624" s="113">
        <v>38947</v>
      </c>
      <c r="C3624">
        <v>59.58</v>
      </c>
      <c r="D3624">
        <f t="shared" si="115"/>
        <v>-0.8041098142363966</v>
      </c>
      <c r="E3624">
        <v>-7.4962518740630153E-3</v>
      </c>
      <c r="G3624">
        <v>3622</v>
      </c>
      <c r="H3624">
        <f t="shared" ca="1" si="116"/>
        <v>-9.0006481788180697E-3</v>
      </c>
    </row>
    <row r="3625" spans="2:8" x14ac:dyDescent="0.3">
      <c r="B3625" s="113">
        <v>43580</v>
      </c>
      <c r="C3625">
        <v>304.14999999999998</v>
      </c>
      <c r="D3625">
        <f t="shared" si="115"/>
        <v>0.30800326839547576</v>
      </c>
      <c r="E3625">
        <v>-7.5053026594877189E-3</v>
      </c>
      <c r="G3625">
        <v>3623</v>
      </c>
      <c r="H3625">
        <f t="shared" ca="1" si="116"/>
        <v>7.071709040164781E-3</v>
      </c>
    </row>
    <row r="3626" spans="2:8" x14ac:dyDescent="0.3">
      <c r="B3626" s="113">
        <v>41751</v>
      </c>
      <c r="C3626">
        <v>232.53</v>
      </c>
      <c r="D3626">
        <f t="shared" si="115"/>
        <v>0.12927978242921667</v>
      </c>
      <c r="E3626">
        <v>-7.5120577062614321E-3</v>
      </c>
      <c r="G3626">
        <v>3624</v>
      </c>
      <c r="H3626">
        <f t="shared" ca="1" si="116"/>
        <v>-1.3835175680827519E-2</v>
      </c>
    </row>
    <row r="3627" spans="2:8" x14ac:dyDescent="0.3">
      <c r="B3627" s="113">
        <v>42194</v>
      </c>
      <c r="C3627">
        <v>205.91</v>
      </c>
      <c r="D3627">
        <f t="shared" si="115"/>
        <v>1.4796483622350671</v>
      </c>
      <c r="E3627">
        <v>-7.5191593965392694E-3</v>
      </c>
      <c r="G3627">
        <v>3625</v>
      </c>
      <c r="H3627">
        <f t="shared" ca="1" si="116"/>
        <v>-2.2840139567863151E-2</v>
      </c>
    </row>
    <row r="3628" spans="2:8" x14ac:dyDescent="0.3">
      <c r="B3628" s="113">
        <v>40103</v>
      </c>
      <c r="C3628">
        <v>83.04</v>
      </c>
      <c r="D3628">
        <f t="shared" si="115"/>
        <v>0.36961900049480462</v>
      </c>
      <c r="E3628">
        <v>-7.5295804948009495E-3</v>
      </c>
      <c r="G3628">
        <v>3626</v>
      </c>
      <c r="H3628">
        <f t="shared" ca="1" si="116"/>
        <v>-2.5446409534676889E-2</v>
      </c>
    </row>
    <row r="3629" spans="2:8" x14ac:dyDescent="0.3">
      <c r="B3629" s="113">
        <v>39380</v>
      </c>
      <c r="C3629">
        <v>60.63</v>
      </c>
      <c r="D3629">
        <f t="shared" si="115"/>
        <v>-0.61305762971472333</v>
      </c>
      <c r="E3629">
        <v>-7.5298739564576989E-3</v>
      </c>
      <c r="G3629">
        <v>3627</v>
      </c>
      <c r="H3629">
        <f t="shared" ca="1" si="116"/>
        <v>3.3050633622945407E-3</v>
      </c>
    </row>
    <row r="3630" spans="2:8" x14ac:dyDescent="0.3">
      <c r="B3630" s="113">
        <v>41036</v>
      </c>
      <c r="C3630">
        <v>156.69</v>
      </c>
      <c r="D3630">
        <f t="shared" si="115"/>
        <v>0.77612786216277485</v>
      </c>
      <c r="E3630">
        <v>-7.5373701545477434E-3</v>
      </c>
      <c r="G3630">
        <v>3628</v>
      </c>
      <c r="H3630">
        <f t="shared" ca="1" si="116"/>
        <v>1.8323994092885954E-3</v>
      </c>
    </row>
    <row r="3631" spans="2:8" x14ac:dyDescent="0.3">
      <c r="B3631" s="113">
        <v>40315</v>
      </c>
      <c r="C3631">
        <v>88.22</v>
      </c>
      <c r="D3631">
        <f t="shared" si="115"/>
        <v>-0.60348779720436874</v>
      </c>
      <c r="E3631">
        <v>-7.5374057824277385E-3</v>
      </c>
      <c r="G3631">
        <v>3629</v>
      </c>
      <c r="H3631">
        <f t="shared" ca="1" si="116"/>
        <v>-5.5927570777299209E-3</v>
      </c>
    </row>
    <row r="3632" spans="2:8" x14ac:dyDescent="0.3">
      <c r="B3632" s="113">
        <v>41708</v>
      </c>
      <c r="C3632">
        <v>222.49</v>
      </c>
      <c r="D3632">
        <f t="shared" si="115"/>
        <v>9.0637254901960826E-2</v>
      </c>
      <c r="E3632">
        <v>-7.538585065572298E-3</v>
      </c>
      <c r="G3632">
        <v>3630</v>
      </c>
      <c r="H3632">
        <f t="shared" ca="1" si="116"/>
        <v>6.6075811865260129E-3</v>
      </c>
    </row>
    <row r="3633" spans="2:8" x14ac:dyDescent="0.3">
      <c r="B3633" s="113">
        <v>44327</v>
      </c>
      <c r="C3633">
        <v>204</v>
      </c>
      <c r="D3633">
        <f t="shared" si="115"/>
        <v>1.9745063734066426E-2</v>
      </c>
      <c r="E3633">
        <v>-7.5407443444417965E-3</v>
      </c>
      <c r="G3633">
        <v>3631</v>
      </c>
      <c r="H3633">
        <f t="shared" ca="1" si="116"/>
        <v>3.016762218717008E-2</v>
      </c>
    </row>
    <row r="3634" spans="2:8" x14ac:dyDescent="0.3">
      <c r="B3634" s="113">
        <v>41313</v>
      </c>
      <c r="C3634">
        <v>200.05</v>
      </c>
      <c r="D3634">
        <f t="shared" si="115"/>
        <v>12.825155494125777</v>
      </c>
      <c r="E3634">
        <v>-7.5408046832365029E-3</v>
      </c>
      <c r="G3634">
        <v>3632</v>
      </c>
      <c r="H3634">
        <f t="shared" ca="1" si="116"/>
        <v>1.8074524788957051E-2</v>
      </c>
    </row>
    <row r="3635" spans="2:8" x14ac:dyDescent="0.3">
      <c r="B3635" s="113">
        <v>37643</v>
      </c>
      <c r="C3635">
        <v>14.47</v>
      </c>
      <c r="D3635">
        <f t="shared" si="115"/>
        <v>-0.79975089952947687</v>
      </c>
      <c r="E3635">
        <v>-7.5445816186556535E-3</v>
      </c>
      <c r="G3635">
        <v>3633</v>
      </c>
      <c r="H3635">
        <f t="shared" ca="1" si="116"/>
        <v>-1.3905658788213669E-2</v>
      </c>
    </row>
    <row r="3636" spans="2:8" x14ac:dyDescent="0.3">
      <c r="B3636" s="113">
        <v>40016</v>
      </c>
      <c r="C3636">
        <v>72.260000000000005</v>
      </c>
      <c r="D3636">
        <f t="shared" si="115"/>
        <v>1.8973536487570171</v>
      </c>
      <c r="E3636">
        <v>-7.5539074302979963E-3</v>
      </c>
      <c r="G3636">
        <v>3634</v>
      </c>
      <c r="H3636">
        <f t="shared" ca="1" si="116"/>
        <v>-1.7602640542413355E-3</v>
      </c>
    </row>
    <row r="3637" spans="2:8" x14ac:dyDescent="0.3">
      <c r="B3637" s="113">
        <v>38261</v>
      </c>
      <c r="C3637">
        <v>24.94</v>
      </c>
      <c r="D3637">
        <f t="shared" si="115"/>
        <v>-0.89011279520620379</v>
      </c>
      <c r="E3637">
        <v>-7.5606844409071916E-3</v>
      </c>
      <c r="G3637">
        <v>3635</v>
      </c>
      <c r="H3637">
        <f t="shared" ca="1" si="116"/>
        <v>3.1952181197466283E-2</v>
      </c>
    </row>
    <row r="3638" spans="2:8" x14ac:dyDescent="0.3">
      <c r="B3638" s="113">
        <v>41835</v>
      </c>
      <c r="C3638">
        <v>226.96</v>
      </c>
      <c r="D3638">
        <f t="shared" si="115"/>
        <v>-0.13423612435628446</v>
      </c>
      <c r="E3638">
        <v>-7.5648257466438837E-3</v>
      </c>
      <c r="G3638">
        <v>3636</v>
      </c>
      <c r="H3638">
        <f t="shared" ca="1" si="116"/>
        <v>7.2672781979313417E-3</v>
      </c>
    </row>
    <row r="3639" spans="2:8" x14ac:dyDescent="0.3">
      <c r="B3639" s="113">
        <v>43096</v>
      </c>
      <c r="C3639">
        <v>262.14999999999998</v>
      </c>
      <c r="D3639">
        <f t="shared" si="115"/>
        <v>1.0006868656032968</v>
      </c>
      <c r="E3639">
        <v>-7.571455612341473E-3</v>
      </c>
      <c r="G3639">
        <v>3637</v>
      </c>
      <c r="H3639">
        <f t="shared" ca="1" si="116"/>
        <v>1.4485554607320622E-2</v>
      </c>
    </row>
    <row r="3640" spans="2:8" x14ac:dyDescent="0.3">
      <c r="B3640" s="113">
        <v>40795</v>
      </c>
      <c r="C3640">
        <v>131.03</v>
      </c>
      <c r="D3640">
        <f t="shared" si="115"/>
        <v>-0.38237096394060804</v>
      </c>
      <c r="E3640">
        <v>-7.5740362038930545E-3</v>
      </c>
      <c r="G3640">
        <v>3638</v>
      </c>
      <c r="H3640">
        <f t="shared" ca="1" si="116"/>
        <v>2.6074693901905505E-2</v>
      </c>
    </row>
    <row r="3641" spans="2:8" x14ac:dyDescent="0.3">
      <c r="B3641" s="113">
        <v>42458</v>
      </c>
      <c r="C3641">
        <v>212.15</v>
      </c>
      <c r="D3641">
        <f t="shared" si="115"/>
        <v>0.51882875143184415</v>
      </c>
      <c r="E3641">
        <v>-7.5782382934930278E-3</v>
      </c>
      <c r="G3641">
        <v>3639</v>
      </c>
      <c r="H3641">
        <f t="shared" ca="1" si="116"/>
        <v>-2.2209718950080306E-2</v>
      </c>
    </row>
    <row r="3642" spans="2:8" x14ac:dyDescent="0.3">
      <c r="B3642" s="113">
        <v>40967</v>
      </c>
      <c r="C3642">
        <v>139.68</v>
      </c>
      <c r="D3642">
        <f t="shared" si="115"/>
        <v>4.0959503830718722</v>
      </c>
      <c r="E3642">
        <v>-7.6021314387210879E-3</v>
      </c>
      <c r="G3642">
        <v>3640</v>
      </c>
      <c r="H3642">
        <f t="shared" ca="1" si="116"/>
        <v>2.2157303773542258E-2</v>
      </c>
    </row>
    <row r="3643" spans="2:8" x14ac:dyDescent="0.3">
      <c r="B3643" s="113">
        <v>38371</v>
      </c>
      <c r="C3643">
        <v>27.41</v>
      </c>
      <c r="D3643">
        <f t="shared" si="115"/>
        <v>-0.902159557379975</v>
      </c>
      <c r="E3643">
        <v>-7.6031860970311674E-3</v>
      </c>
      <c r="G3643">
        <v>3641</v>
      </c>
      <c r="H3643">
        <f t="shared" ca="1" si="116"/>
        <v>-2.0902146063779305E-2</v>
      </c>
    </row>
    <row r="3644" spans="2:8" x14ac:dyDescent="0.3">
      <c r="B3644" s="113">
        <v>43230</v>
      </c>
      <c r="C3644">
        <v>280.14999999999998</v>
      </c>
      <c r="D3644">
        <f t="shared" si="115"/>
        <v>7.9368137160469907E-2</v>
      </c>
      <c r="E3644">
        <v>-7.6160113354588523E-3</v>
      </c>
      <c r="G3644">
        <v>3642</v>
      </c>
      <c r="H3644">
        <f t="shared" ca="1" si="116"/>
        <v>1.3290430666174852E-3</v>
      </c>
    </row>
    <row r="3645" spans="2:8" x14ac:dyDescent="0.3">
      <c r="B3645" s="113">
        <v>44671</v>
      </c>
      <c r="C3645">
        <v>259.55</v>
      </c>
      <c r="D3645">
        <f t="shared" si="115"/>
        <v>1.0222049084534477</v>
      </c>
      <c r="E3645">
        <v>-7.6467214681705219E-3</v>
      </c>
      <c r="G3645">
        <v>3643</v>
      </c>
      <c r="H3645">
        <f t="shared" ca="1" si="116"/>
        <v>-1.8827053197322422E-2</v>
      </c>
    </row>
    <row r="3646" spans="2:8" x14ac:dyDescent="0.3">
      <c r="B3646" s="113">
        <v>40721</v>
      </c>
      <c r="C3646">
        <v>128.35</v>
      </c>
      <c r="D3646">
        <f t="shared" si="115"/>
        <v>1.7519296740994852</v>
      </c>
      <c r="E3646">
        <v>-7.6542446265657109E-3</v>
      </c>
      <c r="G3646">
        <v>3644</v>
      </c>
      <c r="H3646">
        <f t="shared" ca="1" si="116"/>
        <v>4.8921946533889687E-3</v>
      </c>
    </row>
    <row r="3647" spans="2:8" x14ac:dyDescent="0.3">
      <c r="B3647" s="113">
        <v>38623</v>
      </c>
      <c r="C3647">
        <v>46.64</v>
      </c>
      <c r="D3647">
        <f t="shared" si="115"/>
        <v>2.012919896640827</v>
      </c>
      <c r="E3647">
        <v>-7.6595744680850947E-3</v>
      </c>
      <c r="G3647">
        <v>3645</v>
      </c>
      <c r="H3647">
        <f t="shared" ca="1" si="116"/>
        <v>4.4890411193286246E-2</v>
      </c>
    </row>
    <row r="3648" spans="2:8" x14ac:dyDescent="0.3">
      <c r="B3648" s="113">
        <v>37783</v>
      </c>
      <c r="C3648">
        <v>15.48</v>
      </c>
      <c r="D3648">
        <f t="shared" si="115"/>
        <v>-0.74987881725642258</v>
      </c>
      <c r="E3648">
        <v>-7.6923076923076424E-3</v>
      </c>
      <c r="G3648">
        <v>3646</v>
      </c>
      <c r="H3648">
        <f t="shared" ca="1" si="116"/>
        <v>-3.9186816354875057E-3</v>
      </c>
    </row>
    <row r="3649" spans="2:8" x14ac:dyDescent="0.3">
      <c r="B3649" s="113">
        <v>39426</v>
      </c>
      <c r="C3649">
        <v>61.89</v>
      </c>
      <c r="D3649">
        <f t="shared" si="115"/>
        <v>-0.74707805476093181</v>
      </c>
      <c r="E3649">
        <v>-7.696007696007646E-3</v>
      </c>
      <c r="G3649">
        <v>3647</v>
      </c>
      <c r="H3649">
        <f t="shared" ca="1" si="116"/>
        <v>4.6916671609356929E-4</v>
      </c>
    </row>
    <row r="3650" spans="2:8" x14ac:dyDescent="0.3">
      <c r="B3650" s="113">
        <v>44490</v>
      </c>
      <c r="C3650">
        <v>244.7</v>
      </c>
      <c r="D3650">
        <f t="shared" si="115"/>
        <v>2.3592403580690983E-2</v>
      </c>
      <c r="E3650">
        <v>-7.7047850770478737E-3</v>
      </c>
      <c r="G3650">
        <v>3648</v>
      </c>
      <c r="H3650">
        <f t="shared" ca="1" si="116"/>
        <v>-3.3772873423265883E-2</v>
      </c>
    </row>
    <row r="3651" spans="2:8" x14ac:dyDescent="0.3">
      <c r="B3651" s="113">
        <v>41970</v>
      </c>
      <c r="C3651">
        <v>239.06</v>
      </c>
      <c r="D3651">
        <f t="shared" ref="D3651:D3714" si="117">(C3651-C3652)/C3652</f>
        <v>0.75688983611376504</v>
      </c>
      <c r="E3651">
        <v>-7.7204051137306383E-3</v>
      </c>
      <c r="G3651">
        <v>3649</v>
      </c>
      <c r="H3651">
        <f t="shared" ca="1" si="116"/>
        <v>-2.1215441500863703E-2</v>
      </c>
    </row>
    <row r="3652" spans="2:8" x14ac:dyDescent="0.3">
      <c r="B3652" s="113">
        <v>40970</v>
      </c>
      <c r="C3652">
        <v>136.07</v>
      </c>
      <c r="D3652">
        <f t="shared" si="117"/>
        <v>-0.48023224722105512</v>
      </c>
      <c r="E3652">
        <v>-7.729891343980182E-3</v>
      </c>
      <c r="G3652">
        <v>3650</v>
      </c>
      <c r="H3652">
        <f t="shared" ref="H3652:H3715" ca="1" si="118">_xlfn.NORM.INV(RAND(),$L$4,$L$6)</f>
        <v>-3.5126691306037391E-2</v>
      </c>
    </row>
    <row r="3653" spans="2:8" x14ac:dyDescent="0.3">
      <c r="B3653" s="113">
        <v>44727</v>
      </c>
      <c r="C3653">
        <v>261.79000000000002</v>
      </c>
      <c r="D3653">
        <f t="shared" si="117"/>
        <v>-3.6536631779257073E-3</v>
      </c>
      <c r="E3653">
        <v>-7.7322518288290331E-3</v>
      </c>
      <c r="G3653">
        <v>3651</v>
      </c>
      <c r="H3653">
        <f t="shared" ca="1" si="118"/>
        <v>1.0261769064996224E-2</v>
      </c>
    </row>
    <row r="3654" spans="2:8" x14ac:dyDescent="0.3">
      <c r="B3654" s="113">
        <v>43278</v>
      </c>
      <c r="C3654">
        <v>262.75</v>
      </c>
      <c r="D3654">
        <f t="shared" si="117"/>
        <v>-0.1085665818490246</v>
      </c>
      <c r="E3654">
        <v>-7.7416918429003443E-3</v>
      </c>
      <c r="G3654">
        <v>3652</v>
      </c>
      <c r="H3654">
        <f t="shared" ca="1" si="118"/>
        <v>-2.8212509123524958E-2</v>
      </c>
    </row>
    <row r="3655" spans="2:8" x14ac:dyDescent="0.3">
      <c r="B3655" s="113">
        <v>43601</v>
      </c>
      <c r="C3655">
        <v>294.75</v>
      </c>
      <c r="D3655">
        <f t="shared" si="117"/>
        <v>0.15114235500878728</v>
      </c>
      <c r="E3655">
        <v>-7.7428042417101882E-3</v>
      </c>
      <c r="G3655">
        <v>3653</v>
      </c>
      <c r="H3655">
        <f t="shared" ca="1" si="118"/>
        <v>-3.8597511167702769E-2</v>
      </c>
    </row>
    <row r="3656" spans="2:8" x14ac:dyDescent="0.3">
      <c r="B3656" s="113">
        <v>43069</v>
      </c>
      <c r="C3656">
        <v>256.05</v>
      </c>
      <c r="D3656">
        <f t="shared" si="117"/>
        <v>0.1796821008984105</v>
      </c>
      <c r="E3656">
        <v>-7.7504359620228632E-3</v>
      </c>
      <c r="G3656">
        <v>3654</v>
      </c>
      <c r="H3656">
        <f t="shared" ca="1" si="118"/>
        <v>2.00925055353353E-2</v>
      </c>
    </row>
    <row r="3657" spans="2:8" x14ac:dyDescent="0.3">
      <c r="B3657" s="113">
        <v>44582</v>
      </c>
      <c r="C3657">
        <v>217.05</v>
      </c>
      <c r="D3657">
        <f t="shared" si="117"/>
        <v>-0.25389295658451072</v>
      </c>
      <c r="E3657">
        <v>-7.7714285714285194E-3</v>
      </c>
      <c r="G3657">
        <v>3655</v>
      </c>
      <c r="H3657">
        <f t="shared" ca="1" si="118"/>
        <v>-2.8186234425560319E-3</v>
      </c>
    </row>
    <row r="3658" spans="2:8" x14ac:dyDescent="0.3">
      <c r="B3658" s="113">
        <v>44754</v>
      </c>
      <c r="C3658">
        <v>290.91000000000003</v>
      </c>
      <c r="D3658">
        <f t="shared" si="117"/>
        <v>19.734853884533148</v>
      </c>
      <c r="E3658">
        <v>-7.7765271666836271E-3</v>
      </c>
      <c r="G3658">
        <v>3656</v>
      </c>
      <c r="H3658">
        <f t="shared" ca="1" si="118"/>
        <v>-4.4932828332387986E-2</v>
      </c>
    </row>
    <row r="3659" spans="2:8" x14ac:dyDescent="0.3">
      <c r="B3659" s="113">
        <v>37686</v>
      </c>
      <c r="C3659">
        <v>14.03</v>
      </c>
      <c r="D3659">
        <f t="shared" si="117"/>
        <v>-0.94993755575379135</v>
      </c>
      <c r="E3659">
        <v>-7.7793493635078641E-3</v>
      </c>
      <c r="G3659">
        <v>3657</v>
      </c>
      <c r="H3659">
        <f t="shared" ca="1" si="118"/>
        <v>-2.9587217107272818E-2</v>
      </c>
    </row>
    <row r="3660" spans="2:8" x14ac:dyDescent="0.3">
      <c r="B3660" s="113">
        <v>42976</v>
      </c>
      <c r="C3660">
        <v>280.25</v>
      </c>
      <c r="D3660">
        <f t="shared" si="117"/>
        <v>0.28137716611037444</v>
      </c>
      <c r="E3660">
        <v>-7.7889892016285668E-3</v>
      </c>
      <c r="G3660">
        <v>3658</v>
      </c>
      <c r="H3660">
        <f t="shared" ca="1" si="118"/>
        <v>-2.7204652057649197E-2</v>
      </c>
    </row>
    <row r="3661" spans="2:8" x14ac:dyDescent="0.3">
      <c r="B3661" s="113">
        <v>41418</v>
      </c>
      <c r="C3661">
        <v>218.71</v>
      </c>
      <c r="D3661">
        <f t="shared" si="117"/>
        <v>0.14718069761342775</v>
      </c>
      <c r="E3661">
        <v>-7.8029306355759144E-3</v>
      </c>
      <c r="G3661">
        <v>3659</v>
      </c>
      <c r="H3661">
        <f t="shared" ca="1" si="118"/>
        <v>1.660383646801758E-2</v>
      </c>
    </row>
    <row r="3662" spans="2:8" x14ac:dyDescent="0.3">
      <c r="B3662" s="113">
        <v>43979</v>
      </c>
      <c r="C3662">
        <v>190.65</v>
      </c>
      <c r="D3662">
        <f t="shared" si="117"/>
        <v>-0.21039552702422856</v>
      </c>
      <c r="E3662">
        <v>-7.8064012490241998E-3</v>
      </c>
      <c r="G3662">
        <v>3660</v>
      </c>
      <c r="H3662">
        <f t="shared" ca="1" si="118"/>
        <v>-4.5169493747301229E-3</v>
      </c>
    </row>
    <row r="3663" spans="2:8" x14ac:dyDescent="0.3">
      <c r="B3663" s="113">
        <v>43808</v>
      </c>
      <c r="C3663">
        <v>241.45</v>
      </c>
      <c r="D3663">
        <f t="shared" si="117"/>
        <v>6.1505319616635808E-2</v>
      </c>
      <c r="E3663">
        <v>-7.8076844051777512E-3</v>
      </c>
      <c r="G3663">
        <v>3661</v>
      </c>
      <c r="H3663">
        <f t="shared" ca="1" si="118"/>
        <v>1.6163294147455168E-2</v>
      </c>
    </row>
    <row r="3664" spans="2:8" x14ac:dyDescent="0.3">
      <c r="B3664" s="113">
        <v>41782</v>
      </c>
      <c r="C3664">
        <v>227.46</v>
      </c>
      <c r="D3664">
        <f t="shared" si="117"/>
        <v>8.4381742738589214</v>
      </c>
      <c r="E3664">
        <v>-7.8080697928025822E-3</v>
      </c>
      <c r="G3664">
        <v>3662</v>
      </c>
      <c r="H3664">
        <f t="shared" ca="1" si="118"/>
        <v>-1.0842636370576642E-2</v>
      </c>
    </row>
    <row r="3665" spans="2:8" x14ac:dyDescent="0.3">
      <c r="B3665" s="113">
        <v>38280</v>
      </c>
      <c r="C3665">
        <v>24.1</v>
      </c>
      <c r="D3665">
        <f t="shared" si="117"/>
        <v>-0.90941552339785758</v>
      </c>
      <c r="E3665">
        <v>-7.8221490325235798E-3</v>
      </c>
      <c r="G3665">
        <v>3663</v>
      </c>
      <c r="H3665">
        <f t="shared" ca="1" si="118"/>
        <v>-1.1891018569259204E-2</v>
      </c>
    </row>
    <row r="3666" spans="2:8" x14ac:dyDescent="0.3">
      <c r="B3666" s="113">
        <v>42786</v>
      </c>
      <c r="C3666">
        <v>266.05</v>
      </c>
      <c r="D3666">
        <f t="shared" si="117"/>
        <v>-6.6491228070175393E-2</v>
      </c>
      <c r="E3666">
        <v>-7.8314376281930498E-3</v>
      </c>
      <c r="G3666">
        <v>3664</v>
      </c>
      <c r="H3666">
        <f t="shared" ca="1" si="118"/>
        <v>-2.1184073585820775E-2</v>
      </c>
    </row>
    <row r="3667" spans="2:8" x14ac:dyDescent="0.3">
      <c r="B3667" s="113">
        <v>43223</v>
      </c>
      <c r="C3667">
        <v>285</v>
      </c>
      <c r="D3667">
        <f t="shared" si="117"/>
        <v>5.0832443970117396</v>
      </c>
      <c r="E3667">
        <v>-7.832898172323759E-3</v>
      </c>
      <c r="G3667">
        <v>3665</v>
      </c>
      <c r="H3667">
        <f t="shared" ca="1" si="118"/>
        <v>-3.3811510288010486E-3</v>
      </c>
    </row>
    <row r="3668" spans="2:8" x14ac:dyDescent="0.3">
      <c r="B3668" s="113">
        <v>38735</v>
      </c>
      <c r="C3668">
        <v>46.85</v>
      </c>
      <c r="D3668">
        <f t="shared" si="117"/>
        <v>-0.82769400514895186</v>
      </c>
      <c r="E3668">
        <v>-7.8356628547225204E-3</v>
      </c>
      <c r="G3668">
        <v>3666</v>
      </c>
      <c r="H3668">
        <f t="shared" ca="1" si="118"/>
        <v>5.6693089959913316E-3</v>
      </c>
    </row>
    <row r="3669" spans="2:8" x14ac:dyDescent="0.3">
      <c r="B3669" s="113">
        <v>43250</v>
      </c>
      <c r="C3669">
        <v>271.89999999999998</v>
      </c>
      <c r="D3669">
        <f t="shared" si="117"/>
        <v>0.20362992474546246</v>
      </c>
      <c r="E3669">
        <v>-7.8452837073527976E-3</v>
      </c>
      <c r="G3669">
        <v>3667</v>
      </c>
      <c r="H3669">
        <f t="shared" ca="1" si="118"/>
        <v>-2.4742195228307524E-2</v>
      </c>
    </row>
    <row r="3670" spans="2:8" x14ac:dyDescent="0.3">
      <c r="B3670" s="113">
        <v>42289</v>
      </c>
      <c r="C3670">
        <v>225.9</v>
      </c>
      <c r="D3670">
        <f t="shared" si="117"/>
        <v>3.5942647956070779</v>
      </c>
      <c r="E3670">
        <v>-7.8615661645219034E-3</v>
      </c>
      <c r="G3670">
        <v>3668</v>
      </c>
      <c r="H3670">
        <f t="shared" ca="1" si="118"/>
        <v>-1.9094765203428208E-2</v>
      </c>
    </row>
    <row r="3671" spans="2:8" x14ac:dyDescent="0.3">
      <c r="B3671" s="113">
        <v>39176</v>
      </c>
      <c r="C3671">
        <v>49.17</v>
      </c>
      <c r="D3671">
        <f t="shared" si="117"/>
        <v>-0.78189318665720364</v>
      </c>
      <c r="E3671">
        <v>-7.8692493946731345E-3</v>
      </c>
      <c r="G3671">
        <v>3669</v>
      </c>
      <c r="H3671">
        <f t="shared" ca="1" si="118"/>
        <v>-3.6830659534032514E-2</v>
      </c>
    </row>
    <row r="3672" spans="2:8" x14ac:dyDescent="0.3">
      <c r="B3672" s="113">
        <v>41572</v>
      </c>
      <c r="C3672">
        <v>225.44</v>
      </c>
      <c r="D3672">
        <f t="shared" si="117"/>
        <v>1.705314445547235E-2</v>
      </c>
      <c r="E3672">
        <v>-7.877480966421652E-3</v>
      </c>
      <c r="G3672">
        <v>3670</v>
      </c>
      <c r="H3672">
        <f t="shared" ca="1" si="118"/>
        <v>-4.6824878510803358E-2</v>
      </c>
    </row>
    <row r="3673" spans="2:8" x14ac:dyDescent="0.3">
      <c r="B3673" s="113">
        <v>41436</v>
      </c>
      <c r="C3673">
        <v>221.66</v>
      </c>
      <c r="D3673">
        <f t="shared" si="117"/>
        <v>0.12901747058523905</v>
      </c>
      <c r="E3673">
        <v>-7.8775400590815094E-3</v>
      </c>
      <c r="G3673">
        <v>3671</v>
      </c>
      <c r="H3673">
        <f t="shared" ca="1" si="118"/>
        <v>2.7075150086368065E-2</v>
      </c>
    </row>
    <row r="3674" spans="2:8" x14ac:dyDescent="0.3">
      <c r="B3674" s="113">
        <v>41246</v>
      </c>
      <c r="C3674">
        <v>196.33</v>
      </c>
      <c r="D3674">
        <f t="shared" si="117"/>
        <v>2.3949507176206124</v>
      </c>
      <c r="E3674">
        <v>-7.8831674162412151E-3</v>
      </c>
      <c r="G3674">
        <v>3672</v>
      </c>
      <c r="H3674">
        <f t="shared" ca="1" si="118"/>
        <v>9.2840136510570527E-3</v>
      </c>
    </row>
    <row r="3675" spans="2:8" x14ac:dyDescent="0.3">
      <c r="B3675" s="113">
        <v>39134</v>
      </c>
      <c r="C3675">
        <v>57.83</v>
      </c>
      <c r="D3675">
        <f t="shared" si="117"/>
        <v>-0.31996707431796806</v>
      </c>
      <c r="E3675">
        <v>-7.8915765997598364E-3</v>
      </c>
      <c r="G3675">
        <v>3673</v>
      </c>
      <c r="H3675">
        <f t="shared" ca="1" si="118"/>
        <v>-7.4506557018724912E-3</v>
      </c>
    </row>
    <row r="3676" spans="2:8" x14ac:dyDescent="0.3">
      <c r="B3676" s="113">
        <v>40156</v>
      </c>
      <c r="C3676">
        <v>85.04</v>
      </c>
      <c r="D3676">
        <f t="shared" si="117"/>
        <v>-0.63412640364841022</v>
      </c>
      <c r="E3676">
        <v>-7.9328044797012665E-3</v>
      </c>
      <c r="G3676">
        <v>3674</v>
      </c>
      <c r="H3676">
        <f t="shared" ca="1" si="118"/>
        <v>3.2488600951548895E-2</v>
      </c>
    </row>
    <row r="3677" spans="2:8" x14ac:dyDescent="0.3">
      <c r="B3677" s="113">
        <v>41467</v>
      </c>
      <c r="C3677">
        <v>232.43</v>
      </c>
      <c r="D3677">
        <f t="shared" si="117"/>
        <v>0.12084679558277475</v>
      </c>
      <c r="E3677">
        <v>-7.9388791668444456E-3</v>
      </c>
      <c r="G3677">
        <v>3675</v>
      </c>
      <c r="H3677">
        <f t="shared" ca="1" si="118"/>
        <v>6.8585761140100799E-3</v>
      </c>
    </row>
    <row r="3678" spans="2:8" x14ac:dyDescent="0.3">
      <c r="B3678" s="113">
        <v>41624</v>
      </c>
      <c r="C3678">
        <v>207.37</v>
      </c>
      <c r="D3678">
        <f t="shared" si="117"/>
        <v>8.232858414959928</v>
      </c>
      <c r="E3678">
        <v>-7.941443811893014E-3</v>
      </c>
      <c r="G3678">
        <v>3676</v>
      </c>
      <c r="H3678">
        <f t="shared" ca="1" si="118"/>
        <v>3.9678423564830515E-3</v>
      </c>
    </row>
    <row r="3679" spans="2:8" x14ac:dyDescent="0.3">
      <c r="B3679" s="113">
        <v>38187</v>
      </c>
      <c r="C3679">
        <v>22.46</v>
      </c>
      <c r="D3679">
        <f t="shared" si="117"/>
        <v>-0.89527672868000185</v>
      </c>
      <c r="E3679">
        <v>-7.9505300353356761E-3</v>
      </c>
      <c r="G3679">
        <v>3677</v>
      </c>
      <c r="H3679">
        <f t="shared" ca="1" si="118"/>
        <v>-9.575230195035889E-3</v>
      </c>
    </row>
    <row r="3680" spans="2:8" x14ac:dyDescent="0.3">
      <c r="B3680" s="113">
        <v>41597</v>
      </c>
      <c r="C3680">
        <v>214.47</v>
      </c>
      <c r="D3680">
        <f t="shared" si="117"/>
        <v>-0.28318850267379675</v>
      </c>
      <c r="E3680">
        <v>-7.955964660715107E-3</v>
      </c>
      <c r="G3680">
        <v>3678</v>
      </c>
      <c r="H3680">
        <f t="shared" ca="1" si="118"/>
        <v>1.4908427912309353E-2</v>
      </c>
    </row>
    <row r="3681" spans="2:8" x14ac:dyDescent="0.3">
      <c r="B3681" s="113">
        <v>43314</v>
      </c>
      <c r="C3681">
        <v>299.2</v>
      </c>
      <c r="D3681">
        <f t="shared" si="117"/>
        <v>0.20136518771331047</v>
      </c>
      <c r="E3681">
        <v>-7.9575596816977255E-3</v>
      </c>
      <c r="G3681">
        <v>3679</v>
      </c>
      <c r="H3681">
        <f t="shared" ca="1" si="118"/>
        <v>7.6548217201058075E-3</v>
      </c>
    </row>
    <row r="3682" spans="2:8" x14ac:dyDescent="0.3">
      <c r="B3682" s="113">
        <v>43762</v>
      </c>
      <c r="C3682">
        <v>249.05</v>
      </c>
      <c r="D3682">
        <f t="shared" si="117"/>
        <v>-4.2998770365816161E-2</v>
      </c>
      <c r="E3682">
        <v>-7.9665405297749455E-3</v>
      </c>
      <c r="G3682">
        <v>3680</v>
      </c>
      <c r="H3682">
        <f t="shared" ca="1" si="118"/>
        <v>-1.7442639301563239E-2</v>
      </c>
    </row>
    <row r="3683" spans="2:8" x14ac:dyDescent="0.3">
      <c r="B3683" s="113">
        <v>41988</v>
      </c>
      <c r="C3683">
        <v>260.24</v>
      </c>
      <c r="D3683">
        <f t="shared" si="117"/>
        <v>0.35119418483904474</v>
      </c>
      <c r="E3683">
        <v>-7.9670643845537112E-3</v>
      </c>
      <c r="G3683">
        <v>3681</v>
      </c>
      <c r="H3683">
        <f t="shared" ca="1" si="118"/>
        <v>2.4003816321786439E-2</v>
      </c>
    </row>
    <row r="3684" spans="2:8" x14ac:dyDescent="0.3">
      <c r="B3684" s="113">
        <v>44046</v>
      </c>
      <c r="C3684">
        <v>192.6</v>
      </c>
      <c r="D3684">
        <f t="shared" si="117"/>
        <v>0.91756272401433692</v>
      </c>
      <c r="E3684">
        <v>-7.983517898532121E-3</v>
      </c>
      <c r="G3684">
        <v>3682</v>
      </c>
      <c r="H3684">
        <f t="shared" ca="1" si="118"/>
        <v>-1.4995974359271439E-3</v>
      </c>
    </row>
    <row r="3685" spans="2:8" x14ac:dyDescent="0.3">
      <c r="B3685" s="113">
        <v>40360</v>
      </c>
      <c r="C3685">
        <v>100.44</v>
      </c>
      <c r="D3685">
        <f t="shared" si="117"/>
        <v>-0.39928229665071768</v>
      </c>
      <c r="E3685">
        <v>-8.0000000000000227E-3</v>
      </c>
      <c r="G3685">
        <v>3683</v>
      </c>
      <c r="H3685">
        <f t="shared" ca="1" si="118"/>
        <v>1.1133747859594248E-2</v>
      </c>
    </row>
    <row r="3686" spans="2:8" x14ac:dyDescent="0.3">
      <c r="B3686" s="113">
        <v>44131</v>
      </c>
      <c r="C3686">
        <v>167.2</v>
      </c>
      <c r="D3686">
        <f t="shared" si="117"/>
        <v>1.7002583979328163</v>
      </c>
      <c r="E3686">
        <v>-8.0094927321271003E-3</v>
      </c>
      <c r="G3686">
        <v>3684</v>
      </c>
      <c r="H3686">
        <f t="shared" ca="1" si="118"/>
        <v>2.3295863119803945E-2</v>
      </c>
    </row>
    <row r="3687" spans="2:8" x14ac:dyDescent="0.3">
      <c r="B3687" s="113">
        <v>39660</v>
      </c>
      <c r="C3687">
        <v>61.92</v>
      </c>
      <c r="D3687">
        <f t="shared" si="117"/>
        <v>0</v>
      </c>
      <c r="E3687">
        <v>-8.0102531239987177E-3</v>
      </c>
      <c r="G3687">
        <v>3685</v>
      </c>
      <c r="H3687">
        <f t="shared" ca="1" si="118"/>
        <v>8.4035744300157231E-3</v>
      </c>
    </row>
    <row r="3688" spans="2:8" x14ac:dyDescent="0.3">
      <c r="B3688" s="113">
        <v>39058</v>
      </c>
      <c r="C3688">
        <v>61.92</v>
      </c>
      <c r="D3688">
        <f t="shared" si="117"/>
        <v>-0.63987437478190068</v>
      </c>
      <c r="E3688">
        <v>-8.0102531239987177E-3</v>
      </c>
      <c r="G3688">
        <v>3686</v>
      </c>
      <c r="H3688">
        <f t="shared" ca="1" si="118"/>
        <v>-1.6150321575275149E-2</v>
      </c>
    </row>
    <row r="3689" spans="2:8" x14ac:dyDescent="0.3">
      <c r="B3689" s="113">
        <v>41124</v>
      </c>
      <c r="C3689">
        <v>171.94</v>
      </c>
      <c r="D3689">
        <f t="shared" si="117"/>
        <v>-0.26740519812526625</v>
      </c>
      <c r="E3689">
        <v>-8.0193849881729333E-3</v>
      </c>
      <c r="G3689">
        <v>3687</v>
      </c>
      <c r="H3689">
        <f t="shared" ca="1" si="118"/>
        <v>5.1269098767720901E-4</v>
      </c>
    </row>
    <row r="3690" spans="2:8" x14ac:dyDescent="0.3">
      <c r="B3690" s="113">
        <v>44474</v>
      </c>
      <c r="C3690">
        <v>234.7</v>
      </c>
      <c r="D3690">
        <f t="shared" si="117"/>
        <v>-0.15453890489913555</v>
      </c>
      <c r="E3690">
        <v>-8.0304311073542082E-3</v>
      </c>
      <c r="G3690">
        <v>3688</v>
      </c>
      <c r="H3690">
        <f t="shared" ca="1" si="118"/>
        <v>-1.17626538514621E-2</v>
      </c>
    </row>
    <row r="3691" spans="2:8" x14ac:dyDescent="0.3">
      <c r="B3691" s="113">
        <v>42817</v>
      </c>
      <c r="C3691">
        <v>277.60000000000002</v>
      </c>
      <c r="D3691">
        <f t="shared" si="117"/>
        <v>4.6559849198869074E-2</v>
      </c>
      <c r="E3691">
        <v>-8.0400214400571726E-3</v>
      </c>
      <c r="G3691">
        <v>3689</v>
      </c>
      <c r="H3691">
        <f t="shared" ca="1" si="118"/>
        <v>-1.4276202769372651E-2</v>
      </c>
    </row>
    <row r="3692" spans="2:8" x14ac:dyDescent="0.3">
      <c r="B3692" s="113">
        <v>43013</v>
      </c>
      <c r="C3692">
        <v>265.25</v>
      </c>
      <c r="D3692">
        <f t="shared" si="117"/>
        <v>0.26792543021032511</v>
      </c>
      <c r="E3692">
        <v>-8.0403889304412023E-3</v>
      </c>
      <c r="G3692">
        <v>3690</v>
      </c>
      <c r="H3692">
        <f t="shared" ca="1" si="118"/>
        <v>-3.2408027061009048E-3</v>
      </c>
    </row>
    <row r="3693" spans="2:8" x14ac:dyDescent="0.3">
      <c r="B3693" s="113">
        <v>44425</v>
      </c>
      <c r="C3693">
        <v>209.2</v>
      </c>
      <c r="D3693">
        <f t="shared" si="117"/>
        <v>9.6408952187182084</v>
      </c>
      <c r="E3693">
        <v>-8.0606922712186668E-3</v>
      </c>
      <c r="G3693">
        <v>3691</v>
      </c>
      <c r="H3693">
        <f t="shared" ca="1" si="118"/>
        <v>-7.9021443797015305E-3</v>
      </c>
    </row>
    <row r="3694" spans="2:8" x14ac:dyDescent="0.3">
      <c r="B3694" s="113">
        <v>38149</v>
      </c>
      <c r="C3694">
        <v>19.66</v>
      </c>
      <c r="D3694">
        <f t="shared" si="117"/>
        <v>-0.57892482330263439</v>
      </c>
      <c r="E3694">
        <v>-8.0726538849646891E-3</v>
      </c>
      <c r="G3694">
        <v>3692</v>
      </c>
      <c r="H3694">
        <f t="shared" ca="1" si="118"/>
        <v>6.7878947617639829E-4</v>
      </c>
    </row>
    <row r="3695" spans="2:8" x14ac:dyDescent="0.3">
      <c r="B3695" s="113">
        <v>39161</v>
      </c>
      <c r="C3695">
        <v>46.69</v>
      </c>
      <c r="D3695">
        <f t="shared" si="117"/>
        <v>-0.43814681107099879</v>
      </c>
      <c r="E3695">
        <v>-8.0730826428723722E-3</v>
      </c>
      <c r="G3695">
        <v>3693</v>
      </c>
      <c r="H3695">
        <f t="shared" ca="1" si="118"/>
        <v>-6.035588807940832E-3</v>
      </c>
    </row>
    <row r="3696" spans="2:8" x14ac:dyDescent="0.3">
      <c r="B3696" s="113">
        <v>40161</v>
      </c>
      <c r="C3696">
        <v>83.1</v>
      </c>
      <c r="D3696">
        <f t="shared" si="117"/>
        <v>-0.39808778791829647</v>
      </c>
      <c r="E3696">
        <v>-8.116495583671602E-3</v>
      </c>
      <c r="G3696">
        <v>3694</v>
      </c>
      <c r="H3696">
        <f t="shared" ca="1" si="118"/>
        <v>-9.819882288259604E-3</v>
      </c>
    </row>
    <row r="3697" spans="2:8" x14ac:dyDescent="0.3">
      <c r="B3697" s="113">
        <v>40977</v>
      </c>
      <c r="C3697">
        <v>138.06</v>
      </c>
      <c r="D3697">
        <f t="shared" si="117"/>
        <v>8.4367737525632265</v>
      </c>
      <c r="E3697">
        <v>-8.1183993102952479E-3</v>
      </c>
      <c r="G3697">
        <v>3695</v>
      </c>
      <c r="H3697">
        <f t="shared" ca="1" si="118"/>
        <v>5.6062769293857518E-3</v>
      </c>
    </row>
    <row r="3698" spans="2:8" x14ac:dyDescent="0.3">
      <c r="B3698" s="113">
        <v>37614</v>
      </c>
      <c r="C3698">
        <v>14.63</v>
      </c>
      <c r="D3698">
        <f t="shared" si="117"/>
        <v>-0.74995727226115194</v>
      </c>
      <c r="E3698">
        <v>-8.1355932203389294E-3</v>
      </c>
      <c r="G3698">
        <v>3696</v>
      </c>
      <c r="H3698">
        <f t="shared" ca="1" si="118"/>
        <v>2.0576079108003884E-2</v>
      </c>
    </row>
    <row r="3699" spans="2:8" x14ac:dyDescent="0.3">
      <c r="B3699" s="113">
        <v>38867</v>
      </c>
      <c r="C3699">
        <v>58.51</v>
      </c>
      <c r="D3699">
        <f t="shared" si="117"/>
        <v>-0.70883304304553374</v>
      </c>
      <c r="E3699">
        <v>-8.1369723681980668E-3</v>
      </c>
      <c r="G3699">
        <v>3697</v>
      </c>
      <c r="H3699">
        <f t="shared" ca="1" si="118"/>
        <v>1.5605768673440957E-2</v>
      </c>
    </row>
    <row r="3700" spans="2:8" x14ac:dyDescent="0.3">
      <c r="B3700" s="113">
        <v>44319</v>
      </c>
      <c r="C3700">
        <v>200.95</v>
      </c>
      <c r="D3700">
        <f t="shared" si="117"/>
        <v>6.1767857142857139</v>
      </c>
      <c r="E3700">
        <v>-8.1441263573544219E-3</v>
      </c>
      <c r="G3700">
        <v>3698</v>
      </c>
      <c r="H3700">
        <f t="shared" ca="1" si="118"/>
        <v>2.4375049015997161E-2</v>
      </c>
    </row>
    <row r="3701" spans="2:8" x14ac:dyDescent="0.3">
      <c r="B3701" s="113">
        <v>38331</v>
      </c>
      <c r="C3701">
        <v>28</v>
      </c>
      <c r="D3701">
        <f t="shared" si="117"/>
        <v>-0.66130397967823884</v>
      </c>
      <c r="E3701">
        <v>-8.1473609635140075E-3</v>
      </c>
      <c r="G3701">
        <v>3699</v>
      </c>
      <c r="H3701">
        <f t="shared" ca="1" si="118"/>
        <v>3.5603477799845247E-2</v>
      </c>
    </row>
    <row r="3702" spans="2:8" x14ac:dyDescent="0.3">
      <c r="B3702" s="113">
        <v>40163</v>
      </c>
      <c r="C3702">
        <v>82.67</v>
      </c>
      <c r="D3702">
        <f t="shared" si="117"/>
        <v>-2.8212060655930311E-2</v>
      </c>
      <c r="E3702">
        <v>-8.1583683263346442E-3</v>
      </c>
      <c r="G3702">
        <v>3700</v>
      </c>
      <c r="H3702">
        <f t="shared" ca="1" si="118"/>
        <v>1.1590206740101977E-2</v>
      </c>
    </row>
    <row r="3703" spans="2:8" x14ac:dyDescent="0.3">
      <c r="B3703" s="113">
        <v>40136</v>
      </c>
      <c r="C3703">
        <v>85.07</v>
      </c>
      <c r="D3703">
        <f t="shared" si="117"/>
        <v>-0.64075168918918923</v>
      </c>
      <c r="E3703">
        <v>-8.1613617815087195E-3</v>
      </c>
      <c r="G3703">
        <v>3701</v>
      </c>
      <c r="H3703">
        <f t="shared" ca="1" si="118"/>
        <v>-2.979178680075298E-3</v>
      </c>
    </row>
    <row r="3704" spans="2:8" x14ac:dyDescent="0.3">
      <c r="B3704" s="113">
        <v>43825</v>
      </c>
      <c r="C3704">
        <v>236.8</v>
      </c>
      <c r="D3704">
        <f t="shared" si="117"/>
        <v>5.2945241892610317</v>
      </c>
      <c r="E3704">
        <v>-8.1675392670156593E-3</v>
      </c>
      <c r="G3704">
        <v>3702</v>
      </c>
      <c r="H3704">
        <f t="shared" ca="1" si="118"/>
        <v>1.055211349291027E-2</v>
      </c>
    </row>
    <row r="3705" spans="2:8" x14ac:dyDescent="0.3">
      <c r="B3705" s="113">
        <v>38593</v>
      </c>
      <c r="C3705">
        <v>37.619999999999997</v>
      </c>
      <c r="D3705">
        <f t="shared" si="117"/>
        <v>-0.84069447385136564</v>
      </c>
      <c r="E3705">
        <v>-8.1729501713683709E-3</v>
      </c>
      <c r="G3705">
        <v>3703</v>
      </c>
      <c r="H3705">
        <f t="shared" ca="1" si="118"/>
        <v>-6.4409752226915907E-3</v>
      </c>
    </row>
    <row r="3706" spans="2:8" x14ac:dyDescent="0.3">
      <c r="B3706" s="113">
        <v>44469</v>
      </c>
      <c r="C3706">
        <v>236.15</v>
      </c>
      <c r="D3706">
        <f t="shared" si="117"/>
        <v>2.1968322729118719</v>
      </c>
      <c r="E3706">
        <v>-8.1898362032758864E-3</v>
      </c>
      <c r="G3706">
        <v>3704</v>
      </c>
      <c r="H3706">
        <f t="shared" ca="1" si="118"/>
        <v>-1.8500668302427969E-2</v>
      </c>
    </row>
    <row r="3707" spans="2:8" x14ac:dyDescent="0.3">
      <c r="B3707" s="113">
        <v>40044</v>
      </c>
      <c r="C3707">
        <v>73.87</v>
      </c>
      <c r="D3707">
        <f t="shared" si="117"/>
        <v>-0.60882228341453082</v>
      </c>
      <c r="E3707">
        <v>-8.1901181525241597E-3</v>
      </c>
      <c r="G3707">
        <v>3705</v>
      </c>
      <c r="H3707">
        <f t="shared" ca="1" si="118"/>
        <v>-1.0739720163574697E-2</v>
      </c>
    </row>
    <row r="3708" spans="2:8" x14ac:dyDescent="0.3">
      <c r="B3708" s="113">
        <v>41374</v>
      </c>
      <c r="C3708">
        <v>188.84</v>
      </c>
      <c r="D3708">
        <f t="shared" si="117"/>
        <v>12.005509641873278</v>
      </c>
      <c r="E3708">
        <v>-8.1932773109243823E-3</v>
      </c>
      <c r="G3708">
        <v>3706</v>
      </c>
      <c r="H3708">
        <f t="shared" ca="1" si="118"/>
        <v>1.1776364172217984E-2</v>
      </c>
    </row>
    <row r="3709" spans="2:8" x14ac:dyDescent="0.3">
      <c r="B3709" s="113">
        <v>37508</v>
      </c>
      <c r="C3709">
        <v>14.52</v>
      </c>
      <c r="D3709">
        <f t="shared" si="117"/>
        <v>-0.94763793725207368</v>
      </c>
      <c r="E3709">
        <v>-8.1967213114754779E-3</v>
      </c>
      <c r="G3709">
        <v>3707</v>
      </c>
      <c r="H3709">
        <f t="shared" ca="1" si="118"/>
        <v>8.9917943543741958E-3</v>
      </c>
    </row>
    <row r="3710" spans="2:8" x14ac:dyDescent="0.3">
      <c r="B3710" s="113">
        <v>43410</v>
      </c>
      <c r="C3710">
        <v>277.3</v>
      </c>
      <c r="D3710">
        <f t="shared" si="117"/>
        <v>0.44660650007825142</v>
      </c>
      <c r="E3710">
        <v>-8.2260371959943183E-3</v>
      </c>
      <c r="G3710">
        <v>3708</v>
      </c>
      <c r="H3710">
        <f t="shared" ca="1" si="118"/>
        <v>-1.6174239767369546E-2</v>
      </c>
    </row>
    <row r="3711" spans="2:8" x14ac:dyDescent="0.3">
      <c r="B3711" s="113">
        <v>41296</v>
      </c>
      <c r="C3711">
        <v>191.69</v>
      </c>
      <c r="D3711">
        <f t="shared" si="117"/>
        <v>-5.6318613695662864E-2</v>
      </c>
      <c r="E3711">
        <v>-8.2264072847682296E-3</v>
      </c>
      <c r="G3711">
        <v>3709</v>
      </c>
      <c r="H3711">
        <f t="shared" ca="1" si="118"/>
        <v>-1.7677979801811475E-2</v>
      </c>
    </row>
    <row r="3712" spans="2:8" x14ac:dyDescent="0.3">
      <c r="B3712" s="113">
        <v>42390</v>
      </c>
      <c r="C3712">
        <v>203.13</v>
      </c>
      <c r="D3712">
        <f t="shared" si="117"/>
        <v>0.76297517792049985</v>
      </c>
      <c r="E3712">
        <v>-8.2511473488916989E-3</v>
      </c>
      <c r="G3712">
        <v>3710</v>
      </c>
      <c r="H3712">
        <f t="shared" ca="1" si="118"/>
        <v>-1.0364355194868488E-2</v>
      </c>
    </row>
    <row r="3713" spans="2:8" x14ac:dyDescent="0.3">
      <c r="B3713" s="113">
        <v>40456</v>
      </c>
      <c r="C3713">
        <v>115.22</v>
      </c>
      <c r="D3713">
        <f t="shared" si="117"/>
        <v>0.65951317874117799</v>
      </c>
      <c r="E3713">
        <v>-8.263040110173937E-3</v>
      </c>
      <c r="G3713">
        <v>3711</v>
      </c>
      <c r="H3713">
        <f t="shared" ca="1" si="118"/>
        <v>-2.8182557407675005E-2</v>
      </c>
    </row>
    <row r="3714" spans="2:8" x14ac:dyDescent="0.3">
      <c r="B3714" s="113">
        <v>40002</v>
      </c>
      <c r="C3714">
        <v>69.430000000000007</v>
      </c>
      <c r="D3714">
        <f t="shared" si="117"/>
        <v>3.1475507765830355</v>
      </c>
      <c r="E3714">
        <v>-8.2845307813169296E-3</v>
      </c>
      <c r="G3714">
        <v>3712</v>
      </c>
      <c r="H3714">
        <f t="shared" ca="1" si="118"/>
        <v>1.2370505654418065E-2</v>
      </c>
    </row>
    <row r="3715" spans="2:8" x14ac:dyDescent="0.3">
      <c r="B3715" s="113">
        <v>37813</v>
      </c>
      <c r="C3715">
        <v>16.739999999999998</v>
      </c>
      <c r="D3715">
        <f t="shared" ref="D3715:D3778" si="119">(C3715-C3716)/C3716</f>
        <v>-0.9118947368421052</v>
      </c>
      <c r="E3715">
        <v>-8.2938388625592753E-3</v>
      </c>
      <c r="G3715">
        <v>3713</v>
      </c>
      <c r="H3715">
        <f t="shared" ca="1" si="118"/>
        <v>1.0578161400813092E-2</v>
      </c>
    </row>
    <row r="3716" spans="2:8" x14ac:dyDescent="0.3">
      <c r="B3716" s="113">
        <v>41236</v>
      </c>
      <c r="C3716">
        <v>190</v>
      </c>
      <c r="D3716">
        <f t="shared" si="119"/>
        <v>-0.30858806404657935</v>
      </c>
      <c r="E3716">
        <v>-8.298971762618108E-3</v>
      </c>
      <c r="G3716">
        <v>3714</v>
      </c>
      <c r="H3716">
        <f t="shared" ref="H3716:H3779" ca="1" si="120">_xlfn.NORM.INV(RAND(),$L$4,$L$6)</f>
        <v>3.961224423554708E-2</v>
      </c>
    </row>
    <row r="3717" spans="2:8" x14ac:dyDescent="0.3">
      <c r="B3717" s="113">
        <v>42774</v>
      </c>
      <c r="C3717">
        <v>274.8</v>
      </c>
      <c r="D3717">
        <f t="shared" si="119"/>
        <v>-0.17798384684415194</v>
      </c>
      <c r="E3717">
        <v>-8.3002526163840178E-3</v>
      </c>
      <c r="G3717">
        <v>3715</v>
      </c>
      <c r="H3717">
        <f t="shared" ca="1" si="120"/>
        <v>-1.5331238112812848E-2</v>
      </c>
    </row>
    <row r="3718" spans="2:8" x14ac:dyDescent="0.3">
      <c r="B3718" s="113">
        <v>42923</v>
      </c>
      <c r="C3718">
        <v>334.3</v>
      </c>
      <c r="D3718">
        <f t="shared" si="119"/>
        <v>11.174071376547706</v>
      </c>
      <c r="E3718">
        <v>-8.3061406110946645E-3</v>
      </c>
      <c r="G3718">
        <v>3716</v>
      </c>
      <c r="H3718">
        <f t="shared" ca="1" si="120"/>
        <v>4.6937439980911915E-3</v>
      </c>
    </row>
    <row r="3719" spans="2:8" x14ac:dyDescent="0.3">
      <c r="B3719" s="113">
        <v>38369</v>
      </c>
      <c r="C3719">
        <v>27.46</v>
      </c>
      <c r="D3719">
        <f t="shared" si="119"/>
        <v>-0.63488897752958384</v>
      </c>
      <c r="E3719">
        <v>-8.3062477428674768E-3</v>
      </c>
      <c r="G3719">
        <v>3717</v>
      </c>
      <c r="H3719">
        <f t="shared" ca="1" si="120"/>
        <v>2.0327304911219174E-2</v>
      </c>
    </row>
    <row r="3720" spans="2:8" x14ac:dyDescent="0.3">
      <c r="B3720" s="113">
        <v>40074</v>
      </c>
      <c r="C3720">
        <v>75.209999999999994</v>
      </c>
      <c r="D3720">
        <f t="shared" si="119"/>
        <v>-0.62877591312931891</v>
      </c>
      <c r="E3720">
        <v>-8.3069620253165832E-3</v>
      </c>
      <c r="G3720">
        <v>3718</v>
      </c>
      <c r="H3720">
        <f t="shared" ca="1" si="120"/>
        <v>-5.1059359380315923E-3</v>
      </c>
    </row>
    <row r="3721" spans="2:8" x14ac:dyDescent="0.3">
      <c r="B3721" s="113">
        <v>44316</v>
      </c>
      <c r="C3721">
        <v>202.6</v>
      </c>
      <c r="D3721">
        <f t="shared" si="119"/>
        <v>4.8673617144512011</v>
      </c>
      <c r="E3721">
        <v>-8.3210964268233822E-3</v>
      </c>
      <c r="G3721">
        <v>3719</v>
      </c>
      <c r="H3721">
        <f t="shared" ca="1" si="120"/>
        <v>-7.0171671020838528E-4</v>
      </c>
    </row>
    <row r="3722" spans="2:8" x14ac:dyDescent="0.3">
      <c r="B3722" s="113">
        <v>38513</v>
      </c>
      <c r="C3722">
        <v>34.53</v>
      </c>
      <c r="D3722">
        <f t="shared" si="119"/>
        <v>-0.68810405564086352</v>
      </c>
      <c r="E3722">
        <v>-8.3285468121768857E-3</v>
      </c>
      <c r="G3722">
        <v>3720</v>
      </c>
      <c r="H3722">
        <f t="shared" ca="1" si="120"/>
        <v>8.8492085527536058E-3</v>
      </c>
    </row>
    <row r="3723" spans="2:8" x14ac:dyDescent="0.3">
      <c r="B3723" s="113">
        <v>40527</v>
      </c>
      <c r="C3723">
        <v>110.71</v>
      </c>
      <c r="D3723">
        <f t="shared" si="119"/>
        <v>0.97873100983020533</v>
      </c>
      <c r="E3723">
        <v>-8.330347545682612E-3</v>
      </c>
      <c r="G3723">
        <v>3721</v>
      </c>
      <c r="H3723">
        <f t="shared" ca="1" si="120"/>
        <v>-1.0146801191069734E-3</v>
      </c>
    </row>
    <row r="3724" spans="2:8" x14ac:dyDescent="0.3">
      <c r="B3724" s="113">
        <v>39395</v>
      </c>
      <c r="C3724">
        <v>55.95</v>
      </c>
      <c r="D3724">
        <f t="shared" si="119"/>
        <v>-0.80399369416710464</v>
      </c>
      <c r="E3724">
        <v>-8.3303792981212123E-3</v>
      </c>
      <c r="G3724">
        <v>3722</v>
      </c>
      <c r="H3724">
        <f t="shared" ca="1" si="120"/>
        <v>-9.2604547355314964E-3</v>
      </c>
    </row>
    <row r="3725" spans="2:8" x14ac:dyDescent="0.3">
      <c r="B3725" s="113">
        <v>42949</v>
      </c>
      <c r="C3725">
        <v>285.45</v>
      </c>
      <c r="D3725">
        <f t="shared" si="119"/>
        <v>6.6903382545318538E-2</v>
      </c>
      <c r="E3725">
        <v>-8.3376758728505602E-3</v>
      </c>
      <c r="G3725">
        <v>3723</v>
      </c>
      <c r="H3725">
        <f t="shared" ca="1" si="120"/>
        <v>3.3645431539260473E-2</v>
      </c>
    </row>
    <row r="3726" spans="2:8" x14ac:dyDescent="0.3">
      <c r="B3726" s="113">
        <v>43112</v>
      </c>
      <c r="C3726">
        <v>267.55</v>
      </c>
      <c r="D3726">
        <f t="shared" si="119"/>
        <v>3.6938596491228073</v>
      </c>
      <c r="E3726">
        <v>-8.3395107487027418E-3</v>
      </c>
      <c r="G3726">
        <v>3724</v>
      </c>
      <c r="H3726">
        <f t="shared" ca="1" si="120"/>
        <v>2.1425684236146075E-2</v>
      </c>
    </row>
    <row r="3727" spans="2:8" x14ac:dyDescent="0.3">
      <c r="B3727" s="113">
        <v>38932</v>
      </c>
      <c r="C3727">
        <v>57</v>
      </c>
      <c r="D3727">
        <f t="shared" si="119"/>
        <v>-0.76</v>
      </c>
      <c r="E3727">
        <v>-8.3507306889352272E-3</v>
      </c>
      <c r="G3727">
        <v>3725</v>
      </c>
      <c r="H3727">
        <f t="shared" ca="1" si="120"/>
        <v>-9.4123447460462799E-3</v>
      </c>
    </row>
    <row r="3728" spans="2:8" x14ac:dyDescent="0.3">
      <c r="B3728" s="113">
        <v>44518</v>
      </c>
      <c r="C3728">
        <v>237.5</v>
      </c>
      <c r="D3728">
        <f t="shared" si="119"/>
        <v>0.2123532414497192</v>
      </c>
      <c r="E3728">
        <v>-8.350730688935281E-3</v>
      </c>
      <c r="G3728">
        <v>3726</v>
      </c>
      <c r="H3728">
        <f t="shared" ca="1" si="120"/>
        <v>-2.5562410902531248E-2</v>
      </c>
    </row>
    <row r="3729" spans="2:8" x14ac:dyDescent="0.3">
      <c r="B3729" s="113">
        <v>44026</v>
      </c>
      <c r="C3729">
        <v>195.9</v>
      </c>
      <c r="D3729">
        <f t="shared" si="119"/>
        <v>-0.28254898370261855</v>
      </c>
      <c r="E3729">
        <v>-8.3523158694001794E-3</v>
      </c>
      <c r="G3729">
        <v>3727</v>
      </c>
      <c r="H3729">
        <f t="shared" ca="1" si="120"/>
        <v>-2.2655258991238315E-2</v>
      </c>
    </row>
    <row r="3730" spans="2:8" x14ac:dyDescent="0.3">
      <c r="B3730" s="113">
        <v>43440</v>
      </c>
      <c r="C3730">
        <v>273.05</v>
      </c>
      <c r="D3730">
        <f t="shared" si="119"/>
        <v>6.9328878558977332</v>
      </c>
      <c r="E3730">
        <v>-8.3530052660250997E-3</v>
      </c>
      <c r="G3730">
        <v>3728</v>
      </c>
      <c r="H3730">
        <f t="shared" ca="1" si="120"/>
        <v>1.191113792771451E-2</v>
      </c>
    </row>
    <row r="3731" spans="2:8" x14ac:dyDescent="0.3">
      <c r="B3731" s="113">
        <v>38502</v>
      </c>
      <c r="C3731">
        <v>34.42</v>
      </c>
      <c r="D3731">
        <f t="shared" si="119"/>
        <v>1.4205344585091422</v>
      </c>
      <c r="E3731">
        <v>-8.3549409392105773E-3</v>
      </c>
      <c r="G3731">
        <v>3729</v>
      </c>
      <c r="H3731">
        <f t="shared" ca="1" si="120"/>
        <v>-8.4275670000613107E-3</v>
      </c>
    </row>
    <row r="3732" spans="2:8" x14ac:dyDescent="0.3">
      <c r="B3732" s="113">
        <v>37684</v>
      </c>
      <c r="C3732">
        <v>14.22</v>
      </c>
      <c r="D3732">
        <f t="shared" si="119"/>
        <v>-0.93497942386831279</v>
      </c>
      <c r="E3732">
        <v>-8.3682008368200292E-3</v>
      </c>
      <c r="G3732">
        <v>3730</v>
      </c>
      <c r="H3732">
        <f t="shared" ca="1" si="120"/>
        <v>3.4684062755958742E-2</v>
      </c>
    </row>
    <row r="3733" spans="2:8" x14ac:dyDescent="0.3">
      <c r="B3733" s="113">
        <v>44567</v>
      </c>
      <c r="C3733">
        <v>218.7</v>
      </c>
      <c r="D3733">
        <f t="shared" si="119"/>
        <v>8.7373107747105951</v>
      </c>
      <c r="E3733">
        <v>-8.3881206075720818E-3</v>
      </c>
      <c r="G3733">
        <v>3731</v>
      </c>
      <c r="H3733">
        <f t="shared" ca="1" si="120"/>
        <v>1.9600211715304221E-2</v>
      </c>
    </row>
    <row r="3734" spans="2:8" x14ac:dyDescent="0.3">
      <c r="B3734" s="113">
        <v>38222</v>
      </c>
      <c r="C3734">
        <v>22.46</v>
      </c>
      <c r="D3734">
        <f t="shared" si="119"/>
        <v>-0.23838589352322814</v>
      </c>
      <c r="E3734">
        <v>-8.3885209713023285E-3</v>
      </c>
      <c r="G3734">
        <v>3732</v>
      </c>
      <c r="H3734">
        <f t="shared" ca="1" si="120"/>
        <v>2.5847063568680908E-2</v>
      </c>
    </row>
    <row r="3735" spans="2:8" x14ac:dyDescent="0.3">
      <c r="B3735" s="113">
        <v>38425</v>
      </c>
      <c r="C3735">
        <v>29.49</v>
      </c>
      <c r="D3735">
        <f t="shared" si="119"/>
        <v>-0.74675826534993561</v>
      </c>
      <c r="E3735">
        <v>-8.4061869535978478E-3</v>
      </c>
      <c r="G3735">
        <v>3733</v>
      </c>
      <c r="H3735">
        <f t="shared" ca="1" si="120"/>
        <v>-1.4888885433792709E-2</v>
      </c>
    </row>
    <row r="3736" spans="2:8" x14ac:dyDescent="0.3">
      <c r="B3736" s="113">
        <v>40490</v>
      </c>
      <c r="C3736">
        <v>116.45</v>
      </c>
      <c r="D3736">
        <f t="shared" si="119"/>
        <v>-0.60397891515048463</v>
      </c>
      <c r="E3736">
        <v>-8.4298365122615366E-3</v>
      </c>
      <c r="G3736">
        <v>3734</v>
      </c>
      <c r="H3736">
        <f t="shared" ca="1" si="120"/>
        <v>2.4617928971630218E-2</v>
      </c>
    </row>
    <row r="3737" spans="2:8" x14ac:dyDescent="0.3">
      <c r="B3737" s="113">
        <v>43481</v>
      </c>
      <c r="C3737">
        <v>294.05</v>
      </c>
      <c r="D3737">
        <f t="shared" si="119"/>
        <v>0.31742831541218652</v>
      </c>
      <c r="E3737">
        <v>-8.430281571404484E-3</v>
      </c>
      <c r="G3737">
        <v>3735</v>
      </c>
      <c r="H3737">
        <f t="shared" ca="1" si="120"/>
        <v>1.1539113847538293E-2</v>
      </c>
    </row>
    <row r="3738" spans="2:8" x14ac:dyDescent="0.3">
      <c r="B3738" s="113">
        <v>44498</v>
      </c>
      <c r="C3738">
        <v>223.2</v>
      </c>
      <c r="D3738">
        <f t="shared" si="119"/>
        <v>0.22772277227722759</v>
      </c>
      <c r="E3738">
        <v>-8.4406930253221046E-3</v>
      </c>
      <c r="G3738">
        <v>3736</v>
      </c>
      <c r="H3738">
        <f t="shared" ca="1" si="120"/>
        <v>4.8514975414225815E-2</v>
      </c>
    </row>
    <row r="3739" spans="2:8" x14ac:dyDescent="0.3">
      <c r="B3739" s="113">
        <v>44089</v>
      </c>
      <c r="C3739">
        <v>181.8</v>
      </c>
      <c r="D3739">
        <f t="shared" si="119"/>
        <v>6.0629370629370634</v>
      </c>
      <c r="E3739">
        <v>-8.4537769293699643E-3</v>
      </c>
      <c r="G3739">
        <v>3737</v>
      </c>
      <c r="H3739">
        <f t="shared" ca="1" si="120"/>
        <v>4.551332267615848E-4</v>
      </c>
    </row>
    <row r="3740" spans="2:8" x14ac:dyDescent="0.3">
      <c r="B3740" s="113">
        <v>38050</v>
      </c>
      <c r="C3740">
        <v>25.74</v>
      </c>
      <c r="D3740">
        <f t="shared" si="119"/>
        <v>-0.91168296448790531</v>
      </c>
      <c r="E3740">
        <v>-8.4745762711865343E-3</v>
      </c>
      <c r="G3740">
        <v>3738</v>
      </c>
      <c r="H3740">
        <f t="shared" ca="1" si="120"/>
        <v>1.7545005740289048E-2</v>
      </c>
    </row>
    <row r="3741" spans="2:8" x14ac:dyDescent="0.3">
      <c r="B3741" s="113">
        <v>43483</v>
      </c>
      <c r="C3741">
        <v>291.45</v>
      </c>
      <c r="D3741">
        <f t="shared" si="119"/>
        <v>0.39116945107398565</v>
      </c>
      <c r="E3741">
        <v>-8.5048477632250381E-3</v>
      </c>
      <c r="G3741">
        <v>3739</v>
      </c>
      <c r="H3741">
        <f t="shared" ca="1" si="120"/>
        <v>1.6704931010221004E-2</v>
      </c>
    </row>
    <row r="3742" spans="2:8" x14ac:dyDescent="0.3">
      <c r="B3742" s="113">
        <v>44440</v>
      </c>
      <c r="C3742">
        <v>209.5</v>
      </c>
      <c r="D3742">
        <f t="shared" si="119"/>
        <v>2.8306820259645273</v>
      </c>
      <c r="E3742">
        <v>-8.51869380028401E-3</v>
      </c>
      <c r="G3742">
        <v>3740</v>
      </c>
      <c r="H3742">
        <f t="shared" ca="1" si="120"/>
        <v>2.3404910387872634E-2</v>
      </c>
    </row>
    <row r="3743" spans="2:8" x14ac:dyDescent="0.3">
      <c r="B3743" s="113">
        <v>39231</v>
      </c>
      <c r="C3743">
        <v>54.69</v>
      </c>
      <c r="D3743">
        <f t="shared" si="119"/>
        <v>-0.36436541143654122</v>
      </c>
      <c r="E3743">
        <v>-8.5206671501087544E-3</v>
      </c>
      <c r="G3743">
        <v>3741</v>
      </c>
      <c r="H3743">
        <f t="shared" ca="1" si="120"/>
        <v>-3.1724166648284764E-2</v>
      </c>
    </row>
    <row r="3744" spans="2:8" x14ac:dyDescent="0.3">
      <c r="B3744" s="113">
        <v>40309</v>
      </c>
      <c r="C3744">
        <v>86.04</v>
      </c>
      <c r="D3744">
        <f t="shared" si="119"/>
        <v>-0.59537246049661396</v>
      </c>
      <c r="E3744">
        <v>-8.5273104401935342E-3</v>
      </c>
      <c r="G3744">
        <v>3742</v>
      </c>
      <c r="H3744">
        <f t="shared" ca="1" si="120"/>
        <v>-3.6758136293049339E-2</v>
      </c>
    </row>
    <row r="3745" spans="2:8" x14ac:dyDescent="0.3">
      <c r="B3745" s="113">
        <v>41598</v>
      </c>
      <c r="C3745">
        <v>212.64</v>
      </c>
      <c r="D3745">
        <f t="shared" si="119"/>
        <v>-0.20359550561797757</v>
      </c>
      <c r="E3745">
        <v>-8.5326619107568072E-3</v>
      </c>
      <c r="G3745">
        <v>3743</v>
      </c>
      <c r="H3745">
        <f t="shared" ca="1" si="120"/>
        <v>3.0567499046067426E-2</v>
      </c>
    </row>
    <row r="3746" spans="2:8" x14ac:dyDescent="0.3">
      <c r="B3746" s="113">
        <v>42996</v>
      </c>
      <c r="C3746">
        <v>267</v>
      </c>
      <c r="D3746">
        <f t="shared" si="119"/>
        <v>-0.11530815109343939</v>
      </c>
      <c r="E3746">
        <v>-8.5406609728927267E-3</v>
      </c>
      <c r="G3746">
        <v>3744</v>
      </c>
      <c r="H3746">
        <f t="shared" ca="1" si="120"/>
        <v>3.3599823851828241E-2</v>
      </c>
    </row>
    <row r="3747" spans="2:8" x14ac:dyDescent="0.3">
      <c r="B3747" s="113">
        <v>43577</v>
      </c>
      <c r="C3747">
        <v>301.8</v>
      </c>
      <c r="D3747">
        <f t="shared" si="119"/>
        <v>0.37657361795292832</v>
      </c>
      <c r="E3747">
        <v>-8.5413929040734759E-3</v>
      </c>
      <c r="G3747">
        <v>3745</v>
      </c>
      <c r="H3747">
        <f t="shared" ca="1" si="120"/>
        <v>-7.6651997102754228E-3</v>
      </c>
    </row>
    <row r="3748" spans="2:8" x14ac:dyDescent="0.3">
      <c r="B3748" s="113">
        <v>41397</v>
      </c>
      <c r="C3748">
        <v>219.24</v>
      </c>
      <c r="D3748">
        <f t="shared" si="119"/>
        <v>1.9123273113708821</v>
      </c>
      <c r="E3748">
        <v>-8.5470085470084854E-3</v>
      </c>
      <c r="G3748">
        <v>3746</v>
      </c>
      <c r="H3748">
        <f t="shared" ca="1" si="120"/>
        <v>-1.6063437724260121E-3</v>
      </c>
    </row>
    <row r="3749" spans="2:8" x14ac:dyDescent="0.3">
      <c r="B3749" s="113">
        <v>40067</v>
      </c>
      <c r="C3749">
        <v>75.28</v>
      </c>
      <c r="D3749">
        <f t="shared" si="119"/>
        <v>0.97016487830410891</v>
      </c>
      <c r="E3749">
        <v>-8.560516264980977E-3</v>
      </c>
      <c r="G3749">
        <v>3747</v>
      </c>
      <c r="H3749">
        <f t="shared" ca="1" si="120"/>
        <v>-4.3812310504408661E-2</v>
      </c>
    </row>
    <row r="3750" spans="2:8" x14ac:dyDescent="0.3">
      <c r="B3750" s="113">
        <v>38546</v>
      </c>
      <c r="C3750">
        <v>38.21</v>
      </c>
      <c r="D3750">
        <f t="shared" si="119"/>
        <v>-0.85332053742802305</v>
      </c>
      <c r="E3750">
        <v>-8.5625324338349327E-3</v>
      </c>
      <c r="G3750">
        <v>3748</v>
      </c>
      <c r="H3750">
        <f t="shared" ca="1" si="120"/>
        <v>2.8755246220959135E-2</v>
      </c>
    </row>
    <row r="3751" spans="2:8" x14ac:dyDescent="0.3">
      <c r="B3751" s="113">
        <v>43279</v>
      </c>
      <c r="C3751">
        <v>260.5</v>
      </c>
      <c r="D3751">
        <f t="shared" si="119"/>
        <v>2.2156523885940009</v>
      </c>
      <c r="E3751">
        <v>-8.5632730732635581E-3</v>
      </c>
      <c r="G3751">
        <v>3749</v>
      </c>
      <c r="H3751">
        <f t="shared" ca="1" si="120"/>
        <v>1.4958712047332007E-2</v>
      </c>
    </row>
    <row r="3752" spans="2:8" x14ac:dyDescent="0.3">
      <c r="B3752" s="113">
        <v>40211</v>
      </c>
      <c r="C3752">
        <v>81.010000000000005</v>
      </c>
      <c r="D3752">
        <f t="shared" si="119"/>
        <v>-0.33896368829049361</v>
      </c>
      <c r="E3752">
        <v>-8.5668828784725079E-3</v>
      </c>
      <c r="G3752">
        <v>3750</v>
      </c>
      <c r="H3752">
        <f t="shared" ca="1" si="120"/>
        <v>-7.6734617999461747E-3</v>
      </c>
    </row>
    <row r="3753" spans="2:8" x14ac:dyDescent="0.3">
      <c r="B3753" s="113">
        <v>40715</v>
      </c>
      <c r="C3753">
        <v>122.55</v>
      </c>
      <c r="D3753">
        <f t="shared" si="119"/>
        <v>4.3074924209614549</v>
      </c>
      <c r="E3753">
        <v>-8.575357980745912E-3</v>
      </c>
      <c r="G3753">
        <v>3751</v>
      </c>
      <c r="H3753">
        <f t="shared" ca="1" si="120"/>
        <v>-2.4927937768519409E-2</v>
      </c>
    </row>
    <row r="3754" spans="2:8" x14ac:dyDescent="0.3">
      <c r="B3754" s="113">
        <v>38181</v>
      </c>
      <c r="C3754">
        <v>23.09</v>
      </c>
      <c r="D3754">
        <f t="shared" si="119"/>
        <v>-0.8856930693069307</v>
      </c>
      <c r="E3754">
        <v>-8.587376556461971E-3</v>
      </c>
      <c r="G3754">
        <v>3752</v>
      </c>
      <c r="H3754">
        <f t="shared" ca="1" si="120"/>
        <v>2.9682626401668973E-4</v>
      </c>
    </row>
    <row r="3755" spans="2:8" x14ac:dyDescent="0.3">
      <c r="B3755" s="113">
        <v>44385</v>
      </c>
      <c r="C3755">
        <v>202</v>
      </c>
      <c r="D3755">
        <f t="shared" si="119"/>
        <v>0.75271149674620386</v>
      </c>
      <c r="E3755">
        <v>-8.5889570552147246E-3</v>
      </c>
      <c r="G3755">
        <v>3753</v>
      </c>
      <c r="H3755">
        <f t="shared" ca="1" si="120"/>
        <v>1.9284505715771661E-2</v>
      </c>
    </row>
    <row r="3756" spans="2:8" x14ac:dyDescent="0.3">
      <c r="B3756" s="113">
        <v>40494</v>
      </c>
      <c r="C3756">
        <v>115.25</v>
      </c>
      <c r="D3756">
        <f t="shared" si="119"/>
        <v>0.66714884999276736</v>
      </c>
      <c r="E3756">
        <v>-8.6021505376344086E-3</v>
      </c>
      <c r="G3756">
        <v>3754</v>
      </c>
      <c r="H3756">
        <f t="shared" ca="1" si="120"/>
        <v>1.5315848200497117E-2</v>
      </c>
    </row>
    <row r="3757" spans="2:8" x14ac:dyDescent="0.3">
      <c r="B3757" s="113">
        <v>39546</v>
      </c>
      <c r="C3757">
        <v>69.13</v>
      </c>
      <c r="D3757">
        <f t="shared" si="119"/>
        <v>-0.37467209407507918</v>
      </c>
      <c r="E3757">
        <v>-8.6046178115589921E-3</v>
      </c>
      <c r="G3757">
        <v>3755</v>
      </c>
      <c r="H3757">
        <f t="shared" ca="1" si="120"/>
        <v>4.0488300651914597E-3</v>
      </c>
    </row>
    <row r="3758" spans="2:8" x14ac:dyDescent="0.3">
      <c r="B3758" s="113">
        <v>40520</v>
      </c>
      <c r="C3758">
        <v>110.55</v>
      </c>
      <c r="D3758">
        <f t="shared" si="119"/>
        <v>3.8169934640522873</v>
      </c>
      <c r="E3758">
        <v>-8.6090933548561375E-3</v>
      </c>
      <c r="G3758">
        <v>3756</v>
      </c>
      <c r="H3758">
        <f t="shared" ca="1" si="120"/>
        <v>-6.0753453590566778E-3</v>
      </c>
    </row>
    <row r="3759" spans="2:8" x14ac:dyDescent="0.3">
      <c r="B3759" s="113">
        <v>38232</v>
      </c>
      <c r="C3759">
        <v>22.95</v>
      </c>
      <c r="D3759">
        <f t="shared" si="119"/>
        <v>-0.23064029500502847</v>
      </c>
      <c r="E3759">
        <v>-8.639308855291546E-3</v>
      </c>
      <c r="G3759">
        <v>3757</v>
      </c>
      <c r="H3759">
        <f t="shared" ca="1" si="120"/>
        <v>-3.179279678276987E-4</v>
      </c>
    </row>
    <row r="3760" spans="2:8" x14ac:dyDescent="0.3">
      <c r="B3760" s="113">
        <v>38384</v>
      </c>
      <c r="C3760">
        <v>29.83</v>
      </c>
      <c r="D3760">
        <f t="shared" si="119"/>
        <v>-0.88690047393364935</v>
      </c>
      <c r="E3760">
        <v>-8.6407444333666192E-3</v>
      </c>
      <c r="G3760">
        <v>3758</v>
      </c>
      <c r="H3760">
        <f t="shared" ca="1" si="120"/>
        <v>-2.2808809409279236E-3</v>
      </c>
    </row>
    <row r="3761" spans="2:8" x14ac:dyDescent="0.3">
      <c r="B3761" s="113">
        <v>43271</v>
      </c>
      <c r="C3761">
        <v>263.75</v>
      </c>
      <c r="D3761">
        <f t="shared" si="119"/>
        <v>8.8356793145654925E-3</v>
      </c>
      <c r="E3761">
        <v>-8.6449915429430979E-3</v>
      </c>
      <c r="G3761">
        <v>3759</v>
      </c>
      <c r="H3761">
        <f t="shared" ca="1" si="120"/>
        <v>-4.0653952924832225E-2</v>
      </c>
    </row>
    <row r="3762" spans="2:8" x14ac:dyDescent="0.3">
      <c r="B3762" s="113">
        <v>41982</v>
      </c>
      <c r="C3762">
        <v>261.44</v>
      </c>
      <c r="D3762">
        <f t="shared" si="119"/>
        <v>10.40165721761884</v>
      </c>
      <c r="E3762">
        <v>-8.6455331412104864E-3</v>
      </c>
      <c r="G3762">
        <v>3760</v>
      </c>
      <c r="H3762">
        <f t="shared" ca="1" si="120"/>
        <v>1.6423402506176035E-2</v>
      </c>
    </row>
    <row r="3763" spans="2:8" x14ac:dyDescent="0.3">
      <c r="B3763" s="113">
        <v>38198</v>
      </c>
      <c r="C3763">
        <v>22.93</v>
      </c>
      <c r="D3763">
        <f t="shared" si="119"/>
        <v>-0.88437878176684148</v>
      </c>
      <c r="E3763">
        <v>-8.6467790747946083E-3</v>
      </c>
      <c r="G3763">
        <v>3761</v>
      </c>
      <c r="H3763">
        <f t="shared" ca="1" si="120"/>
        <v>3.2735494910936496E-4</v>
      </c>
    </row>
    <row r="3764" spans="2:8" x14ac:dyDescent="0.3">
      <c r="B3764" s="113">
        <v>41316</v>
      </c>
      <c r="C3764">
        <v>198.32</v>
      </c>
      <c r="D3764">
        <f t="shared" si="119"/>
        <v>8.1139705882352935</v>
      </c>
      <c r="E3764">
        <v>-8.6478380404899687E-3</v>
      </c>
      <c r="G3764">
        <v>3762</v>
      </c>
      <c r="H3764">
        <f t="shared" ca="1" si="120"/>
        <v>1.2212154464040471E-3</v>
      </c>
    </row>
    <row r="3765" spans="2:8" x14ac:dyDescent="0.3">
      <c r="B3765" s="113">
        <v>38190</v>
      </c>
      <c r="C3765">
        <v>21.76</v>
      </c>
      <c r="D3765">
        <f t="shared" si="119"/>
        <v>-0.92236889047449167</v>
      </c>
      <c r="E3765">
        <v>-8.6560364464691453E-3</v>
      </c>
      <c r="G3765">
        <v>3763</v>
      </c>
      <c r="H3765">
        <f t="shared" ca="1" si="120"/>
        <v>9.2172664272647496E-3</v>
      </c>
    </row>
    <row r="3766" spans="2:8" x14ac:dyDescent="0.3">
      <c r="B3766" s="113">
        <v>42825</v>
      </c>
      <c r="C3766">
        <v>280.3</v>
      </c>
      <c r="D3766">
        <f t="shared" si="119"/>
        <v>-1.9930069930069891E-2</v>
      </c>
      <c r="E3766">
        <v>-8.6648983200706929E-3</v>
      </c>
      <c r="G3766">
        <v>3764</v>
      </c>
      <c r="H3766">
        <f t="shared" ca="1" si="120"/>
        <v>5.8495707311800281E-3</v>
      </c>
    </row>
    <row r="3767" spans="2:8" x14ac:dyDescent="0.3">
      <c r="B3767" s="113">
        <v>43396</v>
      </c>
      <c r="C3767">
        <v>286</v>
      </c>
      <c r="D3767">
        <f t="shared" si="119"/>
        <v>0.11284046692607004</v>
      </c>
      <c r="E3767">
        <v>-8.6655112651646445E-3</v>
      </c>
      <c r="G3767">
        <v>3765</v>
      </c>
      <c r="H3767">
        <f t="shared" ca="1" si="120"/>
        <v>-2.728933734551035E-2</v>
      </c>
    </row>
    <row r="3768" spans="2:8" x14ac:dyDescent="0.3">
      <c r="B3768" s="113">
        <v>43067</v>
      </c>
      <c r="C3768">
        <v>257</v>
      </c>
      <c r="D3768">
        <f t="shared" si="119"/>
        <v>3.4188445667125174</v>
      </c>
      <c r="E3768">
        <v>-8.6788813886210219E-3</v>
      </c>
      <c r="G3768">
        <v>3766</v>
      </c>
      <c r="H3768">
        <f t="shared" ca="1" si="120"/>
        <v>1.5855974393595457E-2</v>
      </c>
    </row>
    <row r="3769" spans="2:8" x14ac:dyDescent="0.3">
      <c r="B3769" s="113">
        <v>39085</v>
      </c>
      <c r="C3769">
        <v>58.16</v>
      </c>
      <c r="D3769">
        <f t="shared" si="119"/>
        <v>-0.699974206860975</v>
      </c>
      <c r="E3769">
        <v>-8.6926879154594367E-3</v>
      </c>
      <c r="G3769">
        <v>3767</v>
      </c>
      <c r="H3769">
        <f t="shared" ca="1" si="120"/>
        <v>1.5321801166057946E-2</v>
      </c>
    </row>
    <row r="3770" spans="2:8" x14ac:dyDescent="0.3">
      <c r="B3770" s="113">
        <v>44160</v>
      </c>
      <c r="C3770">
        <v>193.85</v>
      </c>
      <c r="D3770">
        <f t="shared" si="119"/>
        <v>12.08029689608637</v>
      </c>
      <c r="E3770">
        <v>-8.6934287905907279E-3</v>
      </c>
      <c r="G3770">
        <v>3768</v>
      </c>
      <c r="H3770">
        <f t="shared" ca="1" si="120"/>
        <v>-1.3166535529252954E-2</v>
      </c>
    </row>
    <row r="3771" spans="2:8" x14ac:dyDescent="0.3">
      <c r="B3771" s="113">
        <v>37754</v>
      </c>
      <c r="C3771">
        <v>14.82</v>
      </c>
      <c r="D3771">
        <f t="shared" si="119"/>
        <v>-0.93980992608236535</v>
      </c>
      <c r="E3771">
        <v>-8.6956521739129777E-3</v>
      </c>
      <c r="G3771">
        <v>3769</v>
      </c>
      <c r="H3771">
        <f t="shared" ca="1" si="120"/>
        <v>-1.657577724009799E-2</v>
      </c>
    </row>
    <row r="3772" spans="2:8" x14ac:dyDescent="0.3">
      <c r="B3772" s="113">
        <v>41997</v>
      </c>
      <c r="C3772">
        <v>246.22</v>
      </c>
      <c r="D3772">
        <f t="shared" si="119"/>
        <v>3.3669185558354367E-2</v>
      </c>
      <c r="E3772">
        <v>-8.6963523633142633E-3</v>
      </c>
      <c r="G3772">
        <v>3770</v>
      </c>
      <c r="H3772">
        <f t="shared" ca="1" si="120"/>
        <v>6.1894971304381615E-3</v>
      </c>
    </row>
    <row r="3773" spans="2:8" x14ac:dyDescent="0.3">
      <c r="B3773" s="113">
        <v>42517</v>
      </c>
      <c r="C3773">
        <v>238.2</v>
      </c>
      <c r="D3773">
        <f t="shared" si="119"/>
        <v>-0.2790556900726392</v>
      </c>
      <c r="E3773">
        <v>-8.6978234633151748E-3</v>
      </c>
      <c r="G3773">
        <v>3771</v>
      </c>
      <c r="H3773">
        <f t="shared" ca="1" si="120"/>
        <v>9.8265317302678405E-3</v>
      </c>
    </row>
    <row r="3774" spans="2:8" x14ac:dyDescent="0.3">
      <c r="B3774" s="113">
        <v>42927</v>
      </c>
      <c r="C3774">
        <v>330.4</v>
      </c>
      <c r="D3774">
        <f t="shared" si="119"/>
        <v>2.9783263094521368</v>
      </c>
      <c r="E3774">
        <v>-8.7008700870088024E-3</v>
      </c>
      <c r="G3774">
        <v>3772</v>
      </c>
      <c r="H3774">
        <f t="shared" ca="1" si="120"/>
        <v>-1.4176902262948132E-2</v>
      </c>
    </row>
    <row r="3775" spans="2:8" x14ac:dyDescent="0.3">
      <c r="B3775" s="113">
        <v>40196</v>
      </c>
      <c r="C3775">
        <v>83.05</v>
      </c>
      <c r="D3775">
        <f t="shared" si="119"/>
        <v>-0.59408602150537637</v>
      </c>
      <c r="E3775">
        <v>-8.7132967295297688E-3</v>
      </c>
      <c r="G3775">
        <v>3773</v>
      </c>
      <c r="H3775">
        <f t="shared" ca="1" si="120"/>
        <v>-4.6049459831653573E-3</v>
      </c>
    </row>
    <row r="3776" spans="2:8" x14ac:dyDescent="0.3">
      <c r="B3776" s="113">
        <v>44434</v>
      </c>
      <c r="C3776">
        <v>204.6</v>
      </c>
      <c r="D3776">
        <f t="shared" si="119"/>
        <v>5.4400377714825305</v>
      </c>
      <c r="E3776">
        <v>-8.7209302325581949E-3</v>
      </c>
      <c r="G3776">
        <v>3774</v>
      </c>
      <c r="H3776">
        <f t="shared" ca="1" si="120"/>
        <v>1.4683714703535723E-2</v>
      </c>
    </row>
    <row r="3777" spans="2:8" x14ac:dyDescent="0.3">
      <c r="B3777" s="113">
        <v>38471</v>
      </c>
      <c r="C3777">
        <v>31.77</v>
      </c>
      <c r="D3777">
        <f t="shared" si="119"/>
        <v>-0.81912894961571303</v>
      </c>
      <c r="E3777">
        <v>-8.7363494539780852E-3</v>
      </c>
      <c r="G3777">
        <v>3775</v>
      </c>
      <c r="H3777">
        <f t="shared" ca="1" si="120"/>
        <v>-2.4831995149964831E-2</v>
      </c>
    </row>
    <row r="3778" spans="2:8" x14ac:dyDescent="0.3">
      <c r="B3778" s="113">
        <v>43901</v>
      </c>
      <c r="C3778">
        <v>175.65</v>
      </c>
      <c r="D3778">
        <f t="shared" si="119"/>
        <v>1.8719751471550035</v>
      </c>
      <c r="E3778">
        <v>-8.7471783295710107E-3</v>
      </c>
      <c r="G3778">
        <v>3776</v>
      </c>
      <c r="H3778">
        <f t="shared" ca="1" si="120"/>
        <v>-2.6249035626235663E-3</v>
      </c>
    </row>
    <row r="3779" spans="2:8" x14ac:dyDescent="0.3">
      <c r="B3779" s="113">
        <v>39372</v>
      </c>
      <c r="C3779">
        <v>61.16</v>
      </c>
      <c r="D3779">
        <f t="shared" ref="D3779:D3842" si="121">(C3779-C3780)/C3780</f>
        <v>1.7002207505518765</v>
      </c>
      <c r="E3779">
        <v>-8.7520259319287877E-3</v>
      </c>
      <c r="G3779">
        <v>3777</v>
      </c>
      <c r="H3779">
        <f t="shared" ca="1" si="120"/>
        <v>-6.7666284200172833E-3</v>
      </c>
    </row>
    <row r="3780" spans="2:8" x14ac:dyDescent="0.3">
      <c r="B3780" s="113">
        <v>38219</v>
      </c>
      <c r="C3780">
        <v>22.65</v>
      </c>
      <c r="D3780">
        <f t="shared" si="121"/>
        <v>0</v>
      </c>
      <c r="E3780">
        <v>-8.7527352297594244E-3</v>
      </c>
      <c r="G3780">
        <v>3778</v>
      </c>
      <c r="H3780">
        <f t="shared" ref="H3780:H3843" ca="1" si="122">_xlfn.NORM.INV(RAND(),$L$4,$L$6)</f>
        <v>-1.3516482001250149E-4</v>
      </c>
    </row>
    <row r="3781" spans="2:8" x14ac:dyDescent="0.3">
      <c r="B3781" s="113">
        <v>37993</v>
      </c>
      <c r="C3781">
        <v>22.65</v>
      </c>
      <c r="D3781">
        <f t="shared" si="121"/>
        <v>-0.89119469664216744</v>
      </c>
      <c r="E3781">
        <v>-8.7527352297594244E-3</v>
      </c>
      <c r="G3781">
        <v>3779</v>
      </c>
      <c r="H3781">
        <f t="shared" ca="1" si="122"/>
        <v>1.6971615249822429E-2</v>
      </c>
    </row>
    <row r="3782" spans="2:8" x14ac:dyDescent="0.3">
      <c r="B3782" s="113">
        <v>42150</v>
      </c>
      <c r="C3782">
        <v>208.17</v>
      </c>
      <c r="D3782">
        <f t="shared" si="121"/>
        <v>2.6310832025117734</v>
      </c>
      <c r="E3782">
        <v>-8.8086848871537123E-3</v>
      </c>
      <c r="G3782">
        <v>3780</v>
      </c>
      <c r="H3782">
        <f t="shared" ca="1" si="122"/>
        <v>1.2120407622314162E-2</v>
      </c>
    </row>
    <row r="3783" spans="2:8" x14ac:dyDescent="0.3">
      <c r="B3783" s="113">
        <v>39818</v>
      </c>
      <c r="C3783">
        <v>57.33</v>
      </c>
      <c r="D3783">
        <f t="shared" si="121"/>
        <v>-0.67089552238805972</v>
      </c>
      <c r="E3783">
        <v>-8.8174273858922046E-3</v>
      </c>
      <c r="G3783">
        <v>3781</v>
      </c>
      <c r="H3783">
        <f t="shared" ca="1" si="122"/>
        <v>-2.639561686540871E-2</v>
      </c>
    </row>
    <row r="3784" spans="2:8" x14ac:dyDescent="0.3">
      <c r="B3784" s="113">
        <v>44096</v>
      </c>
      <c r="C3784">
        <v>174.2</v>
      </c>
      <c r="D3784">
        <f t="shared" si="121"/>
        <v>-0.34040136312003039</v>
      </c>
      <c r="E3784">
        <v>-8.8193456614509887E-3</v>
      </c>
      <c r="G3784">
        <v>3782</v>
      </c>
      <c r="H3784">
        <f t="shared" ca="1" si="122"/>
        <v>-4.9403028079135543E-3</v>
      </c>
    </row>
    <row r="3785" spans="2:8" x14ac:dyDescent="0.3">
      <c r="B3785" s="113">
        <v>43150</v>
      </c>
      <c r="C3785">
        <v>264.10000000000002</v>
      </c>
      <c r="D3785">
        <f t="shared" si="121"/>
        <v>13.688542825361514</v>
      </c>
      <c r="E3785">
        <v>-8.819665978607491E-3</v>
      </c>
      <c r="G3785">
        <v>3783</v>
      </c>
      <c r="H3785">
        <f t="shared" ca="1" si="122"/>
        <v>1.7442838418088146E-2</v>
      </c>
    </row>
    <row r="3786" spans="2:8" x14ac:dyDescent="0.3">
      <c r="B3786" s="113">
        <v>37893</v>
      </c>
      <c r="C3786">
        <v>17.98</v>
      </c>
      <c r="D3786">
        <f t="shared" si="121"/>
        <v>-0.92719173921846532</v>
      </c>
      <c r="E3786">
        <v>-8.8202866593164349E-3</v>
      </c>
      <c r="G3786">
        <v>3784</v>
      </c>
      <c r="H3786">
        <f t="shared" ca="1" si="122"/>
        <v>-5.9896368279546029E-3</v>
      </c>
    </row>
    <row r="3787" spans="2:8" x14ac:dyDescent="0.3">
      <c r="B3787" s="113">
        <v>43796</v>
      </c>
      <c r="C3787">
        <v>246.95</v>
      </c>
      <c r="D3787">
        <f t="shared" si="121"/>
        <v>7.4629883481836865</v>
      </c>
      <c r="E3787">
        <v>-8.8300220750552553E-3</v>
      </c>
      <c r="G3787">
        <v>3785</v>
      </c>
      <c r="H3787">
        <f t="shared" ca="1" si="122"/>
        <v>6.1906640317984339E-3</v>
      </c>
    </row>
    <row r="3788" spans="2:8" x14ac:dyDescent="0.3">
      <c r="B3788" s="113">
        <v>38391</v>
      </c>
      <c r="C3788">
        <v>29.18</v>
      </c>
      <c r="D3788">
        <f t="shared" si="121"/>
        <v>0.7348394768133174</v>
      </c>
      <c r="E3788">
        <v>-8.8315217391304879E-3</v>
      </c>
      <c r="G3788">
        <v>3786</v>
      </c>
      <c r="H3788">
        <f t="shared" ca="1" si="122"/>
        <v>-9.9214891574891176E-3</v>
      </c>
    </row>
    <row r="3789" spans="2:8" x14ac:dyDescent="0.3">
      <c r="B3789" s="113">
        <v>37799</v>
      </c>
      <c r="C3789">
        <v>16.82</v>
      </c>
      <c r="D3789">
        <f t="shared" si="121"/>
        <v>-0.84529065489330402</v>
      </c>
      <c r="E3789">
        <v>-8.8391278727164759E-3</v>
      </c>
      <c r="G3789">
        <v>3787</v>
      </c>
      <c r="H3789">
        <f t="shared" ca="1" si="122"/>
        <v>3.4372276397764023E-2</v>
      </c>
    </row>
    <row r="3790" spans="2:8" x14ac:dyDescent="0.3">
      <c r="B3790" s="113">
        <v>40424</v>
      </c>
      <c r="C3790">
        <v>108.72</v>
      </c>
      <c r="D3790">
        <f t="shared" si="121"/>
        <v>0.27920931874338162</v>
      </c>
      <c r="E3790">
        <v>-8.8431032910930695E-3</v>
      </c>
      <c r="G3790">
        <v>3788</v>
      </c>
      <c r="H3790">
        <f t="shared" ca="1" si="122"/>
        <v>-3.3184573181402311E-3</v>
      </c>
    </row>
    <row r="3791" spans="2:8" x14ac:dyDescent="0.3">
      <c r="B3791" s="113">
        <v>40101</v>
      </c>
      <c r="C3791">
        <v>84.99</v>
      </c>
      <c r="D3791">
        <f t="shared" si="121"/>
        <v>-0.66220190779014321</v>
      </c>
      <c r="E3791">
        <v>-8.8629737609330038E-3</v>
      </c>
      <c r="G3791">
        <v>3789</v>
      </c>
      <c r="H3791">
        <f t="shared" ca="1" si="122"/>
        <v>-2.8616870141629299E-3</v>
      </c>
    </row>
    <row r="3792" spans="2:8" x14ac:dyDescent="0.3">
      <c r="B3792" s="113">
        <v>43075</v>
      </c>
      <c r="C3792">
        <v>251.6</v>
      </c>
      <c r="D3792">
        <f t="shared" si="121"/>
        <v>2.3388244864754933E-2</v>
      </c>
      <c r="E3792">
        <v>-8.8635020681504823E-3</v>
      </c>
      <c r="G3792">
        <v>3790</v>
      </c>
      <c r="H3792">
        <f t="shared" ca="1" si="122"/>
        <v>2.0227478956323874E-2</v>
      </c>
    </row>
    <row r="3793" spans="2:8" x14ac:dyDescent="0.3">
      <c r="B3793" s="113">
        <v>42640</v>
      </c>
      <c r="C3793">
        <v>245.85</v>
      </c>
      <c r="D3793">
        <f t="shared" si="121"/>
        <v>-8.2135523613963132E-2</v>
      </c>
      <c r="E3793">
        <v>-8.8691796008869856E-3</v>
      </c>
      <c r="G3793">
        <v>3791</v>
      </c>
      <c r="H3793">
        <f t="shared" ca="1" si="122"/>
        <v>1.2309752512387665E-2</v>
      </c>
    </row>
    <row r="3794" spans="2:8" x14ac:dyDescent="0.3">
      <c r="B3794" s="113">
        <v>43264</v>
      </c>
      <c r="C3794">
        <v>267.85000000000002</v>
      </c>
      <c r="D3794">
        <f t="shared" si="121"/>
        <v>0.13471722092776958</v>
      </c>
      <c r="E3794">
        <v>-8.8806660499536616E-3</v>
      </c>
      <c r="G3794">
        <v>3792</v>
      </c>
      <c r="H3794">
        <f t="shared" ca="1" si="122"/>
        <v>1.8271824840094864E-2</v>
      </c>
    </row>
    <row r="3795" spans="2:8" x14ac:dyDescent="0.3">
      <c r="B3795" s="113">
        <v>41851</v>
      </c>
      <c r="C3795">
        <v>236.05</v>
      </c>
      <c r="D3795">
        <f t="shared" si="121"/>
        <v>4.5790593240368711</v>
      </c>
      <c r="E3795">
        <v>-8.9012050216231101E-3</v>
      </c>
      <c r="G3795">
        <v>3793</v>
      </c>
      <c r="H3795">
        <f t="shared" ca="1" si="122"/>
        <v>1.3849893191098767E-2</v>
      </c>
    </row>
    <row r="3796" spans="2:8" x14ac:dyDescent="0.3">
      <c r="B3796" s="113">
        <v>38636</v>
      </c>
      <c r="C3796">
        <v>42.31</v>
      </c>
      <c r="D3796">
        <f t="shared" si="121"/>
        <v>2.3640661938546375E-4</v>
      </c>
      <c r="E3796">
        <v>-8.9013820566876435E-3</v>
      </c>
      <c r="G3796">
        <v>3794</v>
      </c>
      <c r="H3796">
        <f t="shared" ca="1" si="122"/>
        <v>1.4562907755765563E-2</v>
      </c>
    </row>
    <row r="3797" spans="2:8" x14ac:dyDescent="0.3">
      <c r="B3797" s="113">
        <v>38666</v>
      </c>
      <c r="C3797">
        <v>42.3</v>
      </c>
      <c r="D3797">
        <f t="shared" si="121"/>
        <v>-0.83476562499999996</v>
      </c>
      <c r="E3797">
        <v>-8.9034676663543241E-3</v>
      </c>
      <c r="G3797">
        <v>3795</v>
      </c>
      <c r="H3797">
        <f t="shared" ca="1" si="122"/>
        <v>-1.0671071666571177E-3</v>
      </c>
    </row>
    <row r="3798" spans="2:8" x14ac:dyDescent="0.3">
      <c r="B3798" s="113">
        <v>43182</v>
      </c>
      <c r="C3798">
        <v>256</v>
      </c>
      <c r="D3798">
        <f t="shared" si="121"/>
        <v>2.1546518792359826</v>
      </c>
      <c r="E3798">
        <v>-8.9043747580333388E-3</v>
      </c>
      <c r="G3798">
        <v>3796</v>
      </c>
      <c r="H3798">
        <f t="shared" ca="1" si="122"/>
        <v>2.8316310244304616E-2</v>
      </c>
    </row>
    <row r="3799" spans="2:8" x14ac:dyDescent="0.3">
      <c r="B3799" s="113">
        <v>40168</v>
      </c>
      <c r="C3799">
        <v>81.150000000000006</v>
      </c>
      <c r="D3799">
        <f t="shared" si="121"/>
        <v>0.6976987447698747</v>
      </c>
      <c r="E3799">
        <v>-8.9154860771860009E-3</v>
      </c>
      <c r="G3799">
        <v>3797</v>
      </c>
      <c r="H3799">
        <f t="shared" ca="1" si="122"/>
        <v>-5.7172590385372403E-2</v>
      </c>
    </row>
    <row r="3800" spans="2:8" x14ac:dyDescent="0.3">
      <c r="B3800" s="113">
        <v>38733</v>
      </c>
      <c r="C3800">
        <v>47.8</v>
      </c>
      <c r="D3800">
        <f t="shared" si="121"/>
        <v>-0.79091942962120543</v>
      </c>
      <c r="E3800">
        <v>-8.9156126891975895E-3</v>
      </c>
      <c r="G3800">
        <v>3798</v>
      </c>
      <c r="H3800">
        <f t="shared" ca="1" si="122"/>
        <v>1.8829819162965171E-3</v>
      </c>
    </row>
    <row r="3801" spans="2:8" x14ac:dyDescent="0.3">
      <c r="B3801" s="113">
        <v>42121</v>
      </c>
      <c r="C3801">
        <v>228.62</v>
      </c>
      <c r="D3801">
        <f t="shared" si="121"/>
        <v>1.7921348314606744</v>
      </c>
      <c r="E3801">
        <v>-8.9301196462632307E-3</v>
      </c>
      <c r="G3801">
        <v>3799</v>
      </c>
      <c r="H3801">
        <f t="shared" ca="1" si="122"/>
        <v>4.0539722347021794E-2</v>
      </c>
    </row>
    <row r="3802" spans="2:8" x14ac:dyDescent="0.3">
      <c r="B3802" s="113">
        <v>40165</v>
      </c>
      <c r="C3802">
        <v>81.88</v>
      </c>
      <c r="D3802">
        <f t="shared" si="121"/>
        <v>-0.56936993794046487</v>
      </c>
      <c r="E3802">
        <v>-8.956669087388151E-3</v>
      </c>
      <c r="G3802">
        <v>3800</v>
      </c>
      <c r="H3802">
        <f t="shared" ca="1" si="122"/>
        <v>-7.4959740282095916E-3</v>
      </c>
    </row>
    <row r="3803" spans="2:8" x14ac:dyDescent="0.3">
      <c r="B3803" s="113">
        <v>41274</v>
      </c>
      <c r="C3803">
        <v>190.14</v>
      </c>
      <c r="D3803">
        <f t="shared" si="121"/>
        <v>0.23227478937135432</v>
      </c>
      <c r="E3803">
        <v>-8.9648702178673368E-3</v>
      </c>
      <c r="G3803">
        <v>3801</v>
      </c>
      <c r="H3803">
        <f t="shared" ca="1" si="122"/>
        <v>-3.2666782861272593E-2</v>
      </c>
    </row>
    <row r="3804" spans="2:8" x14ac:dyDescent="0.3">
      <c r="B3804" s="113">
        <v>41051</v>
      </c>
      <c r="C3804">
        <v>154.30000000000001</v>
      </c>
      <c r="D3804">
        <f t="shared" si="121"/>
        <v>3.1201602136181577</v>
      </c>
      <c r="E3804">
        <v>-8.9916506101475752E-3</v>
      </c>
      <c r="G3804">
        <v>3802</v>
      </c>
      <c r="H3804">
        <f t="shared" ca="1" si="122"/>
        <v>-2.2128892385219152E-2</v>
      </c>
    </row>
    <row r="3805" spans="2:8" x14ac:dyDescent="0.3">
      <c r="B3805" s="113">
        <v>38582</v>
      </c>
      <c r="C3805">
        <v>37.450000000000003</v>
      </c>
      <c r="D3805">
        <f t="shared" si="121"/>
        <v>-0.81917821447539962</v>
      </c>
      <c r="E3805">
        <v>-8.9970891770308637E-3</v>
      </c>
      <c r="G3805">
        <v>3803</v>
      </c>
      <c r="H3805">
        <f t="shared" ca="1" si="122"/>
        <v>4.265666707724957E-2</v>
      </c>
    </row>
    <row r="3806" spans="2:8" x14ac:dyDescent="0.3">
      <c r="B3806" s="113">
        <v>42409</v>
      </c>
      <c r="C3806">
        <v>207.11</v>
      </c>
      <c r="D3806">
        <f t="shared" si="121"/>
        <v>0.53665232230301241</v>
      </c>
      <c r="E3806">
        <v>-9.043062200956872E-3</v>
      </c>
      <c r="G3806">
        <v>3804</v>
      </c>
      <c r="H3806">
        <f t="shared" ca="1" si="122"/>
        <v>-8.4383189500298692E-3</v>
      </c>
    </row>
    <row r="3807" spans="2:8" x14ac:dyDescent="0.3">
      <c r="B3807" s="113">
        <v>40919</v>
      </c>
      <c r="C3807">
        <v>134.78</v>
      </c>
      <c r="D3807">
        <f t="shared" si="121"/>
        <v>1.1965449804432855</v>
      </c>
      <c r="E3807">
        <v>-9.0434526873023301E-3</v>
      </c>
      <c r="G3807">
        <v>3805</v>
      </c>
      <c r="H3807">
        <f t="shared" ca="1" si="122"/>
        <v>2.8796074242346797E-2</v>
      </c>
    </row>
    <row r="3808" spans="2:8" x14ac:dyDescent="0.3">
      <c r="B3808" s="113">
        <v>39059</v>
      </c>
      <c r="C3808">
        <v>61.36</v>
      </c>
      <c r="D3808">
        <f t="shared" si="121"/>
        <v>-6.5773447015834458E-2</v>
      </c>
      <c r="E3808">
        <v>-9.0439276485788471E-3</v>
      </c>
      <c r="G3808">
        <v>3806</v>
      </c>
      <c r="H3808">
        <f t="shared" ca="1" si="122"/>
        <v>2.9118734804528857E-2</v>
      </c>
    </row>
    <row r="3809" spans="2:8" x14ac:dyDescent="0.3">
      <c r="B3809" s="113">
        <v>39612</v>
      </c>
      <c r="C3809">
        <v>65.680000000000007</v>
      </c>
      <c r="D3809">
        <f t="shared" si="121"/>
        <v>-0.6871338065069309</v>
      </c>
      <c r="E3809">
        <v>-9.0525045262521767E-3</v>
      </c>
      <c r="G3809">
        <v>3807</v>
      </c>
      <c r="H3809">
        <f t="shared" ca="1" si="122"/>
        <v>-6.4925909110773675E-3</v>
      </c>
    </row>
    <row r="3810" spans="2:8" x14ac:dyDescent="0.3">
      <c r="B3810" s="113">
        <v>41589</v>
      </c>
      <c r="C3810">
        <v>209.93</v>
      </c>
      <c r="D3810">
        <f t="shared" si="121"/>
        <v>-0.19935163996948888</v>
      </c>
      <c r="E3810">
        <v>-9.0630162851073285E-3</v>
      </c>
      <c r="G3810">
        <v>3808</v>
      </c>
      <c r="H3810">
        <f t="shared" ca="1" si="122"/>
        <v>-1.6558799665072663E-2</v>
      </c>
    </row>
    <row r="3811" spans="2:8" x14ac:dyDescent="0.3">
      <c r="B3811" s="113">
        <v>42794</v>
      </c>
      <c r="C3811">
        <v>262.2</v>
      </c>
      <c r="D3811">
        <f t="shared" si="121"/>
        <v>0.18949326316744536</v>
      </c>
      <c r="E3811">
        <v>-9.0702947845806275E-3</v>
      </c>
      <c r="G3811">
        <v>3809</v>
      </c>
      <c r="H3811">
        <f t="shared" ca="1" si="122"/>
        <v>3.5657752836363389E-2</v>
      </c>
    </row>
    <row r="3812" spans="2:8" x14ac:dyDescent="0.3">
      <c r="B3812" s="113">
        <v>41417</v>
      </c>
      <c r="C3812">
        <v>220.43</v>
      </c>
      <c r="D3812">
        <f t="shared" si="121"/>
        <v>-0.20722891566265061</v>
      </c>
      <c r="E3812">
        <v>-9.0806922904022556E-3</v>
      </c>
      <c r="G3812">
        <v>3810</v>
      </c>
      <c r="H3812">
        <f t="shared" ca="1" si="122"/>
        <v>3.4758059446436639E-3</v>
      </c>
    </row>
    <row r="3813" spans="2:8" x14ac:dyDescent="0.3">
      <c r="B3813" s="113">
        <v>43630</v>
      </c>
      <c r="C3813">
        <v>278.05</v>
      </c>
      <c r="D3813">
        <f t="shared" si="121"/>
        <v>0.32266197317096379</v>
      </c>
      <c r="E3813">
        <v>-9.0876692801140808E-3</v>
      </c>
      <c r="G3813">
        <v>3811</v>
      </c>
      <c r="H3813">
        <f t="shared" ca="1" si="122"/>
        <v>3.1004073476496571E-2</v>
      </c>
    </row>
    <row r="3814" spans="2:8" x14ac:dyDescent="0.3">
      <c r="B3814" s="113">
        <v>42251</v>
      </c>
      <c r="C3814">
        <v>210.22</v>
      </c>
      <c r="D3814">
        <f t="shared" si="121"/>
        <v>2.3288994457640539</v>
      </c>
      <c r="E3814">
        <v>-9.0973367900071024E-3</v>
      </c>
      <c r="G3814">
        <v>3812</v>
      </c>
      <c r="H3814">
        <f t="shared" ca="1" si="122"/>
        <v>-6.2934706022814398E-3</v>
      </c>
    </row>
    <row r="3815" spans="2:8" x14ac:dyDescent="0.3">
      <c r="B3815" s="113">
        <v>39519</v>
      </c>
      <c r="C3815">
        <v>63.15</v>
      </c>
      <c r="D3815">
        <f t="shared" si="121"/>
        <v>-0.79254270696452034</v>
      </c>
      <c r="E3815">
        <v>-9.1008943982425605E-3</v>
      </c>
      <c r="G3815">
        <v>3813</v>
      </c>
      <c r="H3815">
        <f t="shared" ca="1" si="122"/>
        <v>-4.4208482649542462E-2</v>
      </c>
    </row>
    <row r="3816" spans="2:8" x14ac:dyDescent="0.3">
      <c r="B3816" s="113">
        <v>43573</v>
      </c>
      <c r="C3816">
        <v>304.39999999999998</v>
      </c>
      <c r="D3816">
        <f t="shared" si="121"/>
        <v>0.43958382596358475</v>
      </c>
      <c r="E3816">
        <v>-9.1145833333333703E-3</v>
      </c>
      <c r="G3816">
        <v>3814</v>
      </c>
      <c r="H3816">
        <f t="shared" ca="1" si="122"/>
        <v>-8.9061618396585971E-3</v>
      </c>
    </row>
    <row r="3817" spans="2:8" x14ac:dyDescent="0.3">
      <c r="B3817" s="113">
        <v>44201</v>
      </c>
      <c r="C3817">
        <v>211.45</v>
      </c>
      <c r="D3817">
        <f t="shared" si="121"/>
        <v>-6.6157311310338821E-2</v>
      </c>
      <c r="E3817">
        <v>-9.1377694470478766E-3</v>
      </c>
      <c r="G3817">
        <v>3815</v>
      </c>
      <c r="H3817">
        <f t="shared" ca="1" si="122"/>
        <v>-1.5639451191281944E-2</v>
      </c>
    </row>
    <row r="3818" spans="2:8" x14ac:dyDescent="0.3">
      <c r="B3818" s="113">
        <v>41569</v>
      </c>
      <c r="C3818">
        <v>226.43</v>
      </c>
      <c r="D3818">
        <f t="shared" si="121"/>
        <v>2.4266041162227605</v>
      </c>
      <c r="E3818">
        <v>-9.1458078067565354E-3</v>
      </c>
      <c r="G3818">
        <v>3816</v>
      </c>
      <c r="H3818">
        <f t="shared" ca="1" si="122"/>
        <v>-2.318609888707324E-2</v>
      </c>
    </row>
    <row r="3819" spans="2:8" x14ac:dyDescent="0.3">
      <c r="B3819" s="113">
        <v>39477</v>
      </c>
      <c r="C3819">
        <v>66.08</v>
      </c>
      <c r="D3819">
        <f t="shared" si="121"/>
        <v>0.60700389105058372</v>
      </c>
      <c r="E3819">
        <v>-9.1467986204828225E-3</v>
      </c>
      <c r="G3819">
        <v>3817</v>
      </c>
      <c r="H3819">
        <f t="shared" ca="1" si="122"/>
        <v>-2.7305062578325646E-2</v>
      </c>
    </row>
    <row r="3820" spans="2:8" x14ac:dyDescent="0.3">
      <c r="B3820" s="113">
        <v>38642</v>
      </c>
      <c r="C3820">
        <v>41.12</v>
      </c>
      <c r="D3820">
        <f t="shared" si="121"/>
        <v>-0.86166526492851137</v>
      </c>
      <c r="E3820">
        <v>-9.1566265060241576E-3</v>
      </c>
      <c r="G3820">
        <v>3818</v>
      </c>
      <c r="H3820">
        <f t="shared" ca="1" si="122"/>
        <v>1.4085145570933797E-2</v>
      </c>
    </row>
    <row r="3821" spans="2:8" x14ac:dyDescent="0.3">
      <c r="B3821" s="113">
        <v>43553</v>
      </c>
      <c r="C3821">
        <v>297.25</v>
      </c>
      <c r="D3821">
        <f t="shared" si="121"/>
        <v>0.48662165541385355</v>
      </c>
      <c r="E3821">
        <v>-9.1666666666666667E-3</v>
      </c>
      <c r="G3821">
        <v>3819</v>
      </c>
      <c r="H3821">
        <f t="shared" ca="1" si="122"/>
        <v>-2.2965173262799815E-2</v>
      </c>
    </row>
    <row r="3822" spans="2:8" x14ac:dyDescent="0.3">
      <c r="B3822" s="113">
        <v>42159</v>
      </c>
      <c r="C3822">
        <v>199.95</v>
      </c>
      <c r="D3822">
        <f t="shared" si="121"/>
        <v>1.3730121053880842</v>
      </c>
      <c r="E3822">
        <v>-9.1674925668980313E-3</v>
      </c>
      <c r="G3822">
        <v>3820</v>
      </c>
      <c r="H3822">
        <f t="shared" ca="1" si="122"/>
        <v>1.2528349568211056E-2</v>
      </c>
    </row>
    <row r="3823" spans="2:8" x14ac:dyDescent="0.3">
      <c r="B3823" s="113">
        <v>40157</v>
      </c>
      <c r="C3823">
        <v>84.26</v>
      </c>
      <c r="D3823">
        <f t="shared" si="121"/>
        <v>-0.28435535926617966</v>
      </c>
      <c r="E3823">
        <v>-9.1721542803386777E-3</v>
      </c>
      <c r="G3823">
        <v>3821</v>
      </c>
      <c r="H3823">
        <f t="shared" ca="1" si="122"/>
        <v>-3.6312872133432622E-2</v>
      </c>
    </row>
    <row r="3824" spans="2:8" x14ac:dyDescent="0.3">
      <c r="B3824" s="113">
        <v>40632</v>
      </c>
      <c r="C3824">
        <v>117.74</v>
      </c>
      <c r="D3824">
        <f t="shared" si="121"/>
        <v>0.55761344093134002</v>
      </c>
      <c r="E3824">
        <v>-9.1727678195742107E-3</v>
      </c>
      <c r="G3824">
        <v>3822</v>
      </c>
      <c r="H3824">
        <f t="shared" ca="1" si="122"/>
        <v>3.7619841281876586E-2</v>
      </c>
    </row>
    <row r="3825" spans="2:8" x14ac:dyDescent="0.3">
      <c r="B3825" s="113">
        <v>40058</v>
      </c>
      <c r="C3825">
        <v>75.59</v>
      </c>
      <c r="D3825">
        <f t="shared" si="121"/>
        <v>4.3877405559515328</v>
      </c>
      <c r="E3825">
        <v>-9.1755144842050433E-3</v>
      </c>
      <c r="G3825">
        <v>3823</v>
      </c>
      <c r="H3825">
        <f t="shared" ca="1" si="122"/>
        <v>-1.8680030131310321E-2</v>
      </c>
    </row>
    <row r="3826" spans="2:8" x14ac:dyDescent="0.3">
      <c r="B3826" s="113">
        <v>37693</v>
      </c>
      <c r="C3826">
        <v>14.03</v>
      </c>
      <c r="D3826">
        <f t="shared" si="121"/>
        <v>-0.94085160202360874</v>
      </c>
      <c r="E3826">
        <v>-9.1807909604520333E-3</v>
      </c>
      <c r="G3826">
        <v>3824</v>
      </c>
      <c r="H3826">
        <f t="shared" ca="1" si="122"/>
        <v>-3.2819768255410477E-2</v>
      </c>
    </row>
    <row r="3827" spans="2:8" x14ac:dyDescent="0.3">
      <c r="B3827" s="113">
        <v>43725</v>
      </c>
      <c r="C3827">
        <v>237.2</v>
      </c>
      <c r="D3827">
        <f t="shared" si="121"/>
        <v>-4.2196648495861161E-2</v>
      </c>
      <c r="E3827">
        <v>-9.1896407685882076E-3</v>
      </c>
      <c r="G3827">
        <v>3825</v>
      </c>
      <c r="H3827">
        <f t="shared" ca="1" si="122"/>
        <v>4.9469995551501035E-2</v>
      </c>
    </row>
    <row r="3828" spans="2:8" x14ac:dyDescent="0.3">
      <c r="B3828" s="113">
        <v>42591</v>
      </c>
      <c r="C3828">
        <v>247.65</v>
      </c>
      <c r="D3828">
        <f t="shared" si="121"/>
        <v>0.19863510962683312</v>
      </c>
      <c r="E3828">
        <v>-9.2018403680735467E-3</v>
      </c>
      <c r="G3828">
        <v>3826</v>
      </c>
      <c r="H3828">
        <f t="shared" ca="1" si="122"/>
        <v>1.9058542570592512E-2</v>
      </c>
    </row>
    <row r="3829" spans="2:8" x14ac:dyDescent="0.3">
      <c r="B3829" s="113">
        <v>42212</v>
      </c>
      <c r="C3829">
        <v>206.61</v>
      </c>
      <c r="D3829">
        <f t="shared" si="121"/>
        <v>3.0953419226957388</v>
      </c>
      <c r="E3829">
        <v>-9.2073083009638294E-3</v>
      </c>
      <c r="G3829">
        <v>3827</v>
      </c>
      <c r="H3829">
        <f t="shared" ca="1" si="122"/>
        <v>-4.1692589028451358E-3</v>
      </c>
    </row>
    <row r="3830" spans="2:8" x14ac:dyDescent="0.3">
      <c r="B3830" s="113">
        <v>39287</v>
      </c>
      <c r="C3830">
        <v>50.45</v>
      </c>
      <c r="D3830">
        <f t="shared" si="121"/>
        <v>-0.81914321563004122</v>
      </c>
      <c r="E3830">
        <v>-9.2301649646504089E-3</v>
      </c>
      <c r="G3830">
        <v>3828</v>
      </c>
      <c r="H3830">
        <f t="shared" ca="1" si="122"/>
        <v>-1.0857381059105631E-2</v>
      </c>
    </row>
    <row r="3831" spans="2:8" x14ac:dyDescent="0.3">
      <c r="B3831" s="113">
        <v>42830</v>
      </c>
      <c r="C3831">
        <v>278.95</v>
      </c>
      <c r="D3831">
        <f t="shared" si="121"/>
        <v>0.26376115616363882</v>
      </c>
      <c r="E3831">
        <v>-9.234594210619864E-3</v>
      </c>
      <c r="G3831">
        <v>3829</v>
      </c>
      <c r="H3831">
        <f t="shared" ca="1" si="122"/>
        <v>-3.0007646867964298E-4</v>
      </c>
    </row>
    <row r="3832" spans="2:8" x14ac:dyDescent="0.3">
      <c r="B3832" s="113">
        <v>41808</v>
      </c>
      <c r="C3832">
        <v>220.73</v>
      </c>
      <c r="D3832">
        <f t="shared" si="121"/>
        <v>2.1718637735306796</v>
      </c>
      <c r="E3832">
        <v>-9.2463755105705037E-3</v>
      </c>
      <c r="G3832">
        <v>3830</v>
      </c>
      <c r="H3832">
        <f t="shared" ca="1" si="122"/>
        <v>2.6190536737711413E-2</v>
      </c>
    </row>
    <row r="3833" spans="2:8" x14ac:dyDescent="0.3">
      <c r="B3833" s="113">
        <v>39562</v>
      </c>
      <c r="C3833">
        <v>69.59</v>
      </c>
      <c r="D3833">
        <f t="shared" si="121"/>
        <v>-0.30102450783447166</v>
      </c>
      <c r="E3833">
        <v>-9.2539863325739116E-3</v>
      </c>
      <c r="G3833">
        <v>3831</v>
      </c>
      <c r="H3833">
        <f t="shared" ca="1" si="122"/>
        <v>-1.6190983182907716E-2</v>
      </c>
    </row>
    <row r="3834" spans="2:8" x14ac:dyDescent="0.3">
      <c r="B3834" s="113">
        <v>40368</v>
      </c>
      <c r="C3834">
        <v>99.56</v>
      </c>
      <c r="D3834">
        <f t="shared" si="121"/>
        <v>-0.21723405928139</v>
      </c>
      <c r="E3834">
        <v>-9.2546522041993505E-3</v>
      </c>
      <c r="G3834">
        <v>3832</v>
      </c>
      <c r="H3834">
        <f t="shared" ca="1" si="122"/>
        <v>-9.4117221898066643E-3</v>
      </c>
    </row>
    <row r="3835" spans="2:8" x14ac:dyDescent="0.3">
      <c r="B3835" s="113">
        <v>40661</v>
      </c>
      <c r="C3835">
        <v>127.19</v>
      </c>
      <c r="D3835">
        <f t="shared" si="121"/>
        <v>-0.53290488431876615</v>
      </c>
      <c r="E3835">
        <v>-9.2693565976008554E-3</v>
      </c>
      <c r="G3835">
        <v>3833</v>
      </c>
      <c r="H3835">
        <f t="shared" ca="1" si="122"/>
        <v>-2.2301286661472016E-2</v>
      </c>
    </row>
    <row r="3836" spans="2:8" x14ac:dyDescent="0.3">
      <c r="B3836" s="113">
        <v>43245</v>
      </c>
      <c r="C3836">
        <v>272.3</v>
      </c>
      <c r="D3836">
        <f t="shared" si="121"/>
        <v>18.632299927901947</v>
      </c>
      <c r="E3836">
        <v>-9.2777878843005677E-3</v>
      </c>
      <c r="G3836">
        <v>3834</v>
      </c>
      <c r="H3836">
        <f t="shared" ca="1" si="122"/>
        <v>-5.1829037048374618E-3</v>
      </c>
    </row>
    <row r="3837" spans="2:8" x14ac:dyDescent="0.3">
      <c r="B3837" s="113">
        <v>37432</v>
      </c>
      <c r="C3837">
        <v>13.87</v>
      </c>
      <c r="D3837">
        <f t="shared" si="121"/>
        <v>-0.88068817204301075</v>
      </c>
      <c r="E3837">
        <v>-9.2857142857143415E-3</v>
      </c>
      <c r="G3837">
        <v>3835</v>
      </c>
      <c r="H3837">
        <f t="shared" ca="1" si="122"/>
        <v>2.4841780273670129E-2</v>
      </c>
    </row>
    <row r="3838" spans="2:8" x14ac:dyDescent="0.3">
      <c r="B3838" s="113">
        <v>40493</v>
      </c>
      <c r="C3838">
        <v>116.25</v>
      </c>
      <c r="D3838">
        <f t="shared" si="121"/>
        <v>-0.56387169386606639</v>
      </c>
      <c r="E3838">
        <v>-9.2892449292654115E-3</v>
      </c>
      <c r="G3838">
        <v>3836</v>
      </c>
      <c r="H3838">
        <f t="shared" ca="1" si="122"/>
        <v>-1.7535705078752181E-2</v>
      </c>
    </row>
    <row r="3839" spans="2:8" x14ac:dyDescent="0.3">
      <c r="B3839" s="113">
        <v>43157</v>
      </c>
      <c r="C3839">
        <v>266.55</v>
      </c>
      <c r="D3839">
        <f t="shared" si="121"/>
        <v>3.5455320600272855</v>
      </c>
      <c r="E3839">
        <v>-9.2919531685560306E-3</v>
      </c>
      <c r="G3839">
        <v>3837</v>
      </c>
      <c r="H3839">
        <f t="shared" ca="1" si="122"/>
        <v>-1.3817877765110397E-3</v>
      </c>
    </row>
    <row r="3840" spans="2:8" x14ac:dyDescent="0.3">
      <c r="B3840" s="113">
        <v>38798</v>
      </c>
      <c r="C3840">
        <v>58.64</v>
      </c>
      <c r="D3840">
        <f t="shared" si="121"/>
        <v>-0.71937212863705968</v>
      </c>
      <c r="E3840">
        <v>-9.2921101537421381E-3</v>
      </c>
      <c r="G3840">
        <v>3838</v>
      </c>
      <c r="H3840">
        <f t="shared" ca="1" si="122"/>
        <v>4.1306214624523378E-3</v>
      </c>
    </row>
    <row r="3841" spans="2:8" x14ac:dyDescent="0.3">
      <c r="B3841" s="113">
        <v>42433</v>
      </c>
      <c r="C3841">
        <v>208.96</v>
      </c>
      <c r="D3841">
        <f t="shared" si="121"/>
        <v>-0.14336080022957404</v>
      </c>
      <c r="E3841">
        <v>-9.2926227953725564E-3</v>
      </c>
      <c r="G3841">
        <v>3839</v>
      </c>
      <c r="H3841">
        <f t="shared" ca="1" si="122"/>
        <v>1.6364845711983073E-2</v>
      </c>
    </row>
    <row r="3842" spans="2:8" x14ac:dyDescent="0.3">
      <c r="B3842" s="113">
        <v>41999</v>
      </c>
      <c r="C3842">
        <v>243.93</v>
      </c>
      <c r="D3842">
        <f t="shared" si="121"/>
        <v>-0.13561304039688157</v>
      </c>
      <c r="E3842">
        <v>-9.3006254569084242E-3</v>
      </c>
      <c r="G3842">
        <v>3840</v>
      </c>
      <c r="H3842">
        <f t="shared" ca="1" si="122"/>
        <v>4.0417496802038974E-2</v>
      </c>
    </row>
    <row r="3843" spans="2:8" x14ac:dyDescent="0.3">
      <c r="B3843" s="113">
        <v>43432</v>
      </c>
      <c r="C3843">
        <v>282.2</v>
      </c>
      <c r="D3843">
        <f t="shared" ref="D3843:D3906" si="123">(C3843-C3844)/C3844</f>
        <v>3.5781959766385465</v>
      </c>
      <c r="E3843">
        <v>-9.3031420045639242E-3</v>
      </c>
      <c r="G3843">
        <v>3841</v>
      </c>
      <c r="H3843">
        <f t="shared" ca="1" si="122"/>
        <v>-5.0966995313240756E-3</v>
      </c>
    </row>
    <row r="3844" spans="2:8" x14ac:dyDescent="0.3">
      <c r="B3844" s="113">
        <v>39413</v>
      </c>
      <c r="C3844">
        <v>61.64</v>
      </c>
      <c r="D3844">
        <f t="shared" si="123"/>
        <v>-0.52838561591430755</v>
      </c>
      <c r="E3844">
        <v>-9.3217614914818114E-3</v>
      </c>
      <c r="G3844">
        <v>3842</v>
      </c>
      <c r="H3844">
        <f t="shared" ref="H3844:H3907" ca="1" si="124">_xlfn.NORM.INV(RAND(),$L$4,$L$6)</f>
        <v>5.6502926775131178E-4</v>
      </c>
    </row>
    <row r="3845" spans="2:8" x14ac:dyDescent="0.3">
      <c r="B3845" s="113">
        <v>40886</v>
      </c>
      <c r="C3845">
        <v>130.69999999999999</v>
      </c>
      <c r="D3845">
        <f t="shared" si="123"/>
        <v>-0.5078139710035775</v>
      </c>
      <c r="E3845">
        <v>-9.3231259000986742E-3</v>
      </c>
      <c r="G3845">
        <v>3843</v>
      </c>
      <c r="H3845">
        <f t="shared" ca="1" si="124"/>
        <v>-1.8444437497631094E-2</v>
      </c>
    </row>
    <row r="3846" spans="2:8" x14ac:dyDescent="0.3">
      <c r="B3846" s="113">
        <v>43174</v>
      </c>
      <c r="C3846">
        <v>265.55</v>
      </c>
      <c r="D3846">
        <f t="shared" si="123"/>
        <v>0.47078371642204375</v>
      </c>
      <c r="E3846">
        <v>-9.3266181682521918E-3</v>
      </c>
      <c r="G3846">
        <v>3844</v>
      </c>
      <c r="H3846">
        <f t="shared" ca="1" si="124"/>
        <v>3.7550359937400515E-3</v>
      </c>
    </row>
    <row r="3847" spans="2:8" x14ac:dyDescent="0.3">
      <c r="B3847" s="113">
        <v>43944</v>
      </c>
      <c r="C3847">
        <v>180.55</v>
      </c>
      <c r="D3847">
        <f t="shared" si="123"/>
        <v>-0.24424445374633735</v>
      </c>
      <c r="E3847">
        <v>-9.3278463648833396E-3</v>
      </c>
      <c r="G3847">
        <v>3845</v>
      </c>
      <c r="H3847">
        <f t="shared" ca="1" si="124"/>
        <v>-2.8738738059012926E-2</v>
      </c>
    </row>
    <row r="3848" spans="2:8" x14ac:dyDescent="0.3">
      <c r="B3848" s="113">
        <v>43822</v>
      </c>
      <c r="C3848">
        <v>238.9</v>
      </c>
      <c r="D3848">
        <f t="shared" si="123"/>
        <v>5.2719873982672611</v>
      </c>
      <c r="E3848">
        <v>-9.3302923491602741E-3</v>
      </c>
      <c r="G3848">
        <v>3846</v>
      </c>
      <c r="H3848">
        <f t="shared" ca="1" si="124"/>
        <v>1.9475161033449834E-2</v>
      </c>
    </row>
    <row r="3849" spans="2:8" x14ac:dyDescent="0.3">
      <c r="B3849" s="113">
        <v>38572</v>
      </c>
      <c r="C3849">
        <v>38.090000000000003</v>
      </c>
      <c r="D3849">
        <f t="shared" si="123"/>
        <v>-0.77494830132939441</v>
      </c>
      <c r="E3849">
        <v>-9.3628088426527811E-3</v>
      </c>
      <c r="G3849">
        <v>3847</v>
      </c>
      <c r="H3849">
        <f t="shared" ca="1" si="124"/>
        <v>-2.6658517280488379E-2</v>
      </c>
    </row>
    <row r="3850" spans="2:8" x14ac:dyDescent="0.3">
      <c r="B3850" s="113">
        <v>44109</v>
      </c>
      <c r="C3850">
        <v>169.25</v>
      </c>
      <c r="D3850">
        <f t="shared" si="123"/>
        <v>1.5416729238624416</v>
      </c>
      <c r="E3850">
        <v>-9.3649400058530546E-3</v>
      </c>
      <c r="G3850">
        <v>3848</v>
      </c>
      <c r="H3850">
        <f t="shared" ca="1" si="124"/>
        <v>1.5995003288016502E-3</v>
      </c>
    </row>
    <row r="3851" spans="2:8" x14ac:dyDescent="0.3">
      <c r="B3851" s="113">
        <v>38835</v>
      </c>
      <c r="C3851">
        <v>66.59</v>
      </c>
      <c r="D3851">
        <f t="shared" si="123"/>
        <v>0.40042060988433242</v>
      </c>
      <c r="E3851">
        <v>-9.3722106515917204E-3</v>
      </c>
      <c r="G3851">
        <v>3849</v>
      </c>
      <c r="H3851">
        <f t="shared" ca="1" si="124"/>
        <v>6.6277935491620326E-3</v>
      </c>
    </row>
    <row r="3852" spans="2:8" x14ac:dyDescent="0.3">
      <c r="B3852" s="113">
        <v>38706</v>
      </c>
      <c r="C3852">
        <v>47.55</v>
      </c>
      <c r="D3852">
        <f t="shared" si="123"/>
        <v>-0.8007709389533666</v>
      </c>
      <c r="E3852">
        <v>-9.3750000000000586E-3</v>
      </c>
      <c r="G3852">
        <v>3850</v>
      </c>
      <c r="H3852">
        <f t="shared" ca="1" si="124"/>
        <v>-1.5257053899578239E-3</v>
      </c>
    </row>
    <row r="3853" spans="2:8" x14ac:dyDescent="0.3">
      <c r="B3853" s="113">
        <v>42523</v>
      </c>
      <c r="C3853">
        <v>238.67</v>
      </c>
      <c r="D3853">
        <f t="shared" si="123"/>
        <v>3.4403720930232558</v>
      </c>
      <c r="E3853">
        <v>-9.3803179346699014E-3</v>
      </c>
      <c r="G3853">
        <v>3851</v>
      </c>
      <c r="H3853">
        <f t="shared" ca="1" si="124"/>
        <v>1.1044701913729247E-2</v>
      </c>
    </row>
    <row r="3854" spans="2:8" x14ac:dyDescent="0.3">
      <c r="B3854" s="113">
        <v>39213</v>
      </c>
      <c r="C3854">
        <v>53.75</v>
      </c>
      <c r="D3854">
        <f t="shared" si="123"/>
        <v>1.428829643018527</v>
      </c>
      <c r="E3854">
        <v>-9.3991890895687071E-3</v>
      </c>
      <c r="G3854">
        <v>3852</v>
      </c>
      <c r="H3854">
        <f t="shared" ca="1" si="124"/>
        <v>-3.8580081802396526E-2</v>
      </c>
    </row>
    <row r="3855" spans="2:8" x14ac:dyDescent="0.3">
      <c r="B3855" s="113">
        <v>38021</v>
      </c>
      <c r="C3855">
        <v>22.13</v>
      </c>
      <c r="D3855">
        <f t="shared" si="123"/>
        <v>-4.3647363872083039E-2</v>
      </c>
      <c r="E3855">
        <v>-9.4001790510295814E-3</v>
      </c>
      <c r="G3855">
        <v>3853</v>
      </c>
      <c r="H3855">
        <f t="shared" ca="1" si="124"/>
        <v>2.2076787345153212E-2</v>
      </c>
    </row>
    <row r="3856" spans="2:8" x14ac:dyDescent="0.3">
      <c r="B3856" s="113">
        <v>38113</v>
      </c>
      <c r="C3856">
        <v>23.14</v>
      </c>
      <c r="D3856">
        <f t="shared" si="123"/>
        <v>0.57307953772943565</v>
      </c>
      <c r="E3856">
        <v>-9.4178082191780331E-3</v>
      </c>
      <c r="G3856">
        <v>3854</v>
      </c>
      <c r="H3856">
        <f t="shared" ca="1" si="124"/>
        <v>-7.6948964553539799E-3</v>
      </c>
    </row>
    <row r="3857" spans="2:8" x14ac:dyDescent="0.3">
      <c r="B3857" s="113">
        <v>37480</v>
      </c>
      <c r="C3857">
        <v>14.71</v>
      </c>
      <c r="D3857">
        <f t="shared" si="123"/>
        <v>-0.85840793146597372</v>
      </c>
      <c r="E3857">
        <v>-9.4276094276093472E-3</v>
      </c>
      <c r="G3857">
        <v>3855</v>
      </c>
      <c r="H3857">
        <f t="shared" ca="1" si="124"/>
        <v>-3.562923874614015E-2</v>
      </c>
    </row>
    <row r="3858" spans="2:8" x14ac:dyDescent="0.3">
      <c r="B3858" s="113">
        <v>40596</v>
      </c>
      <c r="C3858">
        <v>103.89</v>
      </c>
      <c r="D3858">
        <f t="shared" si="123"/>
        <v>0.35644339992166074</v>
      </c>
      <c r="E3858">
        <v>-9.439359267734506E-3</v>
      </c>
      <c r="G3858">
        <v>3856</v>
      </c>
      <c r="H3858">
        <f t="shared" ca="1" si="124"/>
        <v>-2.8119340593333601E-2</v>
      </c>
    </row>
    <row r="3859" spans="2:8" x14ac:dyDescent="0.3">
      <c r="B3859" s="113">
        <v>40063</v>
      </c>
      <c r="C3859">
        <v>76.59</v>
      </c>
      <c r="D3859">
        <f t="shared" si="123"/>
        <v>0.62957446808510642</v>
      </c>
      <c r="E3859">
        <v>-9.4412829798239759E-3</v>
      </c>
      <c r="G3859">
        <v>3857</v>
      </c>
      <c r="H3859">
        <f t="shared" ca="1" si="124"/>
        <v>-5.0718543545573225E-3</v>
      </c>
    </row>
    <row r="3860" spans="2:8" x14ac:dyDescent="0.3">
      <c r="B3860" s="113">
        <v>38622</v>
      </c>
      <c r="C3860">
        <v>47</v>
      </c>
      <c r="D3860">
        <f t="shared" si="123"/>
        <v>-0.6335282651072125</v>
      </c>
      <c r="E3860">
        <v>-9.4836670179136526E-3</v>
      </c>
      <c r="G3860">
        <v>3858</v>
      </c>
      <c r="H3860">
        <f t="shared" ca="1" si="124"/>
        <v>-3.6272202413187994E-2</v>
      </c>
    </row>
    <row r="3861" spans="2:8" x14ac:dyDescent="0.3">
      <c r="B3861" s="113">
        <v>40697</v>
      </c>
      <c r="C3861">
        <v>128.25</v>
      </c>
      <c r="D3861">
        <f t="shared" si="123"/>
        <v>-0.4962686567164179</v>
      </c>
      <c r="E3861">
        <v>-9.4995366079702638E-3</v>
      </c>
      <c r="G3861">
        <v>3859</v>
      </c>
      <c r="H3861">
        <f t="shared" ca="1" si="124"/>
        <v>-8.8975664224402E-3</v>
      </c>
    </row>
    <row r="3862" spans="2:8" x14ac:dyDescent="0.3">
      <c r="B3862" s="113">
        <v>44649</v>
      </c>
      <c r="C3862">
        <v>254.6</v>
      </c>
      <c r="D3862">
        <f t="shared" si="123"/>
        <v>9.2125952667468916</v>
      </c>
      <c r="E3862">
        <v>-9.5312196070804003E-3</v>
      </c>
      <c r="G3862">
        <v>3860</v>
      </c>
      <c r="H3862">
        <f t="shared" ca="1" si="124"/>
        <v>1.192690108543608E-2</v>
      </c>
    </row>
    <row r="3863" spans="2:8" x14ac:dyDescent="0.3">
      <c r="B3863" s="113">
        <v>38258</v>
      </c>
      <c r="C3863">
        <v>24.93</v>
      </c>
      <c r="D3863">
        <f t="shared" si="123"/>
        <v>-0.27190420560747669</v>
      </c>
      <c r="E3863">
        <v>-9.5351609058403636E-3</v>
      </c>
      <c r="G3863">
        <v>3861</v>
      </c>
      <c r="H3863">
        <f t="shared" ca="1" si="124"/>
        <v>-1.5721738573622371E-2</v>
      </c>
    </row>
    <row r="3864" spans="2:8" x14ac:dyDescent="0.3">
      <c r="B3864" s="113">
        <v>38519</v>
      </c>
      <c r="C3864">
        <v>34.24</v>
      </c>
      <c r="D3864">
        <f t="shared" si="123"/>
        <v>-0.83434929850024186</v>
      </c>
      <c r="E3864">
        <v>-9.5458490020248268E-3</v>
      </c>
      <c r="G3864">
        <v>3862</v>
      </c>
      <c r="H3864">
        <f t="shared" ca="1" si="124"/>
        <v>5.5148956084704638E-3</v>
      </c>
    </row>
    <row r="3865" spans="2:8" x14ac:dyDescent="0.3">
      <c r="B3865" s="113">
        <v>44301</v>
      </c>
      <c r="C3865">
        <v>206.7</v>
      </c>
      <c r="D3865">
        <f t="shared" si="123"/>
        <v>1.4730796841349605</v>
      </c>
      <c r="E3865">
        <v>-9.5831336847149017E-3</v>
      </c>
      <c r="G3865">
        <v>3863</v>
      </c>
      <c r="H3865">
        <f t="shared" ca="1" si="124"/>
        <v>-6.9948451824763524E-4</v>
      </c>
    </row>
    <row r="3866" spans="2:8" x14ac:dyDescent="0.3">
      <c r="B3866" s="113">
        <v>40122</v>
      </c>
      <c r="C3866">
        <v>83.58</v>
      </c>
      <c r="D3866">
        <f t="shared" si="123"/>
        <v>0.42263829787234042</v>
      </c>
      <c r="E3866">
        <v>-9.5982936366868377E-3</v>
      </c>
      <c r="G3866">
        <v>3864</v>
      </c>
      <c r="H3866">
        <f t="shared" ca="1" si="124"/>
        <v>1.4906976795620815E-2</v>
      </c>
    </row>
    <row r="3867" spans="2:8" x14ac:dyDescent="0.3">
      <c r="B3867" s="113">
        <v>39105</v>
      </c>
      <c r="C3867">
        <v>58.75</v>
      </c>
      <c r="D3867">
        <f t="shared" si="123"/>
        <v>-0.74871685201026517</v>
      </c>
      <c r="E3867">
        <v>-9.6089008766014877E-3</v>
      </c>
      <c r="G3867">
        <v>3865</v>
      </c>
      <c r="H3867">
        <f t="shared" ca="1" si="124"/>
        <v>2.0926308844065435E-3</v>
      </c>
    </row>
    <row r="3868" spans="2:8" x14ac:dyDescent="0.3">
      <c r="B3868" s="113">
        <v>42531</v>
      </c>
      <c r="C3868">
        <v>233.8</v>
      </c>
      <c r="D3868">
        <f t="shared" si="123"/>
        <v>8.6128402861655767E-2</v>
      </c>
      <c r="E3868">
        <v>-9.6157919261235306E-3</v>
      </c>
      <c r="G3868">
        <v>3866</v>
      </c>
      <c r="H3868">
        <f t="shared" ca="1" si="124"/>
        <v>6.6600505075332843E-3</v>
      </c>
    </row>
    <row r="3869" spans="2:8" x14ac:dyDescent="0.3">
      <c r="B3869" s="113">
        <v>42138</v>
      </c>
      <c r="C3869">
        <v>215.26</v>
      </c>
      <c r="D3869">
        <f t="shared" si="123"/>
        <v>-0.18027418126428038</v>
      </c>
      <c r="E3869">
        <v>-9.6158270071313705E-3</v>
      </c>
      <c r="G3869">
        <v>3867</v>
      </c>
      <c r="H3869">
        <f t="shared" ca="1" si="124"/>
        <v>8.3182543177285299E-3</v>
      </c>
    </row>
    <row r="3870" spans="2:8" x14ac:dyDescent="0.3">
      <c r="B3870" s="113">
        <v>43276</v>
      </c>
      <c r="C3870">
        <v>262.60000000000002</v>
      </c>
      <c r="D3870">
        <f t="shared" si="123"/>
        <v>0.18807401710175098</v>
      </c>
      <c r="E3870">
        <v>-9.6171978125587591E-3</v>
      </c>
      <c r="G3870">
        <v>3868</v>
      </c>
      <c r="H3870">
        <f t="shared" ca="1" si="124"/>
        <v>9.9915436580521005E-4</v>
      </c>
    </row>
    <row r="3871" spans="2:8" x14ac:dyDescent="0.3">
      <c r="B3871" s="113">
        <v>41793</v>
      </c>
      <c r="C3871">
        <v>221.03</v>
      </c>
      <c r="D3871">
        <f t="shared" si="123"/>
        <v>0.66701862885587149</v>
      </c>
      <c r="E3871">
        <v>-9.6334797024823261E-3</v>
      </c>
      <c r="G3871">
        <v>3869</v>
      </c>
      <c r="H3871">
        <f t="shared" ca="1" si="124"/>
        <v>9.3891863553588245E-4</v>
      </c>
    </row>
    <row r="3872" spans="2:8" x14ac:dyDescent="0.3">
      <c r="B3872" s="113">
        <v>40785</v>
      </c>
      <c r="C3872">
        <v>132.59</v>
      </c>
      <c r="D3872">
        <f t="shared" si="123"/>
        <v>-0.52202595529920692</v>
      </c>
      <c r="E3872">
        <v>-9.6354944726620255E-3</v>
      </c>
      <c r="G3872">
        <v>3870</v>
      </c>
      <c r="H3872">
        <f t="shared" ca="1" si="124"/>
        <v>1.9418745342354618E-2</v>
      </c>
    </row>
    <row r="3873" spans="2:8" x14ac:dyDescent="0.3">
      <c r="B3873" s="113">
        <v>43405</v>
      </c>
      <c r="C3873">
        <v>277.39999999999998</v>
      </c>
      <c r="D3873">
        <f t="shared" si="123"/>
        <v>3.8756787118517003E-2</v>
      </c>
      <c r="E3873">
        <v>-9.6394144948234398E-3</v>
      </c>
      <c r="G3873">
        <v>3871</v>
      </c>
      <c r="H3873">
        <f t="shared" ca="1" si="124"/>
        <v>1.6574104426465633E-2</v>
      </c>
    </row>
    <row r="3874" spans="2:8" x14ac:dyDescent="0.3">
      <c r="B3874" s="113">
        <v>43031</v>
      </c>
      <c r="C3874">
        <v>267.05</v>
      </c>
      <c r="D3874">
        <f t="shared" si="123"/>
        <v>3.1396682684855062</v>
      </c>
      <c r="E3874">
        <v>-9.642128685332714E-3</v>
      </c>
      <c r="G3874">
        <v>3872</v>
      </c>
      <c r="H3874">
        <f t="shared" ca="1" si="124"/>
        <v>-6.5204013048918499E-3</v>
      </c>
    </row>
    <row r="3875" spans="2:8" x14ac:dyDescent="0.3">
      <c r="B3875" s="113">
        <v>39700</v>
      </c>
      <c r="C3875">
        <v>64.510000000000005</v>
      </c>
      <c r="D3875">
        <f t="shared" si="123"/>
        <v>-0.52625394727179253</v>
      </c>
      <c r="E3875">
        <v>-9.6714768191586645E-3</v>
      </c>
      <c r="G3875">
        <v>3873</v>
      </c>
      <c r="H3875">
        <f t="shared" ca="1" si="124"/>
        <v>1.1478752352367687E-2</v>
      </c>
    </row>
    <row r="3876" spans="2:8" x14ac:dyDescent="0.3">
      <c r="B3876" s="113">
        <v>40749</v>
      </c>
      <c r="C3876">
        <v>136.16999999999999</v>
      </c>
      <c r="D3876">
        <f t="shared" si="123"/>
        <v>-0.1686813186813188</v>
      </c>
      <c r="E3876">
        <v>-9.672727272727364E-3</v>
      </c>
      <c r="G3876">
        <v>3874</v>
      </c>
      <c r="H3876">
        <f t="shared" ca="1" si="124"/>
        <v>2.1048185862018131E-2</v>
      </c>
    </row>
    <row r="3877" spans="2:8" x14ac:dyDescent="0.3">
      <c r="B3877" s="113">
        <v>43965</v>
      </c>
      <c r="C3877">
        <v>163.80000000000001</v>
      </c>
      <c r="D3877">
        <f t="shared" si="123"/>
        <v>5.976149914821125</v>
      </c>
      <c r="E3877">
        <v>-9.6735187424425283E-3</v>
      </c>
      <c r="G3877">
        <v>3875</v>
      </c>
      <c r="H3877">
        <f t="shared" ca="1" si="124"/>
        <v>6.328846802567325E-3</v>
      </c>
    </row>
    <row r="3878" spans="2:8" x14ac:dyDescent="0.3">
      <c r="B3878" s="113">
        <v>38111</v>
      </c>
      <c r="C3878">
        <v>23.48</v>
      </c>
      <c r="D3878">
        <f t="shared" si="123"/>
        <v>-0.90041564169988975</v>
      </c>
      <c r="E3878">
        <v>-9.7005482918599926E-3</v>
      </c>
      <c r="G3878">
        <v>3876</v>
      </c>
      <c r="H3878">
        <f t="shared" ca="1" si="124"/>
        <v>-1.0504393582735611E-2</v>
      </c>
    </row>
    <row r="3879" spans="2:8" x14ac:dyDescent="0.3">
      <c r="B3879" s="113">
        <v>41950</v>
      </c>
      <c r="C3879">
        <v>235.78</v>
      </c>
      <c r="D3879">
        <f t="shared" si="123"/>
        <v>2.7419457229011273</v>
      </c>
      <c r="E3879">
        <v>-9.7438051238974942E-3</v>
      </c>
      <c r="G3879">
        <v>3877</v>
      </c>
      <c r="H3879">
        <f t="shared" ca="1" si="124"/>
        <v>2.1718944590770697E-2</v>
      </c>
    </row>
    <row r="3880" spans="2:8" x14ac:dyDescent="0.3">
      <c r="B3880" s="113">
        <v>39668</v>
      </c>
      <c r="C3880">
        <v>63.01</v>
      </c>
      <c r="D3880">
        <f t="shared" si="123"/>
        <v>2.875153751537515</v>
      </c>
      <c r="E3880">
        <v>-9.7438315260098152E-3</v>
      </c>
      <c r="G3880">
        <v>3878</v>
      </c>
      <c r="H3880">
        <f t="shared" ca="1" si="124"/>
        <v>-3.2501117230509517E-2</v>
      </c>
    </row>
    <row r="3881" spans="2:8" x14ac:dyDescent="0.3">
      <c r="B3881" s="113">
        <v>37827</v>
      </c>
      <c r="C3881">
        <v>16.260000000000002</v>
      </c>
      <c r="D3881">
        <f t="shared" si="123"/>
        <v>-0.93722007722007727</v>
      </c>
      <c r="E3881">
        <v>-9.7442143727162079E-3</v>
      </c>
      <c r="G3881">
        <v>3879</v>
      </c>
      <c r="H3881">
        <f t="shared" ca="1" si="124"/>
        <v>-2.7741976969979678E-2</v>
      </c>
    </row>
    <row r="3882" spans="2:8" x14ac:dyDescent="0.3">
      <c r="B3882" s="113">
        <v>43082</v>
      </c>
      <c r="C3882">
        <v>259</v>
      </c>
      <c r="D3882">
        <f t="shared" si="123"/>
        <v>-7.2183413935160229E-2</v>
      </c>
      <c r="E3882">
        <v>-9.749569871917458E-3</v>
      </c>
      <c r="G3882">
        <v>3880</v>
      </c>
      <c r="H3882">
        <f t="shared" ca="1" si="124"/>
        <v>-2.6173632593835185E-2</v>
      </c>
    </row>
    <row r="3883" spans="2:8" x14ac:dyDescent="0.3">
      <c r="B3883" s="113">
        <v>42838</v>
      </c>
      <c r="C3883">
        <v>279.14999999999998</v>
      </c>
      <c r="D3883">
        <f t="shared" si="123"/>
        <v>0.61826086956521731</v>
      </c>
      <c r="E3883">
        <v>-9.7552323518978364E-3</v>
      </c>
      <c r="G3883">
        <v>3881</v>
      </c>
      <c r="H3883">
        <f t="shared" ca="1" si="124"/>
        <v>9.8161803821206935E-3</v>
      </c>
    </row>
    <row r="3884" spans="2:8" x14ac:dyDescent="0.3">
      <c r="B3884" s="113">
        <v>44097</v>
      </c>
      <c r="C3884">
        <v>172.5</v>
      </c>
      <c r="D3884">
        <f t="shared" si="123"/>
        <v>-0.21945701357466063</v>
      </c>
      <c r="E3884">
        <v>-9.7588978185992464E-3</v>
      </c>
      <c r="G3884">
        <v>3882</v>
      </c>
      <c r="H3884">
        <f t="shared" ca="1" si="124"/>
        <v>2.0433865291797502E-2</v>
      </c>
    </row>
    <row r="3885" spans="2:8" x14ac:dyDescent="0.3">
      <c r="B3885" s="113">
        <v>42082</v>
      </c>
      <c r="C3885">
        <v>221</v>
      </c>
      <c r="D3885">
        <f t="shared" si="123"/>
        <v>0.13753345686637841</v>
      </c>
      <c r="E3885">
        <v>-9.767900349493713E-3</v>
      </c>
      <c r="G3885">
        <v>3883</v>
      </c>
      <c r="H3885">
        <f t="shared" ca="1" si="124"/>
        <v>8.8865322599441989E-3</v>
      </c>
    </row>
    <row r="3886" spans="2:8" x14ac:dyDescent="0.3">
      <c r="B3886" s="113">
        <v>41260</v>
      </c>
      <c r="C3886">
        <v>194.28</v>
      </c>
      <c r="D3886">
        <f t="shared" si="123"/>
        <v>1.5617088607594936</v>
      </c>
      <c r="E3886">
        <v>-9.7859327217124752E-3</v>
      </c>
      <c r="G3886">
        <v>3884</v>
      </c>
      <c r="H3886">
        <f t="shared" ca="1" si="124"/>
        <v>1.2499169417340607E-2</v>
      </c>
    </row>
    <row r="3887" spans="2:8" x14ac:dyDescent="0.3">
      <c r="B3887" s="113">
        <v>40073</v>
      </c>
      <c r="C3887">
        <v>75.84</v>
      </c>
      <c r="D3887">
        <f t="shared" si="123"/>
        <v>-0.65749898387752337</v>
      </c>
      <c r="E3887">
        <v>-9.7924010967489223E-3</v>
      </c>
      <c r="G3887">
        <v>3885</v>
      </c>
      <c r="H3887">
        <f t="shared" ca="1" si="124"/>
        <v>-4.8569485401920099E-3</v>
      </c>
    </row>
    <row r="3888" spans="2:8" x14ac:dyDescent="0.3">
      <c r="B3888" s="113">
        <v>41430</v>
      </c>
      <c r="C3888">
        <v>221.43</v>
      </c>
      <c r="D3888">
        <f t="shared" si="123"/>
        <v>-0.17299719887955178</v>
      </c>
      <c r="E3888">
        <v>-9.7933995170378218E-3</v>
      </c>
      <c r="G3888">
        <v>3886</v>
      </c>
      <c r="H3888">
        <f t="shared" ca="1" si="124"/>
        <v>1.8624527466703258E-2</v>
      </c>
    </row>
    <row r="3889" spans="2:8" x14ac:dyDescent="0.3">
      <c r="B3889" s="113">
        <v>43675</v>
      </c>
      <c r="C3889">
        <v>267.75</v>
      </c>
      <c r="D3889">
        <f t="shared" si="123"/>
        <v>3.733074067526958</v>
      </c>
      <c r="E3889">
        <v>-9.8002958579880822E-3</v>
      </c>
      <c r="G3889">
        <v>3887</v>
      </c>
      <c r="H3889">
        <f t="shared" ca="1" si="124"/>
        <v>2.7750043919671653E-2</v>
      </c>
    </row>
    <row r="3890" spans="2:8" x14ac:dyDescent="0.3">
      <c r="B3890" s="113">
        <v>39808</v>
      </c>
      <c r="C3890">
        <v>56.57</v>
      </c>
      <c r="D3890">
        <f t="shared" si="123"/>
        <v>-0.7885628854419735</v>
      </c>
      <c r="E3890">
        <v>-9.802205496236692E-3</v>
      </c>
      <c r="G3890">
        <v>3888</v>
      </c>
      <c r="H3890">
        <f t="shared" ca="1" si="124"/>
        <v>-4.8056491654304605E-3</v>
      </c>
    </row>
    <row r="3891" spans="2:8" x14ac:dyDescent="0.3">
      <c r="B3891" s="113">
        <v>43678</v>
      </c>
      <c r="C3891">
        <v>267.55</v>
      </c>
      <c r="D3891">
        <f t="shared" si="123"/>
        <v>18.029160739687054</v>
      </c>
      <c r="E3891">
        <v>-9.8075499629902939E-3</v>
      </c>
      <c r="G3891">
        <v>3889</v>
      </c>
      <c r="H3891">
        <f t="shared" ca="1" si="124"/>
        <v>1.8173253648137388E-2</v>
      </c>
    </row>
    <row r="3892" spans="2:8" x14ac:dyDescent="0.3">
      <c r="B3892" s="113">
        <v>37672</v>
      </c>
      <c r="C3892">
        <v>14.06</v>
      </c>
      <c r="D3892">
        <f t="shared" si="123"/>
        <v>-0.26116657908565427</v>
      </c>
      <c r="E3892">
        <v>-9.8591549295773805E-3</v>
      </c>
      <c r="G3892">
        <v>3890</v>
      </c>
      <c r="H3892">
        <f t="shared" ca="1" si="124"/>
        <v>-8.2166476999278003E-3</v>
      </c>
    </row>
    <row r="3893" spans="2:8" x14ac:dyDescent="0.3">
      <c r="B3893" s="113">
        <v>37945</v>
      </c>
      <c r="C3893">
        <v>19.03</v>
      </c>
      <c r="D3893">
        <f t="shared" si="123"/>
        <v>-0.91473250291244734</v>
      </c>
      <c r="E3893">
        <v>-9.8855359001039401E-3</v>
      </c>
      <c r="G3893">
        <v>3891</v>
      </c>
      <c r="H3893">
        <f t="shared" ca="1" si="124"/>
        <v>3.3305991646337151E-2</v>
      </c>
    </row>
    <row r="3894" spans="2:8" x14ac:dyDescent="0.3">
      <c r="B3894" s="113">
        <v>42081</v>
      </c>
      <c r="C3894">
        <v>223.18</v>
      </c>
      <c r="D3894">
        <f t="shared" si="123"/>
        <v>14.941428571428572</v>
      </c>
      <c r="E3894">
        <v>-9.8930837141208896E-3</v>
      </c>
      <c r="G3894">
        <v>3892</v>
      </c>
      <c r="H3894">
        <f t="shared" ca="1" si="124"/>
        <v>-2.7133916911669235E-3</v>
      </c>
    </row>
    <row r="3895" spans="2:8" x14ac:dyDescent="0.3">
      <c r="B3895" s="113">
        <v>37676</v>
      </c>
      <c r="C3895">
        <v>14</v>
      </c>
      <c r="D3895">
        <f t="shared" si="123"/>
        <v>-0.89701338825952626</v>
      </c>
      <c r="E3895">
        <v>-9.900990099009941E-3</v>
      </c>
      <c r="G3895">
        <v>3893</v>
      </c>
      <c r="H3895">
        <f t="shared" ca="1" si="124"/>
        <v>-1.3352383697841795E-2</v>
      </c>
    </row>
    <row r="3896" spans="2:8" x14ac:dyDescent="0.3">
      <c r="B3896" s="113">
        <v>40836</v>
      </c>
      <c r="C3896">
        <v>135.94</v>
      </c>
      <c r="D3896">
        <f t="shared" si="123"/>
        <v>-8.6854302411500009E-2</v>
      </c>
      <c r="E3896">
        <v>-9.9053168244720574E-3</v>
      </c>
      <c r="G3896">
        <v>3894</v>
      </c>
      <c r="H3896">
        <f t="shared" ca="1" si="124"/>
        <v>-1.0878498719752844E-2</v>
      </c>
    </row>
    <row r="3897" spans="2:8" x14ac:dyDescent="0.3">
      <c r="B3897" s="113">
        <v>40997</v>
      </c>
      <c r="C3897">
        <v>148.87</v>
      </c>
      <c r="D3897">
        <f t="shared" si="123"/>
        <v>6.8476541908276234</v>
      </c>
      <c r="E3897">
        <v>-9.9095504123437681E-3</v>
      </c>
      <c r="G3897">
        <v>3895</v>
      </c>
      <c r="H3897">
        <f t="shared" ca="1" si="124"/>
        <v>-1.0413992486825436E-2</v>
      </c>
    </row>
    <row r="3898" spans="2:8" x14ac:dyDescent="0.3">
      <c r="B3898" s="113">
        <v>38159</v>
      </c>
      <c r="C3898">
        <v>18.97</v>
      </c>
      <c r="D3898">
        <f t="shared" si="123"/>
        <v>-0.92955811362792429</v>
      </c>
      <c r="E3898">
        <v>-9.9164926931107136E-3</v>
      </c>
      <c r="G3898">
        <v>3896</v>
      </c>
      <c r="H3898">
        <f t="shared" ca="1" si="124"/>
        <v>-1.6058321338946094E-2</v>
      </c>
    </row>
    <row r="3899" spans="2:8" x14ac:dyDescent="0.3">
      <c r="B3899" s="113">
        <v>42993</v>
      </c>
      <c r="C3899">
        <v>269.3</v>
      </c>
      <c r="D3899">
        <f t="shared" si="123"/>
        <v>-1.804922515952594E-2</v>
      </c>
      <c r="E3899">
        <v>-9.9264705882352519E-3</v>
      </c>
      <c r="G3899">
        <v>3897</v>
      </c>
      <c r="H3899">
        <f t="shared" ca="1" si="124"/>
        <v>9.7814727584220416E-3</v>
      </c>
    </row>
    <row r="3900" spans="2:8" x14ac:dyDescent="0.3">
      <c r="B3900" s="113">
        <v>43637</v>
      </c>
      <c r="C3900">
        <v>274.25</v>
      </c>
      <c r="D3900">
        <f t="shared" si="123"/>
        <v>0.67378700030515726</v>
      </c>
      <c r="E3900">
        <v>-9.9277978339350186E-3</v>
      </c>
      <c r="G3900">
        <v>3898</v>
      </c>
      <c r="H3900">
        <f t="shared" ca="1" si="124"/>
        <v>-8.4128171231110244E-3</v>
      </c>
    </row>
    <row r="3901" spans="2:8" x14ac:dyDescent="0.3">
      <c r="B3901" s="113">
        <v>44133</v>
      </c>
      <c r="C3901">
        <v>163.85</v>
      </c>
      <c r="D3901">
        <f t="shared" si="123"/>
        <v>8.7067535545023702</v>
      </c>
      <c r="E3901">
        <v>-9.9697885196374965E-3</v>
      </c>
      <c r="G3901">
        <v>3899</v>
      </c>
      <c r="H3901">
        <f t="shared" ca="1" si="124"/>
        <v>4.1228689638159823E-2</v>
      </c>
    </row>
    <row r="3902" spans="2:8" x14ac:dyDescent="0.3">
      <c r="B3902" s="113">
        <v>37812</v>
      </c>
      <c r="C3902">
        <v>16.88</v>
      </c>
      <c r="D3902">
        <f t="shared" si="123"/>
        <v>-0.91707197248833217</v>
      </c>
      <c r="E3902">
        <v>-9.9706744868036188E-3</v>
      </c>
      <c r="G3902">
        <v>3900</v>
      </c>
      <c r="H3902">
        <f t="shared" ca="1" si="124"/>
        <v>-1.5329369898665452E-2</v>
      </c>
    </row>
    <row r="3903" spans="2:8" x14ac:dyDescent="0.3">
      <c r="B3903" s="113">
        <v>44306</v>
      </c>
      <c r="C3903">
        <v>203.55</v>
      </c>
      <c r="D3903">
        <f t="shared" si="123"/>
        <v>-0.28061494963774514</v>
      </c>
      <c r="E3903">
        <v>-9.9708171206224858E-3</v>
      </c>
      <c r="G3903">
        <v>3901</v>
      </c>
      <c r="H3903">
        <f t="shared" ca="1" si="124"/>
        <v>-3.4365667437378303E-2</v>
      </c>
    </row>
    <row r="3904" spans="2:8" x14ac:dyDescent="0.3">
      <c r="B3904" s="113">
        <v>43437</v>
      </c>
      <c r="C3904">
        <v>282.95</v>
      </c>
      <c r="D3904">
        <f t="shared" si="123"/>
        <v>15.78232502965599</v>
      </c>
      <c r="E3904">
        <v>-9.9720083974808357E-3</v>
      </c>
      <c r="G3904">
        <v>3902</v>
      </c>
      <c r="H3904">
        <f t="shared" ca="1" si="124"/>
        <v>2.8869237136046719E-3</v>
      </c>
    </row>
    <row r="3905" spans="2:8" x14ac:dyDescent="0.3">
      <c r="B3905" s="113">
        <v>37847</v>
      </c>
      <c r="C3905">
        <v>16.86</v>
      </c>
      <c r="D3905">
        <f t="shared" si="123"/>
        <v>-0.34575087310826541</v>
      </c>
      <c r="E3905">
        <v>-9.9823840281856539E-3</v>
      </c>
      <c r="G3905">
        <v>3903</v>
      </c>
      <c r="H3905">
        <f t="shared" ca="1" si="124"/>
        <v>-2.5691003591097662E-3</v>
      </c>
    </row>
    <row r="3906" spans="2:8" x14ac:dyDescent="0.3">
      <c r="B3906" s="113">
        <v>38252</v>
      </c>
      <c r="C3906">
        <v>25.77</v>
      </c>
      <c r="D3906">
        <f t="shared" si="123"/>
        <v>-0.8773382835927459</v>
      </c>
      <c r="E3906">
        <v>-9.9884748367269141E-3</v>
      </c>
      <c r="G3906">
        <v>3904</v>
      </c>
      <c r="H3906">
        <f t="shared" ca="1" si="124"/>
        <v>-1.4912436915262358E-2</v>
      </c>
    </row>
    <row r="3907" spans="2:8" x14ac:dyDescent="0.3">
      <c r="B3907" s="113">
        <v>41688</v>
      </c>
      <c r="C3907">
        <v>210.09</v>
      </c>
      <c r="D3907">
        <f t="shared" ref="D3907:D3970" si="125">(C3907-C3908)/C3908</f>
        <v>7.8347350714886455</v>
      </c>
      <c r="E3907">
        <v>-9.9901041421233891E-3</v>
      </c>
      <c r="G3907">
        <v>3905</v>
      </c>
      <c r="H3907">
        <f t="shared" ca="1" si="124"/>
        <v>1.6643141054708752E-2</v>
      </c>
    </row>
    <row r="3908" spans="2:8" x14ac:dyDescent="0.3">
      <c r="B3908" s="113">
        <v>38097</v>
      </c>
      <c r="C3908">
        <v>23.78</v>
      </c>
      <c r="D3908">
        <f t="shared" si="125"/>
        <v>-0.91422903516681697</v>
      </c>
      <c r="E3908">
        <v>-9.9916736053288283E-3</v>
      </c>
      <c r="G3908">
        <v>3906</v>
      </c>
      <c r="H3908">
        <f t="shared" ref="H3908:H3971" ca="1" si="126">_xlfn.NORM.INV(RAND(),$L$4,$L$6)</f>
        <v>-1.2633292217045818E-2</v>
      </c>
    </row>
    <row r="3909" spans="2:8" x14ac:dyDescent="0.3">
      <c r="B3909" s="113">
        <v>43413</v>
      </c>
      <c r="C3909">
        <v>277.25</v>
      </c>
      <c r="D3909">
        <f t="shared" si="125"/>
        <v>3.5176796480364998</v>
      </c>
      <c r="E3909">
        <v>-9.9982146045349447E-3</v>
      </c>
      <c r="G3909">
        <v>3907</v>
      </c>
      <c r="H3909">
        <f t="shared" ca="1" si="126"/>
        <v>3.9160798380964645E-2</v>
      </c>
    </row>
    <row r="3910" spans="2:8" x14ac:dyDescent="0.3">
      <c r="B3910" s="113">
        <v>39918</v>
      </c>
      <c r="C3910">
        <v>61.37</v>
      </c>
      <c r="D3910">
        <f t="shared" si="125"/>
        <v>-0.72033357637623041</v>
      </c>
      <c r="E3910">
        <v>-1.0001613163413527E-2</v>
      </c>
      <c r="G3910">
        <v>3908</v>
      </c>
      <c r="H3910">
        <f t="shared" ca="1" si="126"/>
        <v>1.451151078491404E-2</v>
      </c>
    </row>
    <row r="3911" spans="2:8" x14ac:dyDescent="0.3">
      <c r="B3911" s="113">
        <v>41437</v>
      </c>
      <c r="C3911">
        <v>219.44</v>
      </c>
      <c r="D3911">
        <f t="shared" si="125"/>
        <v>1.5237492811960898</v>
      </c>
      <c r="E3911">
        <v>-1.0015338807182165E-2</v>
      </c>
      <c r="G3911">
        <v>3909</v>
      </c>
      <c r="H3911">
        <f t="shared" ca="1" si="126"/>
        <v>-9.0791288401633318E-3</v>
      </c>
    </row>
    <row r="3912" spans="2:8" x14ac:dyDescent="0.3">
      <c r="B3912" s="113">
        <v>40302</v>
      </c>
      <c r="C3912">
        <v>86.95</v>
      </c>
      <c r="D3912">
        <f t="shared" si="125"/>
        <v>-0.67956513727658008</v>
      </c>
      <c r="E3912">
        <v>-1.0019355573266485E-2</v>
      </c>
      <c r="G3912">
        <v>3910</v>
      </c>
      <c r="H3912">
        <f t="shared" ca="1" si="126"/>
        <v>9.6157250360628648E-3</v>
      </c>
    </row>
    <row r="3913" spans="2:8" x14ac:dyDescent="0.3">
      <c r="B3913" s="113">
        <v>43140</v>
      </c>
      <c r="C3913">
        <v>271.35000000000002</v>
      </c>
      <c r="D3913">
        <f t="shared" si="125"/>
        <v>2.7716186252771616E-3</v>
      </c>
      <c r="E3913">
        <v>-1.0032834731849689E-2</v>
      </c>
      <c r="G3913">
        <v>3911</v>
      </c>
      <c r="H3913">
        <f t="shared" ca="1" si="126"/>
        <v>5.100268152369896E-3</v>
      </c>
    </row>
    <row r="3914" spans="2:8" x14ac:dyDescent="0.3">
      <c r="B3914" s="113">
        <v>42779</v>
      </c>
      <c r="C3914">
        <v>270.60000000000002</v>
      </c>
      <c r="D3914">
        <f t="shared" si="125"/>
        <v>18.708667152221413</v>
      </c>
      <c r="E3914">
        <v>-1.0060362173038229E-2</v>
      </c>
      <c r="G3914">
        <v>3912</v>
      </c>
      <c r="H3914">
        <f t="shared" ca="1" si="126"/>
        <v>1.3045979354327749E-2</v>
      </c>
    </row>
    <row r="3915" spans="2:8" x14ac:dyDescent="0.3">
      <c r="B3915" s="113">
        <v>37567</v>
      </c>
      <c r="C3915">
        <v>13.73</v>
      </c>
      <c r="D3915">
        <f t="shared" si="125"/>
        <v>-0.94035621198957431</v>
      </c>
      <c r="E3915">
        <v>-1.009372746935824E-2</v>
      </c>
      <c r="G3915">
        <v>3913</v>
      </c>
      <c r="H3915">
        <f t="shared" ca="1" si="126"/>
        <v>3.0890442461300105E-3</v>
      </c>
    </row>
    <row r="3916" spans="2:8" x14ac:dyDescent="0.3">
      <c r="B3916" s="113">
        <v>42710</v>
      </c>
      <c r="C3916">
        <v>230.2</v>
      </c>
      <c r="D3916">
        <f t="shared" si="125"/>
        <v>6.520321669201359E-4</v>
      </c>
      <c r="E3916">
        <v>-1.0105353687379156E-2</v>
      </c>
      <c r="G3916">
        <v>3914</v>
      </c>
      <c r="H3916">
        <f t="shared" ca="1" si="126"/>
        <v>6.4346119671720116E-3</v>
      </c>
    </row>
    <row r="3917" spans="2:8" x14ac:dyDescent="0.3">
      <c r="B3917" s="113">
        <v>41926</v>
      </c>
      <c r="C3917">
        <v>230.05</v>
      </c>
      <c r="D3917">
        <f t="shared" si="125"/>
        <v>-0.12295081967213115</v>
      </c>
      <c r="E3917">
        <v>-1.0111876075731472E-2</v>
      </c>
      <c r="G3917">
        <v>3915</v>
      </c>
      <c r="H3917">
        <f t="shared" ca="1" si="126"/>
        <v>2.9318762366771254E-2</v>
      </c>
    </row>
    <row r="3918" spans="2:8" x14ac:dyDescent="0.3">
      <c r="B3918" s="113">
        <v>42061</v>
      </c>
      <c r="C3918">
        <v>262.3</v>
      </c>
      <c r="D3918">
        <f t="shared" si="125"/>
        <v>5.2601431980906925</v>
      </c>
      <c r="E3918">
        <v>-1.0113970865725741E-2</v>
      </c>
      <c r="G3918">
        <v>3916</v>
      </c>
      <c r="H3918">
        <f t="shared" ca="1" si="126"/>
        <v>1.9961042952462354E-2</v>
      </c>
    </row>
    <row r="3919" spans="2:8" x14ac:dyDescent="0.3">
      <c r="B3919" s="113">
        <v>38632</v>
      </c>
      <c r="C3919">
        <v>41.9</v>
      </c>
      <c r="D3919">
        <f t="shared" si="125"/>
        <v>-0.83763465860652564</v>
      </c>
      <c r="E3919">
        <v>-1.0158280179541689E-2</v>
      </c>
      <c r="G3919">
        <v>3917</v>
      </c>
      <c r="H3919">
        <f t="shared" ca="1" si="126"/>
        <v>-1.4794650342470073E-2</v>
      </c>
    </row>
    <row r="3920" spans="2:8" x14ac:dyDescent="0.3">
      <c r="B3920" s="113">
        <v>42054</v>
      </c>
      <c r="C3920">
        <v>258.06</v>
      </c>
      <c r="D3920">
        <f t="shared" si="125"/>
        <v>0.55927492447129912</v>
      </c>
      <c r="E3920">
        <v>-1.0164550650147586E-2</v>
      </c>
      <c r="G3920">
        <v>3918</v>
      </c>
      <c r="H3920">
        <f t="shared" ca="1" si="126"/>
        <v>-1.9828945404551275E-3</v>
      </c>
    </row>
    <row r="3921" spans="2:8" x14ac:dyDescent="0.3">
      <c r="B3921" s="113">
        <v>44132</v>
      </c>
      <c r="C3921">
        <v>165.5</v>
      </c>
      <c r="D3921">
        <f t="shared" si="125"/>
        <v>1.8353606304608532</v>
      </c>
      <c r="E3921">
        <v>-1.0167464114832469E-2</v>
      </c>
      <c r="G3921">
        <v>3919</v>
      </c>
      <c r="H3921">
        <f t="shared" ca="1" si="126"/>
        <v>1.1818745565960241E-2</v>
      </c>
    </row>
    <row r="3922" spans="2:8" x14ac:dyDescent="0.3">
      <c r="B3922" s="113">
        <v>39080</v>
      </c>
      <c r="C3922">
        <v>58.37</v>
      </c>
      <c r="D3922">
        <f t="shared" si="125"/>
        <v>-0.11734462422501132</v>
      </c>
      <c r="E3922">
        <v>-1.0174665083941012E-2</v>
      </c>
      <c r="G3922">
        <v>3920</v>
      </c>
      <c r="H3922">
        <f t="shared" ca="1" si="126"/>
        <v>-9.0059051572902935E-3</v>
      </c>
    </row>
    <row r="3923" spans="2:8" x14ac:dyDescent="0.3">
      <c r="B3923" s="113">
        <v>39610</v>
      </c>
      <c r="C3923">
        <v>66.13</v>
      </c>
      <c r="D3923">
        <f t="shared" si="125"/>
        <v>-0.68358851674641152</v>
      </c>
      <c r="E3923">
        <v>-1.0178117048346157E-2</v>
      </c>
      <c r="G3923">
        <v>3921</v>
      </c>
      <c r="H3923">
        <f t="shared" ca="1" si="126"/>
        <v>3.6212251197168363E-3</v>
      </c>
    </row>
    <row r="3924" spans="2:8" x14ac:dyDescent="0.3">
      <c r="B3924" s="113">
        <v>44196</v>
      </c>
      <c r="C3924">
        <v>209</v>
      </c>
      <c r="D3924">
        <f t="shared" si="125"/>
        <v>-3.1465776912739205E-2</v>
      </c>
      <c r="E3924">
        <v>-1.0182334833057095E-2</v>
      </c>
      <c r="G3924">
        <v>3922</v>
      </c>
      <c r="H3924">
        <f t="shared" ca="1" si="126"/>
        <v>1.2393987042955997E-2</v>
      </c>
    </row>
    <row r="3925" spans="2:8" x14ac:dyDescent="0.3">
      <c r="B3925" s="113">
        <v>41655</v>
      </c>
      <c r="C3925">
        <v>215.79</v>
      </c>
      <c r="D3925">
        <f t="shared" si="125"/>
        <v>2.4181846982417232</v>
      </c>
      <c r="E3925">
        <v>-1.0183019127562951E-2</v>
      </c>
      <c r="G3925">
        <v>3923</v>
      </c>
      <c r="H3925">
        <f t="shared" ca="1" si="126"/>
        <v>1.6127363544327675E-3</v>
      </c>
    </row>
    <row r="3926" spans="2:8" x14ac:dyDescent="0.3">
      <c r="B3926" s="113">
        <v>39724</v>
      </c>
      <c r="C3926">
        <v>63.13</v>
      </c>
      <c r="D3926">
        <f t="shared" si="125"/>
        <v>-0.29099281221922735</v>
      </c>
      <c r="E3926">
        <v>-1.0191282533709604E-2</v>
      </c>
      <c r="G3926">
        <v>3924</v>
      </c>
      <c r="H3926">
        <f t="shared" ca="1" si="126"/>
        <v>1.9298473539506755E-2</v>
      </c>
    </row>
    <row r="3927" spans="2:8" x14ac:dyDescent="0.3">
      <c r="B3927" s="113">
        <v>40281</v>
      </c>
      <c r="C3927">
        <v>89.04</v>
      </c>
      <c r="D3927">
        <f t="shared" si="125"/>
        <v>0.41715740888110792</v>
      </c>
      <c r="E3927">
        <v>-1.022676745220084E-2</v>
      </c>
      <c r="G3927">
        <v>3925</v>
      </c>
      <c r="H3927">
        <f t="shared" ca="1" si="126"/>
        <v>-1.0279557489155502E-2</v>
      </c>
    </row>
    <row r="3928" spans="2:8" x14ac:dyDescent="0.3">
      <c r="B3928" s="113">
        <v>38961</v>
      </c>
      <c r="C3928">
        <v>62.83</v>
      </c>
      <c r="D3928">
        <f t="shared" si="125"/>
        <v>-0.70314197968343961</v>
      </c>
      <c r="E3928">
        <v>-1.0239445494643961E-2</v>
      </c>
      <c r="G3928">
        <v>3926</v>
      </c>
      <c r="H3928">
        <f t="shared" ca="1" si="126"/>
        <v>1.3999711853723671E-2</v>
      </c>
    </row>
    <row r="3929" spans="2:8" x14ac:dyDescent="0.3">
      <c r="B3929" s="113">
        <v>42275</v>
      </c>
      <c r="C3929">
        <v>211.65</v>
      </c>
      <c r="D3929">
        <f t="shared" si="125"/>
        <v>0.10050956738768725</v>
      </c>
      <c r="E3929">
        <v>-1.0241301907968564E-2</v>
      </c>
      <c r="G3929">
        <v>3927</v>
      </c>
      <c r="H3929">
        <f t="shared" ca="1" si="126"/>
        <v>3.719238787988894E-2</v>
      </c>
    </row>
    <row r="3930" spans="2:8" x14ac:dyDescent="0.3">
      <c r="B3930" s="113">
        <v>41262</v>
      </c>
      <c r="C3930">
        <v>192.32</v>
      </c>
      <c r="D3930">
        <f t="shared" si="125"/>
        <v>2.7650743931088493</v>
      </c>
      <c r="E3930">
        <v>-1.024136688796258E-2</v>
      </c>
      <c r="G3930">
        <v>3928</v>
      </c>
      <c r="H3930">
        <f t="shared" ca="1" si="126"/>
        <v>2.5096868008575798E-2</v>
      </c>
    </row>
    <row r="3931" spans="2:8" x14ac:dyDescent="0.3">
      <c r="B3931" s="113">
        <v>39281</v>
      </c>
      <c r="C3931">
        <v>51.08</v>
      </c>
      <c r="D3931">
        <f t="shared" si="125"/>
        <v>-0.80285604013894252</v>
      </c>
      <c r="E3931">
        <v>-1.0269327649680316E-2</v>
      </c>
      <c r="G3931">
        <v>3929</v>
      </c>
      <c r="H3931">
        <f t="shared" ca="1" si="126"/>
        <v>5.5255181522814983E-3</v>
      </c>
    </row>
    <row r="3932" spans="2:8" x14ac:dyDescent="0.3">
      <c r="B3932" s="113">
        <v>44728</v>
      </c>
      <c r="C3932">
        <v>259.10000000000002</v>
      </c>
      <c r="D3932">
        <f t="shared" si="125"/>
        <v>0.93574897273066893</v>
      </c>
      <c r="E3932">
        <v>-1.027541158944191E-2</v>
      </c>
      <c r="G3932">
        <v>3930</v>
      </c>
      <c r="H3932">
        <f t="shared" ca="1" si="126"/>
        <v>9.0222255449887677E-3</v>
      </c>
    </row>
    <row r="3933" spans="2:8" x14ac:dyDescent="0.3">
      <c r="B3933" s="113">
        <v>40829</v>
      </c>
      <c r="C3933">
        <v>133.85</v>
      </c>
      <c r="D3933">
        <f t="shared" si="125"/>
        <v>-0.49395085066162575</v>
      </c>
      <c r="E3933">
        <v>-1.0278024253179641E-2</v>
      </c>
      <c r="G3933">
        <v>3931</v>
      </c>
      <c r="H3933">
        <f t="shared" ca="1" si="126"/>
        <v>-2.2756576385446682E-2</v>
      </c>
    </row>
    <row r="3934" spans="2:8" x14ac:dyDescent="0.3">
      <c r="B3934" s="113">
        <v>43266</v>
      </c>
      <c r="C3934">
        <v>264.5</v>
      </c>
      <c r="D3934">
        <f t="shared" si="125"/>
        <v>5.8211642328465742E-2</v>
      </c>
      <c r="E3934">
        <v>-1.028999064546305E-2</v>
      </c>
      <c r="G3934">
        <v>3932</v>
      </c>
      <c r="H3934">
        <f t="shared" ca="1" si="126"/>
        <v>-3.9295069576381876E-3</v>
      </c>
    </row>
    <row r="3935" spans="2:8" x14ac:dyDescent="0.3">
      <c r="B3935" s="113">
        <v>42590</v>
      </c>
      <c r="C3935">
        <v>249.95</v>
      </c>
      <c r="D3935">
        <f t="shared" si="125"/>
        <v>0.31324541585666987</v>
      </c>
      <c r="E3935">
        <v>-1.0294991090873184E-2</v>
      </c>
      <c r="G3935">
        <v>3933</v>
      </c>
      <c r="H3935">
        <f t="shared" ca="1" si="126"/>
        <v>-7.120908798773716E-3</v>
      </c>
    </row>
    <row r="3936" spans="2:8" x14ac:dyDescent="0.3">
      <c r="B3936" s="113">
        <v>41263</v>
      </c>
      <c r="C3936">
        <v>190.33</v>
      </c>
      <c r="D3936">
        <f t="shared" si="125"/>
        <v>-0.20039490820484809</v>
      </c>
      <c r="E3936">
        <v>-1.0347337770382596E-2</v>
      </c>
      <c r="G3936">
        <v>3934</v>
      </c>
      <c r="H3936">
        <f t="shared" ca="1" si="126"/>
        <v>-2.2061735714478631E-2</v>
      </c>
    </row>
    <row r="3937" spans="2:8" x14ac:dyDescent="0.3">
      <c r="B3937" s="113">
        <v>41724</v>
      </c>
      <c r="C3937">
        <v>238.03</v>
      </c>
      <c r="D3937">
        <f t="shared" si="125"/>
        <v>-0.15547276920347708</v>
      </c>
      <c r="E3937">
        <v>-1.035256943289543E-2</v>
      </c>
      <c r="G3937">
        <v>3935</v>
      </c>
      <c r="H3937">
        <f t="shared" ca="1" si="126"/>
        <v>-2.3161606241533521E-3</v>
      </c>
    </row>
    <row r="3938" spans="2:8" x14ac:dyDescent="0.3">
      <c r="B3938" s="113">
        <v>43235</v>
      </c>
      <c r="C3938">
        <v>281.85000000000002</v>
      </c>
      <c r="D3938">
        <f t="shared" si="125"/>
        <v>17.481967213114757</v>
      </c>
      <c r="E3938">
        <v>-1.035814606741569E-2</v>
      </c>
      <c r="G3938">
        <v>3936</v>
      </c>
      <c r="H3938">
        <f t="shared" ca="1" si="126"/>
        <v>-1.9691358730000143E-2</v>
      </c>
    </row>
    <row r="3939" spans="2:8" x14ac:dyDescent="0.3">
      <c r="B3939" s="113">
        <v>37455</v>
      </c>
      <c r="C3939">
        <v>15.25</v>
      </c>
      <c r="D3939">
        <f t="shared" si="125"/>
        <v>-0.82778091473743642</v>
      </c>
      <c r="E3939">
        <v>-1.0382868267358868E-2</v>
      </c>
      <c r="G3939">
        <v>3937</v>
      </c>
      <c r="H3939">
        <f t="shared" ca="1" si="126"/>
        <v>-1.0861526988020492E-2</v>
      </c>
    </row>
    <row r="3940" spans="2:8" x14ac:dyDescent="0.3">
      <c r="B3940" s="113">
        <v>40297</v>
      </c>
      <c r="C3940">
        <v>88.55</v>
      </c>
      <c r="D3940">
        <f t="shared" si="125"/>
        <v>2.7252839713925119</v>
      </c>
      <c r="E3940">
        <v>-1.0393383996423857E-2</v>
      </c>
      <c r="G3940">
        <v>3938</v>
      </c>
      <c r="H3940">
        <f t="shared" ca="1" si="126"/>
        <v>4.846722788139789E-3</v>
      </c>
    </row>
    <row r="3941" spans="2:8" x14ac:dyDescent="0.3">
      <c r="B3941" s="113">
        <v>38094</v>
      </c>
      <c r="C3941">
        <v>23.77</v>
      </c>
      <c r="D3941">
        <f t="shared" si="125"/>
        <v>-0.68637023354004489</v>
      </c>
      <c r="E3941">
        <v>-1.0407993338884263E-2</v>
      </c>
      <c r="G3941">
        <v>3939</v>
      </c>
      <c r="H3941">
        <f t="shared" ca="1" si="126"/>
        <v>-8.0876427479750993E-3</v>
      </c>
    </row>
    <row r="3942" spans="2:8" x14ac:dyDescent="0.3">
      <c r="B3942" s="113">
        <v>40064</v>
      </c>
      <c r="C3942">
        <v>75.790000000000006</v>
      </c>
      <c r="D3942">
        <f t="shared" si="125"/>
        <v>-0.63907805133577777</v>
      </c>
      <c r="E3942">
        <v>-1.0445227836532147E-2</v>
      </c>
      <c r="G3942">
        <v>3940</v>
      </c>
      <c r="H3942">
        <f t="shared" ca="1" si="126"/>
        <v>-2.6782533727531372E-3</v>
      </c>
    </row>
    <row r="3943" spans="2:8" x14ac:dyDescent="0.3">
      <c r="B3943" s="113">
        <v>42228</v>
      </c>
      <c r="C3943">
        <v>209.99</v>
      </c>
      <c r="D3943">
        <f t="shared" si="125"/>
        <v>2.416137953473239</v>
      </c>
      <c r="E3943">
        <v>-1.0461335469582013E-2</v>
      </c>
      <c r="G3943">
        <v>3941</v>
      </c>
      <c r="H3943">
        <f t="shared" ca="1" si="126"/>
        <v>1.2785339157885418E-2</v>
      </c>
    </row>
    <row r="3944" spans="2:8" x14ac:dyDescent="0.3">
      <c r="B3944" s="113">
        <v>39359</v>
      </c>
      <c r="C3944">
        <v>61.47</v>
      </c>
      <c r="D3944">
        <f t="shared" si="125"/>
        <v>-0.69338587390263362</v>
      </c>
      <c r="E3944">
        <v>-1.0463618802318072E-2</v>
      </c>
      <c r="G3944">
        <v>3942</v>
      </c>
      <c r="H3944">
        <f t="shared" ca="1" si="126"/>
        <v>9.5364181560566204E-3</v>
      </c>
    </row>
    <row r="3945" spans="2:8" x14ac:dyDescent="0.3">
      <c r="B3945" s="113">
        <v>41358</v>
      </c>
      <c r="C3945">
        <v>200.48</v>
      </c>
      <c r="D3945">
        <f t="shared" si="125"/>
        <v>3.1593360995850617</v>
      </c>
      <c r="E3945">
        <v>-1.0463968410661424E-2</v>
      </c>
      <c r="G3945">
        <v>3943</v>
      </c>
      <c r="H3945">
        <f t="shared" ca="1" si="126"/>
        <v>-1.5285111865449034E-2</v>
      </c>
    </row>
    <row r="3946" spans="2:8" x14ac:dyDescent="0.3">
      <c r="B3946" s="113">
        <v>38722</v>
      </c>
      <c r="C3946">
        <v>48.2</v>
      </c>
      <c r="D3946">
        <f t="shared" si="125"/>
        <v>-0.78923433468888016</v>
      </c>
      <c r="E3946">
        <v>-1.0470129336891768E-2</v>
      </c>
      <c r="G3946">
        <v>3944</v>
      </c>
      <c r="H3946">
        <f t="shared" ca="1" si="126"/>
        <v>-1.2898414465269376E-2</v>
      </c>
    </row>
    <row r="3947" spans="2:8" x14ac:dyDescent="0.3">
      <c r="B3947" s="113">
        <v>41871</v>
      </c>
      <c r="C3947">
        <v>228.69</v>
      </c>
      <c r="D3947">
        <f t="shared" si="125"/>
        <v>1.8163793103448276</v>
      </c>
      <c r="E3947">
        <v>-1.0471204188481744E-2</v>
      </c>
      <c r="G3947">
        <v>3945</v>
      </c>
      <c r="H3947">
        <f t="shared" ca="1" si="126"/>
        <v>2.5777661001183408E-2</v>
      </c>
    </row>
    <row r="3948" spans="2:8" x14ac:dyDescent="0.3">
      <c r="B3948" s="113">
        <v>40093</v>
      </c>
      <c r="C3948">
        <v>81.2</v>
      </c>
      <c r="D3948">
        <f t="shared" si="125"/>
        <v>1.8507094386182072E-3</v>
      </c>
      <c r="E3948">
        <v>-1.0480136485498408E-2</v>
      </c>
      <c r="G3948">
        <v>3946</v>
      </c>
      <c r="H3948">
        <f t="shared" ca="1" si="126"/>
        <v>2.240546783580849E-2</v>
      </c>
    </row>
    <row r="3949" spans="2:8" x14ac:dyDescent="0.3">
      <c r="B3949" s="113">
        <v>40199</v>
      </c>
      <c r="C3949">
        <v>81.05</v>
      </c>
      <c r="D3949">
        <f t="shared" si="125"/>
        <v>0.53591055523971942</v>
      </c>
      <c r="E3949">
        <v>-1.0499328531314852E-2</v>
      </c>
      <c r="G3949">
        <v>3947</v>
      </c>
      <c r="H3949">
        <f t="shared" ca="1" si="126"/>
        <v>2.2731990736570663E-2</v>
      </c>
    </row>
    <row r="3950" spans="2:8" x14ac:dyDescent="0.3">
      <c r="B3950" s="113">
        <v>38756</v>
      </c>
      <c r="C3950">
        <v>52.77</v>
      </c>
      <c r="D3950">
        <f t="shared" si="125"/>
        <v>-0.82488800398208062</v>
      </c>
      <c r="E3950">
        <v>-1.0500656291018099E-2</v>
      </c>
      <c r="G3950">
        <v>3948</v>
      </c>
      <c r="H3950">
        <f t="shared" ca="1" si="126"/>
        <v>-6.26174416853016E-3</v>
      </c>
    </row>
    <row r="3951" spans="2:8" x14ac:dyDescent="0.3">
      <c r="B3951" s="113">
        <v>43585</v>
      </c>
      <c r="C3951">
        <v>301.35000000000002</v>
      </c>
      <c r="D3951">
        <f t="shared" si="125"/>
        <v>4.0989847715736047</v>
      </c>
      <c r="E3951">
        <v>-1.0507305861106512E-2</v>
      </c>
      <c r="G3951">
        <v>3949</v>
      </c>
      <c r="H3951">
        <f t="shared" ca="1" si="126"/>
        <v>2.2436131689582729E-2</v>
      </c>
    </row>
    <row r="3952" spans="2:8" x14ac:dyDescent="0.3">
      <c r="B3952" s="113">
        <v>39856</v>
      </c>
      <c r="C3952">
        <v>59.1</v>
      </c>
      <c r="D3952">
        <f t="shared" si="125"/>
        <v>5.0787201625192378E-4</v>
      </c>
      <c r="E3952">
        <v>-1.0547463586137543E-2</v>
      </c>
      <c r="G3952">
        <v>3950</v>
      </c>
      <c r="H3952">
        <f t="shared" ca="1" si="126"/>
        <v>-4.3014319700205743E-2</v>
      </c>
    </row>
    <row r="3953" spans="2:8" x14ac:dyDescent="0.3">
      <c r="B3953" s="113">
        <v>39846</v>
      </c>
      <c r="C3953">
        <v>59.07</v>
      </c>
      <c r="D3953">
        <f t="shared" si="125"/>
        <v>-0.71614608361364729</v>
      </c>
      <c r="E3953">
        <v>-1.055276381909552E-2</v>
      </c>
      <c r="G3953">
        <v>3951</v>
      </c>
      <c r="H3953">
        <f t="shared" ca="1" si="126"/>
        <v>5.675491460801139E-3</v>
      </c>
    </row>
    <row r="3954" spans="2:8" x14ac:dyDescent="0.3">
      <c r="B3954" s="113">
        <v>42384</v>
      </c>
      <c r="C3954">
        <v>208.1</v>
      </c>
      <c r="D3954">
        <f t="shared" si="125"/>
        <v>-0.29469581426876806</v>
      </c>
      <c r="E3954">
        <v>-1.0555344237352601E-2</v>
      </c>
      <c r="G3954">
        <v>3952</v>
      </c>
      <c r="H3954">
        <f t="shared" ca="1" si="126"/>
        <v>-7.3322949542502965E-3</v>
      </c>
    </row>
    <row r="3955" spans="2:8" x14ac:dyDescent="0.3">
      <c r="B3955" s="113">
        <v>43549</v>
      </c>
      <c r="C3955">
        <v>295.05</v>
      </c>
      <c r="D3955">
        <f t="shared" si="125"/>
        <v>0.43471918307804525</v>
      </c>
      <c r="E3955">
        <v>-1.0563380281690064E-2</v>
      </c>
      <c r="G3955">
        <v>3953</v>
      </c>
      <c r="H3955">
        <f t="shared" ca="1" si="126"/>
        <v>1.0947885565814369E-2</v>
      </c>
    </row>
    <row r="3956" spans="2:8" x14ac:dyDescent="0.3">
      <c r="B3956" s="113">
        <v>44364</v>
      </c>
      <c r="C3956">
        <v>205.65</v>
      </c>
      <c r="D3956">
        <f t="shared" si="125"/>
        <v>-0.13033365754641177</v>
      </c>
      <c r="E3956">
        <v>-1.0584556170315076E-2</v>
      </c>
      <c r="G3956">
        <v>3954</v>
      </c>
      <c r="H3956">
        <f t="shared" ca="1" si="126"/>
        <v>1.0138612948352896E-2</v>
      </c>
    </row>
    <row r="3957" spans="2:8" x14ac:dyDescent="0.3">
      <c r="B3957" s="113">
        <v>42543</v>
      </c>
      <c r="C3957">
        <v>236.47</v>
      </c>
      <c r="D3957">
        <f t="shared" si="125"/>
        <v>-0.14166969147005445</v>
      </c>
      <c r="E3957">
        <v>-1.0585774058577411E-2</v>
      </c>
      <c r="G3957">
        <v>3955</v>
      </c>
      <c r="H3957">
        <f t="shared" ca="1" si="126"/>
        <v>-6.4034629277656633E-3</v>
      </c>
    </row>
    <row r="3958" spans="2:8" x14ac:dyDescent="0.3">
      <c r="B3958" s="113">
        <v>43495</v>
      </c>
      <c r="C3958">
        <v>275.5</v>
      </c>
      <c r="D3958">
        <f t="shared" si="125"/>
        <v>0.18164271927943382</v>
      </c>
      <c r="E3958">
        <v>-1.0594361644819496E-2</v>
      </c>
      <c r="G3958">
        <v>3956</v>
      </c>
      <c r="H3958">
        <f t="shared" ca="1" si="126"/>
        <v>3.9594249015367875E-4</v>
      </c>
    </row>
    <row r="3959" spans="2:8" x14ac:dyDescent="0.3">
      <c r="B3959" s="113">
        <v>42718</v>
      </c>
      <c r="C3959">
        <v>233.15</v>
      </c>
      <c r="D3959">
        <f t="shared" si="125"/>
        <v>-7.259347653142402E-2</v>
      </c>
      <c r="E3959">
        <v>-1.0608953957139827E-2</v>
      </c>
      <c r="G3959">
        <v>3957</v>
      </c>
      <c r="H3959">
        <f t="shared" ca="1" si="126"/>
        <v>3.512650428811282E-3</v>
      </c>
    </row>
    <row r="3960" spans="2:8" x14ac:dyDescent="0.3">
      <c r="B3960" s="113">
        <v>42605</v>
      </c>
      <c r="C3960">
        <v>251.4</v>
      </c>
      <c r="D3960">
        <f t="shared" si="125"/>
        <v>9</v>
      </c>
      <c r="E3960">
        <v>-1.0625737898465127E-2</v>
      </c>
      <c r="G3960">
        <v>3958</v>
      </c>
      <c r="H3960">
        <f t="shared" ca="1" si="126"/>
        <v>-9.2837113835215063E-3</v>
      </c>
    </row>
    <row r="3961" spans="2:8" x14ac:dyDescent="0.3">
      <c r="B3961" s="113">
        <v>38308</v>
      </c>
      <c r="C3961">
        <v>25.14</v>
      </c>
      <c r="D3961">
        <f t="shared" si="125"/>
        <v>-0.88041099800209299</v>
      </c>
      <c r="E3961">
        <v>-1.0625737898465154E-2</v>
      </c>
      <c r="G3961">
        <v>3959</v>
      </c>
      <c r="H3961">
        <f t="shared" ca="1" si="126"/>
        <v>5.9092589751022226E-3</v>
      </c>
    </row>
    <row r="3962" spans="2:8" x14ac:dyDescent="0.3">
      <c r="B3962" s="113">
        <v>42356</v>
      </c>
      <c r="C3962">
        <v>210.22</v>
      </c>
      <c r="D3962">
        <f t="shared" si="125"/>
        <v>14.080344332855093</v>
      </c>
      <c r="E3962">
        <v>-1.0636295180722849E-2</v>
      </c>
      <c r="G3962">
        <v>3960</v>
      </c>
      <c r="H3962">
        <f t="shared" ca="1" si="126"/>
        <v>-1.5506845828476101E-3</v>
      </c>
    </row>
    <row r="3963" spans="2:8" x14ac:dyDescent="0.3">
      <c r="B3963" s="113">
        <v>37662</v>
      </c>
      <c r="C3963">
        <v>13.94</v>
      </c>
      <c r="D3963">
        <f t="shared" si="125"/>
        <v>-0.94915192412912641</v>
      </c>
      <c r="E3963">
        <v>-1.0645848119233524E-2</v>
      </c>
      <c r="G3963">
        <v>3961</v>
      </c>
      <c r="H3963">
        <f t="shared" ca="1" si="126"/>
        <v>1.7931557274972681E-2</v>
      </c>
    </row>
    <row r="3964" spans="2:8" x14ac:dyDescent="0.3">
      <c r="B3964" s="113">
        <v>43501</v>
      </c>
      <c r="C3964">
        <v>274.14999999999998</v>
      </c>
      <c r="D3964">
        <f t="shared" si="125"/>
        <v>0.15821715251373042</v>
      </c>
      <c r="E3964">
        <v>-1.0645976181883959E-2</v>
      </c>
      <c r="G3964">
        <v>3962</v>
      </c>
      <c r="H3964">
        <f t="shared" ca="1" si="126"/>
        <v>4.7319337672363602E-3</v>
      </c>
    </row>
    <row r="3965" spans="2:8" x14ac:dyDescent="0.3">
      <c r="B3965" s="113">
        <v>43727</v>
      </c>
      <c r="C3965">
        <v>236.7</v>
      </c>
      <c r="D3965">
        <f t="shared" si="125"/>
        <v>1.270503597122302</v>
      </c>
      <c r="E3965">
        <v>-1.0658307210031396E-2</v>
      </c>
      <c r="G3965">
        <v>3963</v>
      </c>
      <c r="H3965">
        <f t="shared" ca="1" si="126"/>
        <v>-1.9988077145290894E-2</v>
      </c>
    </row>
    <row r="3966" spans="2:8" x14ac:dyDescent="0.3">
      <c r="B3966" s="113">
        <v>40400</v>
      </c>
      <c r="C3966">
        <v>104.25</v>
      </c>
      <c r="D3966">
        <f t="shared" si="125"/>
        <v>4.3848140495867769</v>
      </c>
      <c r="E3966">
        <v>-1.0723097361928217E-2</v>
      </c>
      <c r="G3966">
        <v>3964</v>
      </c>
      <c r="H3966">
        <f t="shared" ca="1" si="126"/>
        <v>-1.4808143745187781E-2</v>
      </c>
    </row>
    <row r="3967" spans="2:8" x14ac:dyDescent="0.3">
      <c r="B3967" s="113">
        <v>37914</v>
      </c>
      <c r="C3967">
        <v>19.36</v>
      </c>
      <c r="D3967">
        <f t="shared" si="125"/>
        <v>-0.68999199359487595</v>
      </c>
      <c r="E3967">
        <v>-1.0730710270822732E-2</v>
      </c>
      <c r="G3967">
        <v>3965</v>
      </c>
      <c r="H3967">
        <f t="shared" ca="1" si="126"/>
        <v>-9.3543243022105888E-3</v>
      </c>
    </row>
    <row r="3968" spans="2:8" x14ac:dyDescent="0.3">
      <c r="B3968" s="113">
        <v>39941</v>
      </c>
      <c r="C3968">
        <v>62.45</v>
      </c>
      <c r="D3968">
        <f t="shared" si="125"/>
        <v>-0.73842931937172784</v>
      </c>
      <c r="E3968">
        <v>-1.0771424045620145E-2</v>
      </c>
      <c r="G3968">
        <v>3966</v>
      </c>
      <c r="H3968">
        <f t="shared" ca="1" si="126"/>
        <v>1.090101169531207E-2</v>
      </c>
    </row>
    <row r="3969" spans="2:8" x14ac:dyDescent="0.3">
      <c r="B3969" s="113">
        <v>42668</v>
      </c>
      <c r="C3969">
        <v>238.75</v>
      </c>
      <c r="D3969">
        <f t="shared" si="125"/>
        <v>2.6623715293756711</v>
      </c>
      <c r="E3969">
        <v>-1.0772736689455125E-2</v>
      </c>
      <c r="G3969">
        <v>3967</v>
      </c>
      <c r="H3969">
        <f t="shared" ca="1" si="126"/>
        <v>5.3620410986810431E-3</v>
      </c>
    </row>
    <row r="3970" spans="2:8" x14ac:dyDescent="0.3">
      <c r="B3970" s="113">
        <v>39406</v>
      </c>
      <c r="C3970">
        <v>65.19</v>
      </c>
      <c r="D3970">
        <f t="shared" si="125"/>
        <v>4.4376802306952838E-2</v>
      </c>
      <c r="E3970">
        <v>-1.0773899848255051E-2</v>
      </c>
      <c r="G3970">
        <v>3968</v>
      </c>
      <c r="H3970">
        <f t="shared" ca="1" si="126"/>
        <v>5.243375090926284E-2</v>
      </c>
    </row>
    <row r="3971" spans="2:8" x14ac:dyDescent="0.3">
      <c r="B3971" s="113">
        <v>39057</v>
      </c>
      <c r="C3971">
        <v>62.42</v>
      </c>
      <c r="D3971">
        <f t="shared" ref="D3971:D4034" si="127">(C3971-C3972)/C3972</f>
        <v>3.0012820512820513</v>
      </c>
      <c r="E3971">
        <v>-1.0776545166402531E-2</v>
      </c>
      <c r="G3971">
        <v>3969</v>
      </c>
      <c r="H3971">
        <f t="shared" ca="1" si="126"/>
        <v>3.3270129645753793E-2</v>
      </c>
    </row>
    <row r="3972" spans="2:8" x14ac:dyDescent="0.3">
      <c r="B3972" s="113">
        <v>37782</v>
      </c>
      <c r="C3972">
        <v>15.6</v>
      </c>
      <c r="D3972">
        <f t="shared" si="127"/>
        <v>-0.93793515018897955</v>
      </c>
      <c r="E3972">
        <v>-1.0779961953075455E-2</v>
      </c>
      <c r="G3972">
        <v>3970</v>
      </c>
      <c r="H3972">
        <f t="shared" ref="H3972:H4035" ca="1" si="128">_xlfn.NORM.INV(RAND(),$L$4,$L$6)</f>
        <v>-1.3821493713274471E-2</v>
      </c>
    </row>
    <row r="3973" spans="2:8" x14ac:dyDescent="0.3">
      <c r="B3973" s="113">
        <v>44693</v>
      </c>
      <c r="C3973">
        <v>251.35</v>
      </c>
      <c r="D3973">
        <f t="shared" si="127"/>
        <v>0.18126703637559918</v>
      </c>
      <c r="E3973">
        <v>-1.0783580621039825E-2</v>
      </c>
      <c r="G3973">
        <v>3971</v>
      </c>
      <c r="H3973">
        <f t="shared" ca="1" si="128"/>
        <v>5.7074341166561274E-3</v>
      </c>
    </row>
    <row r="3974" spans="2:8" x14ac:dyDescent="0.3">
      <c r="B3974" s="113">
        <v>42226</v>
      </c>
      <c r="C3974">
        <v>212.78</v>
      </c>
      <c r="D3974">
        <f t="shared" si="127"/>
        <v>2.6583683118637482E-2</v>
      </c>
      <c r="E3974">
        <v>-1.0785681078568076E-2</v>
      </c>
      <c r="G3974">
        <v>3972</v>
      </c>
      <c r="H3974">
        <f t="shared" ca="1" si="128"/>
        <v>1.1888406951269687E-2</v>
      </c>
    </row>
    <row r="3975" spans="2:8" x14ac:dyDescent="0.3">
      <c r="B3975" s="113">
        <v>42494</v>
      </c>
      <c r="C3975">
        <v>207.27</v>
      </c>
      <c r="D3975">
        <f t="shared" si="127"/>
        <v>1.1733249449512426</v>
      </c>
      <c r="E3975">
        <v>-1.0786044957762569E-2</v>
      </c>
      <c r="G3975">
        <v>3973</v>
      </c>
      <c r="H3975">
        <f t="shared" ca="1" si="128"/>
        <v>-2.6349888929221514E-2</v>
      </c>
    </row>
    <row r="3976" spans="2:8" x14ac:dyDescent="0.3">
      <c r="B3976" s="113">
        <v>40336</v>
      </c>
      <c r="C3976">
        <v>95.37</v>
      </c>
      <c r="D3976">
        <f t="shared" si="127"/>
        <v>4.7940461725394892</v>
      </c>
      <c r="E3976">
        <v>-1.0787262732081653E-2</v>
      </c>
      <c r="G3976">
        <v>3974</v>
      </c>
      <c r="H3976">
        <f t="shared" ca="1" si="128"/>
        <v>2.1856561414015204E-2</v>
      </c>
    </row>
    <row r="3977" spans="2:8" x14ac:dyDescent="0.3">
      <c r="B3977" s="113">
        <v>37820</v>
      </c>
      <c r="C3977">
        <v>16.46</v>
      </c>
      <c r="D3977">
        <f t="shared" si="127"/>
        <v>-0.79761465633837458</v>
      </c>
      <c r="E3977">
        <v>-1.0817307692307675E-2</v>
      </c>
      <c r="G3977">
        <v>3975</v>
      </c>
      <c r="H3977">
        <f t="shared" ca="1" si="128"/>
        <v>3.8336474862551229E-3</v>
      </c>
    </row>
    <row r="3978" spans="2:8" x14ac:dyDescent="0.3">
      <c r="B3978" s="113">
        <v>40217</v>
      </c>
      <c r="C3978">
        <v>81.33</v>
      </c>
      <c r="D3978">
        <f t="shared" si="127"/>
        <v>-0.65520603696794988</v>
      </c>
      <c r="E3978">
        <v>-1.0824616881537345E-2</v>
      </c>
      <c r="G3978">
        <v>3976</v>
      </c>
      <c r="H3978">
        <f t="shared" ca="1" si="128"/>
        <v>-5.1072879339382669E-2</v>
      </c>
    </row>
    <row r="3979" spans="2:8" x14ac:dyDescent="0.3">
      <c r="B3979" s="113">
        <v>41718</v>
      </c>
      <c r="C3979">
        <v>235.88</v>
      </c>
      <c r="D3979">
        <f t="shared" si="127"/>
        <v>-0.18400387449406719</v>
      </c>
      <c r="E3979">
        <v>-1.086090493563133E-2</v>
      </c>
      <c r="G3979">
        <v>3977</v>
      </c>
      <c r="H3979">
        <f t="shared" ca="1" si="128"/>
        <v>2.4095458812380482E-2</v>
      </c>
    </row>
    <row r="3980" spans="2:8" x14ac:dyDescent="0.3">
      <c r="B3980" s="113">
        <v>44756</v>
      </c>
      <c r="C3980">
        <v>289.07</v>
      </c>
      <c r="D3980">
        <f t="shared" si="127"/>
        <v>0.35364083352844755</v>
      </c>
      <c r="E3980">
        <v>-1.0881094952951264E-2</v>
      </c>
      <c r="G3980">
        <v>3978</v>
      </c>
      <c r="H3980">
        <f t="shared" ca="1" si="128"/>
        <v>-1.7945462132395655E-3</v>
      </c>
    </row>
    <row r="3981" spans="2:8" x14ac:dyDescent="0.3">
      <c r="B3981" s="113">
        <v>44180</v>
      </c>
      <c r="C3981">
        <v>213.55</v>
      </c>
      <c r="D3981">
        <f t="shared" si="127"/>
        <v>13.707300275482094</v>
      </c>
      <c r="E3981">
        <v>-1.088466882816116E-2</v>
      </c>
      <c r="G3981">
        <v>3979</v>
      </c>
      <c r="H3981">
        <f t="shared" ca="1" si="128"/>
        <v>1.6674167707797328E-2</v>
      </c>
    </row>
    <row r="3982" spans="2:8" x14ac:dyDescent="0.3">
      <c r="B3982" s="113">
        <v>37518</v>
      </c>
      <c r="C3982">
        <v>14.52</v>
      </c>
      <c r="D3982">
        <f t="shared" si="127"/>
        <v>-0.9448223446703401</v>
      </c>
      <c r="E3982">
        <v>-1.0899182561307912E-2</v>
      </c>
      <c r="G3982">
        <v>3980</v>
      </c>
      <c r="H3982">
        <f t="shared" ca="1" si="128"/>
        <v>-2.075576681175971E-2</v>
      </c>
    </row>
    <row r="3983" spans="2:8" x14ac:dyDescent="0.3">
      <c r="B3983" s="113">
        <v>42787</v>
      </c>
      <c r="C3983">
        <v>263.14999999999998</v>
      </c>
      <c r="D3983">
        <f t="shared" si="127"/>
        <v>10.159881255301103</v>
      </c>
      <c r="E3983">
        <v>-1.0900206728058763E-2</v>
      </c>
      <c r="G3983">
        <v>3981</v>
      </c>
      <c r="H3983">
        <f t="shared" ca="1" si="128"/>
        <v>1.7867084329007289E-3</v>
      </c>
    </row>
    <row r="3984" spans="2:8" x14ac:dyDescent="0.3">
      <c r="B3984" s="113">
        <v>38070</v>
      </c>
      <c r="C3984">
        <v>23.58</v>
      </c>
      <c r="D3984">
        <f t="shared" si="127"/>
        <v>-0.89254465913233694</v>
      </c>
      <c r="E3984">
        <v>-1.0906040268456442E-2</v>
      </c>
      <c r="G3984">
        <v>3982</v>
      </c>
      <c r="H3984">
        <f t="shared" ca="1" si="128"/>
        <v>-2.3522965972611387E-2</v>
      </c>
    </row>
    <row r="3985" spans="2:8" x14ac:dyDescent="0.3">
      <c r="B3985" s="113">
        <v>41415</v>
      </c>
      <c r="C3985">
        <v>219.44</v>
      </c>
      <c r="D3985">
        <f t="shared" si="127"/>
        <v>7.1222845984867E-2</v>
      </c>
      <c r="E3985">
        <v>-1.0907779680879906E-2</v>
      </c>
      <c r="G3985">
        <v>3983</v>
      </c>
      <c r="H3985">
        <f t="shared" ca="1" si="128"/>
        <v>6.1765334426955839E-3</v>
      </c>
    </row>
    <row r="3986" spans="2:8" x14ac:dyDescent="0.3">
      <c r="B3986" s="113">
        <v>42410</v>
      </c>
      <c r="C3986">
        <v>204.85</v>
      </c>
      <c r="D3986">
        <f t="shared" si="127"/>
        <v>0.44964970631943946</v>
      </c>
      <c r="E3986">
        <v>-1.0912075708560761E-2</v>
      </c>
      <c r="G3986">
        <v>3984</v>
      </c>
      <c r="H3986">
        <f t="shared" ca="1" si="128"/>
        <v>1.020600029242826E-2</v>
      </c>
    </row>
    <row r="3987" spans="2:8" x14ac:dyDescent="0.3">
      <c r="B3987" s="113">
        <v>40847</v>
      </c>
      <c r="C3987">
        <v>141.31</v>
      </c>
      <c r="D3987">
        <f t="shared" si="127"/>
        <v>9.4057437407952875</v>
      </c>
      <c r="E3987">
        <v>-1.0919017288444056E-2</v>
      </c>
      <c r="G3987">
        <v>3985</v>
      </c>
      <c r="H3987">
        <f t="shared" ca="1" si="128"/>
        <v>-2.3520860511169774E-2</v>
      </c>
    </row>
    <row r="3988" spans="2:8" x14ac:dyDescent="0.3">
      <c r="B3988" s="113">
        <v>37568</v>
      </c>
      <c r="C3988">
        <v>13.58</v>
      </c>
      <c r="D3988">
        <f t="shared" si="127"/>
        <v>-0.92346708746618567</v>
      </c>
      <c r="E3988">
        <v>-1.092498179169704E-2</v>
      </c>
      <c r="G3988">
        <v>3986</v>
      </c>
      <c r="H3988">
        <f t="shared" ca="1" si="128"/>
        <v>6.0853150003494622E-4</v>
      </c>
    </row>
    <row r="3989" spans="2:8" x14ac:dyDescent="0.3">
      <c r="B3989" s="113">
        <v>41152</v>
      </c>
      <c r="C3989">
        <v>177.44</v>
      </c>
      <c r="D3989">
        <f t="shared" si="127"/>
        <v>-0.1458965102286402</v>
      </c>
      <c r="E3989">
        <v>-1.0925306577480535E-2</v>
      </c>
      <c r="G3989">
        <v>3987</v>
      </c>
      <c r="H3989">
        <f t="shared" ca="1" si="128"/>
        <v>-1.3201589173564818E-2</v>
      </c>
    </row>
    <row r="3990" spans="2:8" x14ac:dyDescent="0.3">
      <c r="B3990" s="113">
        <v>44335</v>
      </c>
      <c r="C3990">
        <v>207.75</v>
      </c>
      <c r="D3990">
        <f t="shared" si="127"/>
        <v>2.2908284492317441</v>
      </c>
      <c r="E3990">
        <v>-1.0949773863365918E-2</v>
      </c>
      <c r="G3990">
        <v>3988</v>
      </c>
      <c r="H3990">
        <f t="shared" ca="1" si="128"/>
        <v>2.5118934991509252E-2</v>
      </c>
    </row>
    <row r="3991" spans="2:8" x14ac:dyDescent="0.3">
      <c r="B3991" s="113">
        <v>39940</v>
      </c>
      <c r="C3991">
        <v>63.13</v>
      </c>
      <c r="D3991">
        <f t="shared" si="127"/>
        <v>-0.7704363636363637</v>
      </c>
      <c r="E3991">
        <v>-1.0966630111232896E-2</v>
      </c>
      <c r="G3991">
        <v>3989</v>
      </c>
      <c r="H3991">
        <f t="shared" ca="1" si="128"/>
        <v>4.680737913833768E-4</v>
      </c>
    </row>
    <row r="3992" spans="2:8" x14ac:dyDescent="0.3">
      <c r="B3992" s="113">
        <v>43633</v>
      </c>
      <c r="C3992">
        <v>275</v>
      </c>
      <c r="D3992">
        <f t="shared" si="127"/>
        <v>0.53494083500781431</v>
      </c>
      <c r="E3992">
        <v>-1.096925013486787E-2</v>
      </c>
      <c r="G3992">
        <v>3990</v>
      </c>
      <c r="H3992">
        <f t="shared" ca="1" si="128"/>
        <v>-1.3243044104182351E-4</v>
      </c>
    </row>
    <row r="3993" spans="2:8" x14ac:dyDescent="0.3">
      <c r="B3993" s="113">
        <v>41185</v>
      </c>
      <c r="C3993">
        <v>179.16</v>
      </c>
      <c r="D3993">
        <f t="shared" si="127"/>
        <v>-0.23452253791924807</v>
      </c>
      <c r="E3993">
        <v>-1.0985371239304494E-2</v>
      </c>
      <c r="G3993">
        <v>3991</v>
      </c>
      <c r="H3993">
        <f t="shared" ca="1" si="128"/>
        <v>-1.9875823202741734E-2</v>
      </c>
    </row>
    <row r="3994" spans="2:8" x14ac:dyDescent="0.3">
      <c r="B3994" s="113">
        <v>43860</v>
      </c>
      <c r="C3994">
        <v>234.05</v>
      </c>
      <c r="D3994">
        <f t="shared" si="127"/>
        <v>0.53929628411706676</v>
      </c>
      <c r="E3994">
        <v>-1.0986689203465008E-2</v>
      </c>
      <c r="G3994">
        <v>3992</v>
      </c>
      <c r="H3994">
        <f t="shared" ca="1" si="128"/>
        <v>2.8163449668850649E-2</v>
      </c>
    </row>
    <row r="3995" spans="2:8" x14ac:dyDescent="0.3">
      <c r="B3995" s="113">
        <v>41060</v>
      </c>
      <c r="C3995">
        <v>152.05000000000001</v>
      </c>
      <c r="D3995">
        <f t="shared" si="127"/>
        <v>-0.41709794901284264</v>
      </c>
      <c r="E3995">
        <v>-1.0992584883569648E-2</v>
      </c>
      <c r="G3995">
        <v>3993</v>
      </c>
      <c r="H3995">
        <f t="shared" ca="1" si="128"/>
        <v>7.161529792711639E-4</v>
      </c>
    </row>
    <row r="3996" spans="2:8" x14ac:dyDescent="0.3">
      <c r="B3996" s="113">
        <v>43272</v>
      </c>
      <c r="C3996">
        <v>260.85000000000002</v>
      </c>
      <c r="D3996">
        <f t="shared" si="127"/>
        <v>11.098794063079779</v>
      </c>
      <c r="E3996">
        <v>-1.0995260663507023E-2</v>
      </c>
      <c r="G3996">
        <v>3994</v>
      </c>
      <c r="H3996">
        <f t="shared" ca="1" si="128"/>
        <v>-4.7116193220062856E-3</v>
      </c>
    </row>
    <row r="3997" spans="2:8" x14ac:dyDescent="0.3">
      <c r="B3997" s="113">
        <v>37978</v>
      </c>
      <c r="C3997">
        <v>21.56</v>
      </c>
      <c r="D3997">
        <f t="shared" si="127"/>
        <v>-0.80937223695844385</v>
      </c>
      <c r="E3997">
        <v>-1.1009174311926696E-2</v>
      </c>
      <c r="G3997">
        <v>3995</v>
      </c>
      <c r="H3997">
        <f t="shared" ca="1" si="128"/>
        <v>-1.0294855306304378E-2</v>
      </c>
    </row>
    <row r="3998" spans="2:8" x14ac:dyDescent="0.3">
      <c r="B3998" s="113">
        <v>40553</v>
      </c>
      <c r="C3998">
        <v>113.1</v>
      </c>
      <c r="D3998">
        <f t="shared" si="127"/>
        <v>5.3078639152258775</v>
      </c>
      <c r="E3998">
        <v>-1.1017838405036772E-2</v>
      </c>
      <c r="G3998">
        <v>3996</v>
      </c>
      <c r="H3998">
        <f t="shared" ca="1" si="128"/>
        <v>1.7117818044461702E-2</v>
      </c>
    </row>
    <row r="3999" spans="2:8" x14ac:dyDescent="0.3">
      <c r="B3999" s="113">
        <v>37889</v>
      </c>
      <c r="C3999">
        <v>17.93</v>
      </c>
      <c r="D3999">
        <f t="shared" si="127"/>
        <v>-0.92444163506110411</v>
      </c>
      <c r="E3999">
        <v>-1.1031439602868136E-2</v>
      </c>
      <c r="G3999">
        <v>3997</v>
      </c>
      <c r="H3999">
        <f t="shared" ca="1" si="128"/>
        <v>2.4665811280473664E-2</v>
      </c>
    </row>
    <row r="4000" spans="2:8" x14ac:dyDescent="0.3">
      <c r="B4000" s="113">
        <v>42676</v>
      </c>
      <c r="C4000">
        <v>237.3</v>
      </c>
      <c r="D4000">
        <f t="shared" si="127"/>
        <v>7.2827225130890056</v>
      </c>
      <c r="E4000">
        <v>-1.1043967493227662E-2</v>
      </c>
      <c r="G4000">
        <v>3998</v>
      </c>
      <c r="H4000">
        <f t="shared" ca="1" si="128"/>
        <v>-2.8993290752238065E-2</v>
      </c>
    </row>
    <row r="4001" spans="2:8" x14ac:dyDescent="0.3">
      <c r="B4001" s="113">
        <v>38432</v>
      </c>
      <c r="C4001">
        <v>28.65</v>
      </c>
      <c r="D4001">
        <f t="shared" si="127"/>
        <v>-0.89303714765727082</v>
      </c>
      <c r="E4001">
        <v>-1.1045909561615474E-2</v>
      </c>
      <c r="G4001">
        <v>3999</v>
      </c>
      <c r="H4001">
        <f t="shared" ca="1" si="128"/>
        <v>-3.6251835385265273E-3</v>
      </c>
    </row>
    <row r="4002" spans="2:8" x14ac:dyDescent="0.3">
      <c r="B4002" s="113">
        <v>43671</v>
      </c>
      <c r="C4002">
        <v>267.85000000000002</v>
      </c>
      <c r="D4002">
        <f t="shared" si="127"/>
        <v>3.1176018447348195</v>
      </c>
      <c r="E4002">
        <v>-1.1076241462063872E-2</v>
      </c>
      <c r="G4002">
        <v>4000</v>
      </c>
      <c r="H4002">
        <f t="shared" ca="1" si="128"/>
        <v>-1.1545214549174876E-2</v>
      </c>
    </row>
    <row r="4003" spans="2:8" x14ac:dyDescent="0.3">
      <c r="B4003" s="113">
        <v>39475</v>
      </c>
      <c r="C4003">
        <v>65.05</v>
      </c>
      <c r="D4003">
        <f t="shared" si="127"/>
        <v>-2.605180416229988E-2</v>
      </c>
      <c r="E4003">
        <v>-1.1097598054119853E-2</v>
      </c>
      <c r="G4003">
        <v>4001</v>
      </c>
      <c r="H4003">
        <f t="shared" ca="1" si="128"/>
        <v>-2.3836780106852268E-3</v>
      </c>
    </row>
    <row r="4004" spans="2:8" x14ac:dyDescent="0.3">
      <c r="B4004" s="113">
        <v>38849</v>
      </c>
      <c r="C4004">
        <v>66.790000000000006</v>
      </c>
      <c r="D4004">
        <f t="shared" si="127"/>
        <v>-0.71354434722937043</v>
      </c>
      <c r="E4004">
        <v>-1.1104530648504588E-2</v>
      </c>
      <c r="G4004">
        <v>4002</v>
      </c>
      <c r="H4004">
        <f t="shared" ca="1" si="128"/>
        <v>-1.0990061832967983E-3</v>
      </c>
    </row>
    <row r="4005" spans="2:8" x14ac:dyDescent="0.3">
      <c r="B4005" s="113">
        <v>41897</v>
      </c>
      <c r="C4005">
        <v>233.16</v>
      </c>
      <c r="D4005">
        <f t="shared" si="127"/>
        <v>-0.21679543164259318</v>
      </c>
      <c r="E4005">
        <v>-1.1112053609296822E-2</v>
      </c>
      <c r="G4005">
        <v>4003</v>
      </c>
      <c r="H4005">
        <f t="shared" ca="1" si="128"/>
        <v>2.468826945080947E-3</v>
      </c>
    </row>
    <row r="4006" spans="2:8" x14ac:dyDescent="0.3">
      <c r="B4006" s="113">
        <v>43312</v>
      </c>
      <c r="C4006">
        <v>297.7</v>
      </c>
      <c r="D4006">
        <f t="shared" si="127"/>
        <v>0.26438734338500747</v>
      </c>
      <c r="E4006">
        <v>-1.1127719647899095E-2</v>
      </c>
      <c r="G4006">
        <v>4004</v>
      </c>
      <c r="H4006">
        <f t="shared" ca="1" si="128"/>
        <v>-1.5858565169499739E-2</v>
      </c>
    </row>
    <row r="4007" spans="2:8" x14ac:dyDescent="0.3">
      <c r="B4007" s="113">
        <v>44516</v>
      </c>
      <c r="C4007">
        <v>235.45</v>
      </c>
      <c r="D4007">
        <f t="shared" si="127"/>
        <v>1.9139851485148514</v>
      </c>
      <c r="E4007">
        <v>-1.1129777404451936E-2</v>
      </c>
      <c r="G4007">
        <v>4005</v>
      </c>
      <c r="H4007">
        <f t="shared" ca="1" si="128"/>
        <v>-1.6810412812633551E-2</v>
      </c>
    </row>
    <row r="4008" spans="2:8" x14ac:dyDescent="0.3">
      <c r="B4008" s="113">
        <v>40030</v>
      </c>
      <c r="C4008">
        <v>80.8</v>
      </c>
      <c r="D4008">
        <f t="shared" si="127"/>
        <v>4.6941508104298801</v>
      </c>
      <c r="E4008">
        <v>-1.1136947742014401E-2</v>
      </c>
      <c r="G4008">
        <v>4006</v>
      </c>
      <c r="H4008">
        <f t="shared" ca="1" si="128"/>
        <v>2.9063172283833996E-2</v>
      </c>
    </row>
    <row r="4009" spans="2:8" x14ac:dyDescent="0.3">
      <c r="B4009" s="113">
        <v>37539</v>
      </c>
      <c r="C4009">
        <v>14.19</v>
      </c>
      <c r="D4009">
        <f t="shared" si="127"/>
        <v>-0.93593679458239276</v>
      </c>
      <c r="E4009">
        <v>-1.1149825783972136E-2</v>
      </c>
      <c r="G4009">
        <v>4007</v>
      </c>
      <c r="H4009">
        <f t="shared" ca="1" si="128"/>
        <v>1.463992227899549E-2</v>
      </c>
    </row>
    <row r="4010" spans="2:8" x14ac:dyDescent="0.3">
      <c r="B4010" s="113">
        <v>44529</v>
      </c>
      <c r="C4010">
        <v>221.5</v>
      </c>
      <c r="D4010">
        <f t="shared" si="127"/>
        <v>0.78672259417601031</v>
      </c>
      <c r="E4010">
        <v>-1.1160714285714286E-2</v>
      </c>
      <c r="G4010">
        <v>4008</v>
      </c>
      <c r="H4010">
        <f t="shared" ca="1" si="128"/>
        <v>-2.510582625895812E-2</v>
      </c>
    </row>
    <row r="4011" spans="2:8" x14ac:dyDescent="0.3">
      <c r="B4011" s="113">
        <v>40689</v>
      </c>
      <c r="C4011">
        <v>123.97</v>
      </c>
      <c r="D4011">
        <f t="shared" si="127"/>
        <v>3.252830188679245</v>
      </c>
      <c r="E4011">
        <v>-1.116694584031272E-2</v>
      </c>
      <c r="G4011">
        <v>4009</v>
      </c>
      <c r="H4011">
        <f t="shared" ca="1" si="128"/>
        <v>-8.2218053306104318E-3</v>
      </c>
    </row>
    <row r="4012" spans="2:8" x14ac:dyDescent="0.3">
      <c r="B4012" s="113">
        <v>38397</v>
      </c>
      <c r="C4012">
        <v>29.15</v>
      </c>
      <c r="D4012">
        <f t="shared" si="127"/>
        <v>-0.64412159687461845</v>
      </c>
      <c r="E4012">
        <v>-1.119402985074633E-2</v>
      </c>
      <c r="G4012">
        <v>4010</v>
      </c>
      <c r="H4012">
        <f t="shared" ca="1" si="128"/>
        <v>7.3584595270618858E-3</v>
      </c>
    </row>
    <row r="4013" spans="2:8" x14ac:dyDescent="0.3">
      <c r="B4013" s="113">
        <v>40198</v>
      </c>
      <c r="C4013">
        <v>81.91</v>
      </c>
      <c r="D4013">
        <f t="shared" si="127"/>
        <v>4.8382038488952244</v>
      </c>
      <c r="E4013">
        <v>-1.1226460647030503E-2</v>
      </c>
      <c r="G4013">
        <v>4011</v>
      </c>
      <c r="H4013">
        <f t="shared" ca="1" si="128"/>
        <v>5.342615748855392E-3</v>
      </c>
    </row>
    <row r="4014" spans="2:8" x14ac:dyDescent="0.3">
      <c r="B4014" s="113">
        <v>37589</v>
      </c>
      <c r="C4014">
        <v>14.03</v>
      </c>
      <c r="D4014">
        <f t="shared" si="127"/>
        <v>-0.93176070038910508</v>
      </c>
      <c r="E4014">
        <v>-1.12755461592671E-2</v>
      </c>
      <c r="G4014">
        <v>4012</v>
      </c>
      <c r="H4014">
        <f t="shared" ca="1" si="128"/>
        <v>1.0441454784950985E-2</v>
      </c>
    </row>
    <row r="4015" spans="2:8" x14ac:dyDescent="0.3">
      <c r="B4015" s="113">
        <v>44305</v>
      </c>
      <c r="C4015">
        <v>205.6</v>
      </c>
      <c r="D4015">
        <f t="shared" si="127"/>
        <v>-7.7157861663449873E-2</v>
      </c>
      <c r="E4015">
        <v>-1.1300793459966312E-2</v>
      </c>
      <c r="G4015">
        <v>4013</v>
      </c>
      <c r="H4015">
        <f t="shared" ca="1" si="128"/>
        <v>-1.1465513788766657E-3</v>
      </c>
    </row>
    <row r="4016" spans="2:8" x14ac:dyDescent="0.3">
      <c r="B4016" s="113">
        <v>41428</v>
      </c>
      <c r="C4016">
        <v>222.79</v>
      </c>
      <c r="D4016">
        <f t="shared" si="127"/>
        <v>-3.5749837697468159E-2</v>
      </c>
      <c r="E4016">
        <v>-1.1316233247537106E-2</v>
      </c>
      <c r="G4016">
        <v>4014</v>
      </c>
      <c r="H4016">
        <f t="shared" ca="1" si="128"/>
        <v>5.737087577923957E-4</v>
      </c>
    </row>
    <row r="4017" spans="2:8" x14ac:dyDescent="0.3">
      <c r="B4017" s="113">
        <v>42703</v>
      </c>
      <c r="C4017">
        <v>231.05</v>
      </c>
      <c r="D4017">
        <f t="shared" si="127"/>
        <v>0.29367301231802923</v>
      </c>
      <c r="E4017">
        <v>-1.1339323919554889E-2</v>
      </c>
      <c r="G4017">
        <v>4015</v>
      </c>
      <c r="H4017">
        <f t="shared" ca="1" si="128"/>
        <v>6.9562801385000461E-3</v>
      </c>
    </row>
    <row r="4018" spans="2:8" x14ac:dyDescent="0.3">
      <c r="B4018" s="113">
        <v>44091</v>
      </c>
      <c r="C4018">
        <v>178.6</v>
      </c>
      <c r="D4018">
        <f t="shared" si="127"/>
        <v>-9.169506179118142E-2</v>
      </c>
      <c r="E4018">
        <v>-1.1347910323830675E-2</v>
      </c>
      <c r="G4018">
        <v>4016</v>
      </c>
      <c r="H4018">
        <f t="shared" ca="1" si="128"/>
        <v>-5.0847127901648512E-2</v>
      </c>
    </row>
    <row r="4019" spans="2:8" x14ac:dyDescent="0.3">
      <c r="B4019" s="113">
        <v>41326</v>
      </c>
      <c r="C4019">
        <v>196.63</v>
      </c>
      <c r="D4019">
        <f t="shared" si="127"/>
        <v>-0.3448942195568882</v>
      </c>
      <c r="E4019">
        <v>-1.136306501080995E-2</v>
      </c>
      <c r="G4019">
        <v>4017</v>
      </c>
      <c r="H4019">
        <f t="shared" ca="1" si="128"/>
        <v>1.9651607899482133E-2</v>
      </c>
    </row>
    <row r="4020" spans="2:8" x14ac:dyDescent="0.3">
      <c r="B4020" s="113">
        <v>42878</v>
      </c>
      <c r="C4020">
        <v>300.14999999999998</v>
      </c>
      <c r="D4020">
        <f t="shared" si="127"/>
        <v>0.16949152542372883</v>
      </c>
      <c r="E4020">
        <v>-1.1363636363636513E-2</v>
      </c>
      <c r="G4020">
        <v>4018</v>
      </c>
      <c r="H4020">
        <f t="shared" ca="1" si="128"/>
        <v>4.1733724798818851E-2</v>
      </c>
    </row>
    <row r="4021" spans="2:8" x14ac:dyDescent="0.3">
      <c r="B4021" s="113">
        <v>44658</v>
      </c>
      <c r="C4021">
        <v>256.64999999999998</v>
      </c>
      <c r="D4021">
        <f t="shared" si="127"/>
        <v>10.805427782888684</v>
      </c>
      <c r="E4021">
        <v>-1.1363636363636537E-2</v>
      </c>
      <c r="G4021">
        <v>4019</v>
      </c>
      <c r="H4021">
        <f t="shared" ca="1" si="128"/>
        <v>4.860100681682307E-2</v>
      </c>
    </row>
    <row r="4022" spans="2:8" x14ac:dyDescent="0.3">
      <c r="B4022" s="113">
        <v>37985</v>
      </c>
      <c r="C4022">
        <v>21.74</v>
      </c>
      <c r="D4022">
        <f t="shared" si="127"/>
        <v>-0.89652053881669758</v>
      </c>
      <c r="E4022">
        <v>-1.136880400181901E-2</v>
      </c>
      <c r="G4022">
        <v>4020</v>
      </c>
      <c r="H4022">
        <f t="shared" ca="1" si="128"/>
        <v>1.2942338261216798E-2</v>
      </c>
    </row>
    <row r="4023" spans="2:8" x14ac:dyDescent="0.3">
      <c r="B4023" s="113">
        <v>41683</v>
      </c>
      <c r="C4023">
        <v>210.09</v>
      </c>
      <c r="D4023">
        <f t="shared" si="127"/>
        <v>7.5729646697388589E-2</v>
      </c>
      <c r="E4023">
        <v>-1.1387699402381006E-2</v>
      </c>
      <c r="G4023">
        <v>4021</v>
      </c>
      <c r="H4023">
        <f t="shared" ca="1" si="128"/>
        <v>-2.1073416166324629E-2</v>
      </c>
    </row>
    <row r="4024" spans="2:8" x14ac:dyDescent="0.3">
      <c r="B4024" s="113">
        <v>43892</v>
      </c>
      <c r="C4024">
        <v>195.3</v>
      </c>
      <c r="D4024">
        <f t="shared" si="127"/>
        <v>6.7592371871275319</v>
      </c>
      <c r="E4024">
        <v>-1.1389521640091115E-2</v>
      </c>
      <c r="G4024">
        <v>4022</v>
      </c>
      <c r="H4024">
        <f t="shared" ca="1" si="128"/>
        <v>7.2565377872615454E-3</v>
      </c>
    </row>
    <row r="4025" spans="2:8" x14ac:dyDescent="0.3">
      <c r="B4025" s="113">
        <v>38257</v>
      </c>
      <c r="C4025">
        <v>25.17</v>
      </c>
      <c r="D4025">
        <f t="shared" si="127"/>
        <v>-0.81402393970740361</v>
      </c>
      <c r="E4025">
        <v>-1.1390416339355818E-2</v>
      </c>
      <c r="G4025">
        <v>4023</v>
      </c>
      <c r="H4025">
        <f t="shared" ca="1" si="128"/>
        <v>3.9796343600638677E-3</v>
      </c>
    </row>
    <row r="4026" spans="2:8" x14ac:dyDescent="0.3">
      <c r="B4026" s="113">
        <v>40882</v>
      </c>
      <c r="C4026">
        <v>135.34</v>
      </c>
      <c r="D4026">
        <f t="shared" si="127"/>
        <v>-0.48831758034026462</v>
      </c>
      <c r="E4026">
        <v>-1.1395178962746546E-2</v>
      </c>
      <c r="G4026">
        <v>4024</v>
      </c>
      <c r="H4026">
        <f t="shared" ca="1" si="128"/>
        <v>3.3497678730681959E-3</v>
      </c>
    </row>
    <row r="4027" spans="2:8" x14ac:dyDescent="0.3">
      <c r="B4027" s="113">
        <v>43679</v>
      </c>
      <c r="C4027">
        <v>264.5</v>
      </c>
      <c r="D4027">
        <f t="shared" si="127"/>
        <v>1.4283878075651852</v>
      </c>
      <c r="E4027">
        <v>-1.1399738366660479E-2</v>
      </c>
      <c r="G4027">
        <v>4025</v>
      </c>
      <c r="H4027">
        <f t="shared" ca="1" si="128"/>
        <v>1.7469603148496472E-2</v>
      </c>
    </row>
    <row r="4028" spans="2:8" x14ac:dyDescent="0.3">
      <c r="B4028" s="113">
        <v>40429</v>
      </c>
      <c r="C4028">
        <v>108.92</v>
      </c>
      <c r="D4028">
        <f t="shared" si="127"/>
        <v>-0.48537680132293881</v>
      </c>
      <c r="E4028">
        <v>-1.1435832274460021E-2</v>
      </c>
      <c r="G4028">
        <v>4026</v>
      </c>
      <c r="H4028">
        <f t="shared" ca="1" si="128"/>
        <v>-2.1215634948926216E-3</v>
      </c>
    </row>
    <row r="4029" spans="2:8" x14ac:dyDescent="0.3">
      <c r="B4029" s="113">
        <v>42354</v>
      </c>
      <c r="C4029">
        <v>211.65</v>
      </c>
      <c r="D4029">
        <f t="shared" si="127"/>
        <v>-0.10291188064256347</v>
      </c>
      <c r="E4029">
        <v>-1.1443250817375005E-2</v>
      </c>
      <c r="G4029">
        <v>4027</v>
      </c>
      <c r="H4029">
        <f t="shared" ca="1" si="128"/>
        <v>4.9160616436742183E-3</v>
      </c>
    </row>
    <row r="4030" spans="2:8" x14ac:dyDescent="0.3">
      <c r="B4030" s="113">
        <v>42524</v>
      </c>
      <c r="C4030">
        <v>235.93</v>
      </c>
      <c r="D4030">
        <f t="shared" si="127"/>
        <v>-0.23795219638242898</v>
      </c>
      <c r="E4030">
        <v>-1.1480286588176063E-2</v>
      </c>
      <c r="G4030">
        <v>4028</v>
      </c>
      <c r="H4030">
        <f t="shared" ca="1" si="128"/>
        <v>-9.8471166504583534E-3</v>
      </c>
    </row>
    <row r="4031" spans="2:8" x14ac:dyDescent="0.3">
      <c r="B4031" s="113">
        <v>43347</v>
      </c>
      <c r="C4031">
        <v>309.60000000000002</v>
      </c>
      <c r="D4031">
        <f t="shared" si="127"/>
        <v>0.48989412897016366</v>
      </c>
      <c r="E4031">
        <v>-1.1494252873563111E-2</v>
      </c>
      <c r="G4031">
        <v>4029</v>
      </c>
      <c r="H4031">
        <f t="shared" ca="1" si="128"/>
        <v>2.7176464515142464E-2</v>
      </c>
    </row>
    <row r="4032" spans="2:8" x14ac:dyDescent="0.3">
      <c r="B4032" s="113">
        <v>42254</v>
      </c>
      <c r="C4032">
        <v>207.8</v>
      </c>
      <c r="D4032">
        <f t="shared" si="127"/>
        <v>0.12227262907755462</v>
      </c>
      <c r="E4032">
        <v>-1.1511749595661628E-2</v>
      </c>
      <c r="G4032">
        <v>4030</v>
      </c>
      <c r="H4032">
        <f t="shared" ca="1" si="128"/>
        <v>5.1697618516878263E-3</v>
      </c>
    </row>
    <row r="4033" spans="2:8" x14ac:dyDescent="0.3">
      <c r="B4033" s="113">
        <v>41214</v>
      </c>
      <c r="C4033">
        <v>185.16</v>
      </c>
      <c r="D4033">
        <f t="shared" si="127"/>
        <v>0.38540965207631867</v>
      </c>
      <c r="E4033">
        <v>-1.1531069827033934E-2</v>
      </c>
      <c r="G4033">
        <v>4031</v>
      </c>
      <c r="H4033">
        <f t="shared" ca="1" si="128"/>
        <v>1.205497589221588E-2</v>
      </c>
    </row>
    <row r="4034" spans="2:8" x14ac:dyDescent="0.3">
      <c r="B4034" s="113">
        <v>40940</v>
      </c>
      <c r="C4034">
        <v>133.65</v>
      </c>
      <c r="D4034">
        <f t="shared" si="127"/>
        <v>5.1368785399622412E-2</v>
      </c>
      <c r="E4034">
        <v>-1.1537608165076563E-2</v>
      </c>
      <c r="G4034">
        <v>4032</v>
      </c>
      <c r="H4034">
        <f t="shared" ca="1" si="128"/>
        <v>-6.442239071390965E-3</v>
      </c>
    </row>
    <row r="4035" spans="2:8" x14ac:dyDescent="0.3">
      <c r="B4035" s="113">
        <v>40711</v>
      </c>
      <c r="C4035">
        <v>127.12</v>
      </c>
      <c r="D4035">
        <f t="shared" ref="D4035:D4098" si="129">(C4035-C4036)/C4036</f>
        <v>-3.8644785600846901E-2</v>
      </c>
      <c r="E4035">
        <v>-1.1585413264909486E-2</v>
      </c>
      <c r="G4035">
        <v>4033</v>
      </c>
      <c r="H4035">
        <f t="shared" ca="1" si="128"/>
        <v>-1.1265968595299907E-3</v>
      </c>
    </row>
    <row r="4036" spans="2:8" x14ac:dyDescent="0.3">
      <c r="B4036" s="113">
        <v>40868</v>
      </c>
      <c r="C4036">
        <v>132.22999999999999</v>
      </c>
      <c r="D4036">
        <f t="shared" si="129"/>
        <v>0.16676961087090789</v>
      </c>
      <c r="E4036">
        <v>-1.1586186275975567E-2</v>
      </c>
      <c r="G4036">
        <v>4034</v>
      </c>
      <c r="H4036">
        <f t="shared" ref="H4036:H4099" ca="1" si="130">_xlfn.NORM.INV(RAND(),$L$4,$L$6)</f>
        <v>-1.0217320101934234E-2</v>
      </c>
    </row>
    <row r="4037" spans="2:8" x14ac:dyDescent="0.3">
      <c r="B4037" s="113">
        <v>40463</v>
      </c>
      <c r="C4037">
        <v>113.33</v>
      </c>
      <c r="D4037">
        <f t="shared" si="129"/>
        <v>4.7910066428206433</v>
      </c>
      <c r="E4037">
        <v>-1.1599511599511584E-2</v>
      </c>
      <c r="G4037">
        <v>4035</v>
      </c>
      <c r="H4037">
        <f t="shared" ca="1" si="130"/>
        <v>-6.8889445490236704E-3</v>
      </c>
    </row>
    <row r="4038" spans="2:8" x14ac:dyDescent="0.3">
      <c r="B4038" s="113">
        <v>37911</v>
      </c>
      <c r="C4038">
        <v>19.57</v>
      </c>
      <c r="D4038">
        <f t="shared" si="129"/>
        <v>-0.92695035460992914</v>
      </c>
      <c r="E4038">
        <v>-1.1616161616161637E-2</v>
      </c>
      <c r="G4038">
        <v>4036</v>
      </c>
      <c r="H4038">
        <f t="shared" ca="1" si="130"/>
        <v>4.8268922785646368E-3</v>
      </c>
    </row>
    <row r="4039" spans="2:8" x14ac:dyDescent="0.3">
      <c r="B4039" s="113">
        <v>43259</v>
      </c>
      <c r="C4039">
        <v>267.89999999999998</v>
      </c>
      <c r="D4039">
        <f t="shared" si="129"/>
        <v>0.12847514743049693</v>
      </c>
      <c r="E4039">
        <v>-1.1621472053126854E-2</v>
      </c>
      <c r="G4039">
        <v>4037</v>
      </c>
      <c r="H4039">
        <f t="shared" ca="1" si="130"/>
        <v>8.5143370428831557E-3</v>
      </c>
    </row>
    <row r="4040" spans="2:8" x14ac:dyDescent="0.3">
      <c r="B4040" s="113">
        <v>42649</v>
      </c>
      <c r="C4040">
        <v>237.4</v>
      </c>
      <c r="D4040">
        <f t="shared" si="129"/>
        <v>14.557011795543907</v>
      </c>
      <c r="E4040">
        <v>-1.1656952539550304E-2</v>
      </c>
      <c r="G4040">
        <v>4038</v>
      </c>
      <c r="H4040">
        <f t="shared" ca="1" si="130"/>
        <v>1.8179975877909149E-2</v>
      </c>
    </row>
    <row r="4041" spans="2:8" x14ac:dyDescent="0.3">
      <c r="B4041" s="113">
        <v>37487</v>
      </c>
      <c r="C4041">
        <v>15.26</v>
      </c>
      <c r="D4041">
        <f t="shared" si="129"/>
        <v>-0.45441544511977117</v>
      </c>
      <c r="E4041">
        <v>-1.1658031088082884E-2</v>
      </c>
      <c r="G4041">
        <v>4039</v>
      </c>
      <c r="H4041">
        <f t="shared" ca="1" si="130"/>
        <v>3.1359215051968481E-2</v>
      </c>
    </row>
    <row r="4042" spans="2:8" x14ac:dyDescent="0.3">
      <c r="B4042" s="113">
        <v>38327</v>
      </c>
      <c r="C4042">
        <v>27.97</v>
      </c>
      <c r="D4042">
        <f t="shared" si="129"/>
        <v>1.0657311669128509</v>
      </c>
      <c r="E4042">
        <v>-1.1660777385159075E-2</v>
      </c>
      <c r="G4042">
        <v>4040</v>
      </c>
      <c r="H4042">
        <f t="shared" ca="1" si="130"/>
        <v>-2.112972063167259E-2</v>
      </c>
    </row>
    <row r="4043" spans="2:8" x14ac:dyDescent="0.3">
      <c r="B4043" s="113">
        <v>37559</v>
      </c>
      <c r="C4043">
        <v>13.54</v>
      </c>
      <c r="D4043">
        <f t="shared" si="129"/>
        <v>-5.7759220598469038E-2</v>
      </c>
      <c r="E4043">
        <v>-1.1678832116788333E-2</v>
      </c>
      <c r="G4043">
        <v>4041</v>
      </c>
      <c r="H4043">
        <f t="shared" ca="1" si="130"/>
        <v>-3.256906620185903E-2</v>
      </c>
    </row>
    <row r="4044" spans="2:8" x14ac:dyDescent="0.3">
      <c r="B4044" s="113">
        <v>37599</v>
      </c>
      <c r="C4044">
        <v>14.37</v>
      </c>
      <c r="D4044">
        <f t="shared" si="129"/>
        <v>-0.93250669296886002</v>
      </c>
      <c r="E4044">
        <v>-1.1691884456671247E-2</v>
      </c>
      <c r="G4044">
        <v>4042</v>
      </c>
      <c r="H4044">
        <f t="shared" ca="1" si="130"/>
        <v>3.2580255997626859E-2</v>
      </c>
    </row>
    <row r="4045" spans="2:8" x14ac:dyDescent="0.3">
      <c r="B4045" s="113">
        <v>42492</v>
      </c>
      <c r="C4045">
        <v>212.91</v>
      </c>
      <c r="D4045">
        <f t="shared" si="129"/>
        <v>-0.12973635806253836</v>
      </c>
      <c r="E4045">
        <v>-1.169753516223372E-2</v>
      </c>
      <c r="G4045">
        <v>4043</v>
      </c>
      <c r="H4045">
        <f t="shared" ca="1" si="130"/>
        <v>-9.5050988533949294E-3</v>
      </c>
    </row>
    <row r="4046" spans="2:8" x14ac:dyDescent="0.3">
      <c r="B4046" s="113">
        <v>42747</v>
      </c>
      <c r="C4046">
        <v>244.65</v>
      </c>
      <c r="D4046">
        <f t="shared" si="129"/>
        <v>0.23779408044523145</v>
      </c>
      <c r="E4046">
        <v>-1.1714805089880855E-2</v>
      </c>
      <c r="G4046">
        <v>4044</v>
      </c>
      <c r="H4046">
        <f t="shared" ca="1" si="130"/>
        <v>-2.5136431607094493E-2</v>
      </c>
    </row>
    <row r="4047" spans="2:8" x14ac:dyDescent="0.3">
      <c r="B4047" s="113">
        <v>43990</v>
      </c>
      <c r="C4047">
        <v>197.65</v>
      </c>
      <c r="D4047">
        <f t="shared" si="129"/>
        <v>6.8378378378378415E-2</v>
      </c>
      <c r="E4047">
        <v>-1.1749999999999972E-2</v>
      </c>
      <c r="G4047">
        <v>4045</v>
      </c>
      <c r="H4047">
        <f t="shared" ca="1" si="130"/>
        <v>-1.1003964968752819E-2</v>
      </c>
    </row>
    <row r="4048" spans="2:8" x14ac:dyDescent="0.3">
      <c r="B4048" s="113">
        <v>43998</v>
      </c>
      <c r="C4048">
        <v>185</v>
      </c>
      <c r="D4048">
        <f t="shared" si="129"/>
        <v>-5.084397927248472E-2</v>
      </c>
      <c r="E4048">
        <v>-1.1752136752136691E-2</v>
      </c>
      <c r="G4048">
        <v>4046</v>
      </c>
      <c r="H4048">
        <f t="shared" ca="1" si="130"/>
        <v>3.1788141561579514E-3</v>
      </c>
    </row>
    <row r="4049" spans="2:8" x14ac:dyDescent="0.3">
      <c r="B4049" s="113">
        <v>41204</v>
      </c>
      <c r="C4049">
        <v>194.91</v>
      </c>
      <c r="D4049">
        <f t="shared" si="129"/>
        <v>2.8672619047619046</v>
      </c>
      <c r="E4049">
        <v>-1.1762916392029575E-2</v>
      </c>
      <c r="G4049">
        <v>4047</v>
      </c>
      <c r="H4049">
        <f t="shared" ca="1" si="130"/>
        <v>1.7551743331134677E-2</v>
      </c>
    </row>
    <row r="4050" spans="2:8" x14ac:dyDescent="0.3">
      <c r="B4050" s="113">
        <v>39246</v>
      </c>
      <c r="C4050">
        <v>50.4</v>
      </c>
      <c r="D4050">
        <f t="shared" si="129"/>
        <v>-0.77334052887209925</v>
      </c>
      <c r="E4050">
        <v>-1.1764705882352969E-2</v>
      </c>
      <c r="G4050">
        <v>4048</v>
      </c>
      <c r="H4050">
        <f t="shared" ca="1" si="130"/>
        <v>-1.5897956562105867E-2</v>
      </c>
    </row>
    <row r="4051" spans="2:8" x14ac:dyDescent="0.3">
      <c r="B4051" s="113">
        <v>42079</v>
      </c>
      <c r="C4051">
        <v>222.36</v>
      </c>
      <c r="D4051">
        <f t="shared" si="129"/>
        <v>8.1393341553637502</v>
      </c>
      <c r="E4051">
        <v>-1.1777254344251266E-2</v>
      </c>
      <c r="G4051">
        <v>4049</v>
      </c>
      <c r="H4051">
        <f t="shared" ca="1" si="130"/>
        <v>2.2921206883951391E-2</v>
      </c>
    </row>
    <row r="4052" spans="2:8" x14ac:dyDescent="0.3">
      <c r="B4052" s="113">
        <v>37999</v>
      </c>
      <c r="C4052">
        <v>24.33</v>
      </c>
      <c r="D4052">
        <f t="shared" si="129"/>
        <v>-0.76962408862797083</v>
      </c>
      <c r="E4052">
        <v>-1.1779041429732035E-2</v>
      </c>
      <c r="G4052">
        <v>4050</v>
      </c>
      <c r="H4052">
        <f t="shared" ca="1" si="130"/>
        <v>1.9589557917945782E-2</v>
      </c>
    </row>
    <row r="4053" spans="2:8" x14ac:dyDescent="0.3">
      <c r="B4053" s="113">
        <v>40420</v>
      </c>
      <c r="C4053">
        <v>105.61</v>
      </c>
      <c r="D4053">
        <f t="shared" si="129"/>
        <v>-0.53671696788910339</v>
      </c>
      <c r="E4053">
        <v>-1.17900252643399E-2</v>
      </c>
      <c r="G4053">
        <v>4051</v>
      </c>
      <c r="H4053">
        <f t="shared" ca="1" si="130"/>
        <v>1.6344048799203634E-2</v>
      </c>
    </row>
    <row r="4054" spans="2:8" x14ac:dyDescent="0.3">
      <c r="B4054" s="113">
        <v>41739</v>
      </c>
      <c r="C4054">
        <v>227.96</v>
      </c>
      <c r="D4054">
        <f t="shared" si="129"/>
        <v>9.4225507608121706E-2</v>
      </c>
      <c r="E4054">
        <v>-1.1791225940697064E-2</v>
      </c>
      <c r="G4054">
        <v>4052</v>
      </c>
      <c r="H4054">
        <f t="shared" ca="1" si="130"/>
        <v>1.7294642000626484E-2</v>
      </c>
    </row>
    <row r="4055" spans="2:8" x14ac:dyDescent="0.3">
      <c r="B4055" s="113">
        <v>42268</v>
      </c>
      <c r="C4055">
        <v>208.33</v>
      </c>
      <c r="D4055">
        <f t="shared" si="129"/>
        <v>2.5072390572390573</v>
      </c>
      <c r="E4055">
        <v>-1.1811023622047152E-2</v>
      </c>
      <c r="G4055">
        <v>4053</v>
      </c>
      <c r="H4055">
        <f t="shared" ca="1" si="130"/>
        <v>9.059520901007187E-3</v>
      </c>
    </row>
    <row r="4056" spans="2:8" x14ac:dyDescent="0.3">
      <c r="B4056" s="113">
        <v>39044</v>
      </c>
      <c r="C4056">
        <v>59.4</v>
      </c>
      <c r="D4056">
        <f t="shared" si="129"/>
        <v>1.3693657758276825</v>
      </c>
      <c r="E4056">
        <v>-1.181167858925305E-2</v>
      </c>
      <c r="G4056">
        <v>4054</v>
      </c>
      <c r="H4056">
        <f t="shared" ca="1" si="130"/>
        <v>-1.5464256550743675E-4</v>
      </c>
    </row>
    <row r="4057" spans="2:8" x14ac:dyDescent="0.3">
      <c r="B4057" s="113">
        <v>38058</v>
      </c>
      <c r="C4057">
        <v>25.07</v>
      </c>
      <c r="D4057">
        <f t="shared" si="129"/>
        <v>-0.3178231292517007</v>
      </c>
      <c r="E4057">
        <v>-1.1824990145841572E-2</v>
      </c>
      <c r="G4057">
        <v>4055</v>
      </c>
      <c r="H4057">
        <f t="shared" ca="1" si="130"/>
        <v>2.6410254268310947E-2</v>
      </c>
    </row>
    <row r="4058" spans="2:8" x14ac:dyDescent="0.3">
      <c r="B4058" s="113">
        <v>38565</v>
      </c>
      <c r="C4058">
        <v>36.75</v>
      </c>
      <c r="D4058">
        <f t="shared" si="129"/>
        <v>-0.86029272001520629</v>
      </c>
      <c r="E4058">
        <v>-1.1831137402527501E-2</v>
      </c>
      <c r="G4058">
        <v>4056</v>
      </c>
      <c r="H4058">
        <f t="shared" ca="1" si="130"/>
        <v>-6.1206503218331418E-3</v>
      </c>
    </row>
    <row r="4059" spans="2:8" x14ac:dyDescent="0.3">
      <c r="B4059" s="113">
        <v>43283</v>
      </c>
      <c r="C4059">
        <v>263.05</v>
      </c>
      <c r="D4059">
        <f t="shared" si="129"/>
        <v>15.585750315258512</v>
      </c>
      <c r="E4059">
        <v>-1.1833208114199766E-2</v>
      </c>
      <c r="G4059">
        <v>4057</v>
      </c>
      <c r="H4059">
        <f t="shared" ca="1" si="130"/>
        <v>1.690148848585785E-2</v>
      </c>
    </row>
    <row r="4060" spans="2:8" x14ac:dyDescent="0.3">
      <c r="B4060" s="113">
        <v>37833</v>
      </c>
      <c r="C4060">
        <v>15.86</v>
      </c>
      <c r="D4060">
        <f t="shared" si="129"/>
        <v>-0.92398753894081009</v>
      </c>
      <c r="E4060">
        <v>-1.1838006230529673E-2</v>
      </c>
      <c r="G4060">
        <v>4058</v>
      </c>
      <c r="H4060">
        <f t="shared" ca="1" si="130"/>
        <v>1.3910069021655369E-2</v>
      </c>
    </row>
    <row r="4061" spans="2:8" x14ac:dyDescent="0.3">
      <c r="B4061" s="113">
        <v>44404</v>
      </c>
      <c r="C4061">
        <v>208.65</v>
      </c>
      <c r="D4061">
        <f t="shared" si="129"/>
        <v>0.30210933599600598</v>
      </c>
      <c r="E4061">
        <v>-1.1839924224484964E-2</v>
      </c>
      <c r="G4061">
        <v>4059</v>
      </c>
      <c r="H4061">
        <f t="shared" ca="1" si="130"/>
        <v>-6.0736417472139594E-3</v>
      </c>
    </row>
    <row r="4062" spans="2:8" x14ac:dyDescent="0.3">
      <c r="B4062" s="113">
        <v>41032</v>
      </c>
      <c r="C4062">
        <v>160.24</v>
      </c>
      <c r="D4062">
        <f t="shared" si="129"/>
        <v>0.48880423673696938</v>
      </c>
      <c r="E4062">
        <v>-1.1840157868771507E-2</v>
      </c>
      <c r="G4062">
        <v>4060</v>
      </c>
      <c r="H4062">
        <f t="shared" ca="1" si="130"/>
        <v>1.9636749787309039E-2</v>
      </c>
    </row>
    <row r="4063" spans="2:8" x14ac:dyDescent="0.3">
      <c r="B4063" s="113">
        <v>40430</v>
      </c>
      <c r="C4063">
        <v>107.63</v>
      </c>
      <c r="D4063">
        <f t="shared" si="129"/>
        <v>6.1705529646902058</v>
      </c>
      <c r="E4063">
        <v>-1.1843554902680924E-2</v>
      </c>
      <c r="G4063">
        <v>4061</v>
      </c>
      <c r="H4063">
        <f t="shared" ca="1" si="130"/>
        <v>-1.0994949010526891E-2</v>
      </c>
    </row>
    <row r="4064" spans="2:8" x14ac:dyDescent="0.3">
      <c r="B4064" s="113">
        <v>37502</v>
      </c>
      <c r="C4064">
        <v>15.01</v>
      </c>
      <c r="D4064">
        <f t="shared" si="129"/>
        <v>-0.82520088505880973</v>
      </c>
      <c r="E4064">
        <v>-1.1849901250822891E-2</v>
      </c>
      <c r="G4064">
        <v>4062</v>
      </c>
      <c r="H4064">
        <f t="shared" ca="1" si="130"/>
        <v>-1.2984730413523844E-2</v>
      </c>
    </row>
    <row r="4065" spans="2:8" x14ac:dyDescent="0.3">
      <c r="B4065" s="113">
        <v>40304</v>
      </c>
      <c r="C4065">
        <v>85.87</v>
      </c>
      <c r="D4065">
        <f t="shared" si="129"/>
        <v>5.0599858856739592</v>
      </c>
      <c r="E4065">
        <v>-1.1852704257767561E-2</v>
      </c>
      <c r="G4065">
        <v>4063</v>
      </c>
      <c r="H4065">
        <f t="shared" ca="1" si="130"/>
        <v>1.3225437861980311E-2</v>
      </c>
    </row>
    <row r="4066" spans="2:8" x14ac:dyDescent="0.3">
      <c r="B4066" s="113">
        <v>37550</v>
      </c>
      <c r="C4066">
        <v>14.17</v>
      </c>
      <c r="D4066">
        <f t="shared" si="129"/>
        <v>-0.9234054054054055</v>
      </c>
      <c r="E4066">
        <v>-1.1854951185495113E-2</v>
      </c>
      <c r="G4066">
        <v>4064</v>
      </c>
      <c r="H4066">
        <f t="shared" ca="1" si="130"/>
        <v>-3.1931833485448313E-2</v>
      </c>
    </row>
    <row r="4067" spans="2:8" x14ac:dyDescent="0.3">
      <c r="B4067" s="113">
        <v>41281</v>
      </c>
      <c r="C4067">
        <v>185</v>
      </c>
      <c r="D4067">
        <f t="shared" si="129"/>
        <v>-0.3826130485566494</v>
      </c>
      <c r="E4067">
        <v>-1.1857707509881417E-2</v>
      </c>
      <c r="G4067">
        <v>4065</v>
      </c>
      <c r="H4067">
        <f t="shared" ca="1" si="130"/>
        <v>-1.3362957928169649E-2</v>
      </c>
    </row>
    <row r="4068" spans="2:8" x14ac:dyDescent="0.3">
      <c r="B4068" s="113">
        <v>43362</v>
      </c>
      <c r="C4068">
        <v>299.64999999999998</v>
      </c>
      <c r="D4068">
        <f t="shared" si="129"/>
        <v>0.42990074441687331</v>
      </c>
      <c r="E4068">
        <v>-1.1871393239901147E-2</v>
      </c>
      <c r="G4068">
        <v>4066</v>
      </c>
      <c r="H4068">
        <f t="shared" ca="1" si="130"/>
        <v>-1.503023395524467E-2</v>
      </c>
    </row>
    <row r="4069" spans="2:8" x14ac:dyDescent="0.3">
      <c r="B4069" s="113">
        <v>42439</v>
      </c>
      <c r="C4069">
        <v>209.56</v>
      </c>
      <c r="D4069">
        <f t="shared" si="129"/>
        <v>2.5554801493043775</v>
      </c>
      <c r="E4069">
        <v>-1.1882308562806535E-2</v>
      </c>
      <c r="G4069">
        <v>4067</v>
      </c>
      <c r="H4069">
        <f t="shared" ca="1" si="130"/>
        <v>-4.46030587676718E-3</v>
      </c>
    </row>
    <row r="4070" spans="2:8" x14ac:dyDescent="0.3">
      <c r="B4070" s="113">
        <v>39805</v>
      </c>
      <c r="C4070">
        <v>58.94</v>
      </c>
      <c r="D4070">
        <f t="shared" si="129"/>
        <v>-0.65359976491331184</v>
      </c>
      <c r="E4070">
        <v>-1.1902766135792135E-2</v>
      </c>
      <c r="G4070">
        <v>4068</v>
      </c>
      <c r="H4070">
        <f t="shared" ca="1" si="130"/>
        <v>-2.6375216792788311E-2</v>
      </c>
    </row>
    <row r="4071" spans="2:8" x14ac:dyDescent="0.3">
      <c r="B4071" s="113">
        <v>44117</v>
      </c>
      <c r="C4071">
        <v>170.15</v>
      </c>
      <c r="D4071">
        <f t="shared" si="129"/>
        <v>10.404155495978554</v>
      </c>
      <c r="E4071">
        <v>-1.1904761904761807E-2</v>
      </c>
      <c r="G4071">
        <v>4069</v>
      </c>
      <c r="H4071">
        <f t="shared" ca="1" si="130"/>
        <v>-3.1385418865550172E-3</v>
      </c>
    </row>
    <row r="4072" spans="2:8" x14ac:dyDescent="0.3">
      <c r="B4072" s="113">
        <v>37732</v>
      </c>
      <c r="C4072">
        <v>14.92</v>
      </c>
      <c r="D4072">
        <f t="shared" si="129"/>
        <v>-0.94538799414348451</v>
      </c>
      <c r="E4072">
        <v>-1.1920529801324485E-2</v>
      </c>
      <c r="G4072">
        <v>4070</v>
      </c>
      <c r="H4072">
        <f t="shared" ca="1" si="130"/>
        <v>4.4606681633317987E-3</v>
      </c>
    </row>
    <row r="4073" spans="2:8" x14ac:dyDescent="0.3">
      <c r="B4073" s="113">
        <v>43381</v>
      </c>
      <c r="C4073">
        <v>273.2</v>
      </c>
      <c r="D4073">
        <f t="shared" si="129"/>
        <v>0.2631189606546766</v>
      </c>
      <c r="E4073">
        <v>-1.1934900542495521E-2</v>
      </c>
      <c r="G4073">
        <v>4071</v>
      </c>
      <c r="H4073">
        <f t="shared" ca="1" si="130"/>
        <v>1.1300258109863541E-2</v>
      </c>
    </row>
    <row r="4074" spans="2:8" x14ac:dyDescent="0.3">
      <c r="B4074" s="113">
        <v>42129</v>
      </c>
      <c r="C4074">
        <v>216.29</v>
      </c>
      <c r="D4074">
        <f t="shared" si="129"/>
        <v>0.92874977706438377</v>
      </c>
      <c r="E4074">
        <v>-1.1968388835594557E-2</v>
      </c>
      <c r="G4074">
        <v>4072</v>
      </c>
      <c r="H4074">
        <f t="shared" ca="1" si="130"/>
        <v>6.7784941621702993E-3</v>
      </c>
    </row>
    <row r="4075" spans="2:8" x14ac:dyDescent="0.3">
      <c r="B4075" s="113">
        <v>40476</v>
      </c>
      <c r="C4075">
        <v>112.14</v>
      </c>
      <c r="D4075">
        <f t="shared" si="129"/>
        <v>1.4738583719391132</v>
      </c>
      <c r="E4075">
        <v>-1.1982378854625546E-2</v>
      </c>
      <c r="G4075">
        <v>4073</v>
      </c>
      <c r="H4075">
        <f t="shared" ca="1" si="130"/>
        <v>4.8154223539310752E-3</v>
      </c>
    </row>
    <row r="4076" spans="2:8" x14ac:dyDescent="0.3">
      <c r="B4076" s="113">
        <v>38625</v>
      </c>
      <c r="C4076">
        <v>45.33</v>
      </c>
      <c r="D4076">
        <f t="shared" si="129"/>
        <v>-0.78419423946679367</v>
      </c>
      <c r="E4076">
        <v>-1.1987794245858854E-2</v>
      </c>
      <c r="G4076">
        <v>4074</v>
      </c>
      <c r="H4076">
        <f t="shared" ca="1" si="130"/>
        <v>-3.3485015152402237E-2</v>
      </c>
    </row>
    <row r="4077" spans="2:8" x14ac:dyDescent="0.3">
      <c r="B4077" s="113">
        <v>44334</v>
      </c>
      <c r="C4077">
        <v>210.05</v>
      </c>
      <c r="D4077">
        <f t="shared" si="129"/>
        <v>0.28251312736597883</v>
      </c>
      <c r="E4077">
        <v>-1.1994355597365865E-2</v>
      </c>
      <c r="G4077">
        <v>4075</v>
      </c>
      <c r="H4077">
        <f t="shared" ca="1" si="130"/>
        <v>1.101930086809365E-2</v>
      </c>
    </row>
    <row r="4078" spans="2:8" x14ac:dyDescent="0.3">
      <c r="B4078" s="113">
        <v>41086</v>
      </c>
      <c r="C4078">
        <v>163.78</v>
      </c>
      <c r="D4078">
        <f t="shared" si="129"/>
        <v>0.84333145751266192</v>
      </c>
      <c r="E4078">
        <v>-1.2004584665500447E-2</v>
      </c>
      <c r="G4078">
        <v>4076</v>
      </c>
      <c r="H4078">
        <f t="shared" ca="1" si="130"/>
        <v>1.9812498882668156E-3</v>
      </c>
    </row>
    <row r="4079" spans="2:8" x14ac:dyDescent="0.3">
      <c r="B4079" s="113">
        <v>40322</v>
      </c>
      <c r="C4079">
        <v>88.85</v>
      </c>
      <c r="D4079">
        <f t="shared" si="129"/>
        <v>5.0033783783783781</v>
      </c>
      <c r="E4079">
        <v>-1.2009340598243216E-2</v>
      </c>
      <c r="G4079">
        <v>4077</v>
      </c>
      <c r="H4079">
        <f t="shared" ca="1" si="130"/>
        <v>-3.9679886233818622E-3</v>
      </c>
    </row>
    <row r="4080" spans="2:8" x14ac:dyDescent="0.3">
      <c r="B4080" s="113">
        <v>37609</v>
      </c>
      <c r="C4080">
        <v>14.8</v>
      </c>
      <c r="D4080">
        <f t="shared" si="129"/>
        <v>-0.9233518048578383</v>
      </c>
      <c r="E4080">
        <v>-1.2016021361815735E-2</v>
      </c>
      <c r="G4080">
        <v>4078</v>
      </c>
      <c r="H4080">
        <f t="shared" ca="1" si="130"/>
        <v>2.0397572717878436E-2</v>
      </c>
    </row>
    <row r="4081" spans="2:8" x14ac:dyDescent="0.3">
      <c r="B4081" s="113">
        <v>41334</v>
      </c>
      <c r="C4081">
        <v>193.09</v>
      </c>
      <c r="D4081">
        <f t="shared" si="129"/>
        <v>-0.12613142650253442</v>
      </c>
      <c r="E4081">
        <v>-1.2024150634465791E-2</v>
      </c>
      <c r="G4081">
        <v>4079</v>
      </c>
      <c r="H4081">
        <f t="shared" ca="1" si="130"/>
        <v>7.1965702951914722E-3</v>
      </c>
    </row>
    <row r="4082" spans="2:8" x14ac:dyDescent="0.3">
      <c r="B4082" s="113">
        <v>41801</v>
      </c>
      <c r="C4082">
        <v>220.96</v>
      </c>
      <c r="D4082">
        <f t="shared" si="129"/>
        <v>-3.3209363377816686E-2</v>
      </c>
      <c r="E4082">
        <v>-1.2027721886876806E-2</v>
      </c>
      <c r="G4082">
        <v>4080</v>
      </c>
      <c r="H4082">
        <f t="shared" ca="1" si="130"/>
        <v>7.6121080491388512E-3</v>
      </c>
    </row>
    <row r="4083" spans="2:8" x14ac:dyDescent="0.3">
      <c r="B4083" s="113">
        <v>41542</v>
      </c>
      <c r="C4083">
        <v>228.55</v>
      </c>
      <c r="D4083">
        <f t="shared" si="129"/>
        <v>-0.12750524909333835</v>
      </c>
      <c r="E4083">
        <v>-1.2060171176623117E-2</v>
      </c>
      <c r="G4083">
        <v>4081</v>
      </c>
      <c r="H4083">
        <f t="shared" ca="1" si="130"/>
        <v>7.6241188639341864E-3</v>
      </c>
    </row>
    <row r="4084" spans="2:8" x14ac:dyDescent="0.3">
      <c r="B4084" s="113">
        <v>43202</v>
      </c>
      <c r="C4084">
        <v>261.95</v>
      </c>
      <c r="D4084">
        <f t="shared" si="129"/>
        <v>0.20831219152174915</v>
      </c>
      <c r="E4084">
        <v>-1.2068640392230771E-2</v>
      </c>
      <c r="G4084">
        <v>4082</v>
      </c>
      <c r="H4084">
        <f t="shared" ca="1" si="130"/>
        <v>2.4266034322368856E-2</v>
      </c>
    </row>
    <row r="4085" spans="2:8" x14ac:dyDescent="0.3">
      <c r="B4085" s="113">
        <v>41438</v>
      </c>
      <c r="C4085">
        <v>216.79</v>
      </c>
      <c r="D4085">
        <f t="shared" si="129"/>
        <v>-0.17113362645765634</v>
      </c>
      <c r="E4085">
        <v>-1.207619394823189E-2</v>
      </c>
      <c r="G4085">
        <v>4083</v>
      </c>
      <c r="H4085">
        <f t="shared" ca="1" si="130"/>
        <v>9.8837455823029257E-3</v>
      </c>
    </row>
    <row r="4086" spans="2:8" x14ac:dyDescent="0.3">
      <c r="B4086" s="113">
        <v>42797</v>
      </c>
      <c r="C4086">
        <v>261.55</v>
      </c>
      <c r="D4086">
        <f t="shared" si="129"/>
        <v>1.3533381320856579</v>
      </c>
      <c r="E4086">
        <v>-1.2086874409820543E-2</v>
      </c>
      <c r="G4086">
        <v>4084</v>
      </c>
      <c r="H4086">
        <f t="shared" ca="1" si="130"/>
        <v>6.0806337043951301E-3</v>
      </c>
    </row>
    <row r="4087" spans="2:8" x14ac:dyDescent="0.3">
      <c r="B4087" s="113">
        <v>40508</v>
      </c>
      <c r="C4087">
        <v>111.14</v>
      </c>
      <c r="D4087">
        <f t="shared" si="129"/>
        <v>5.4956165984804208</v>
      </c>
      <c r="E4087">
        <v>-1.2088888888888883E-2</v>
      </c>
      <c r="G4087">
        <v>4085</v>
      </c>
      <c r="H4087">
        <f t="shared" ca="1" si="130"/>
        <v>-2.1405895881233081E-2</v>
      </c>
    </row>
    <row r="4088" spans="2:8" x14ac:dyDescent="0.3">
      <c r="B4088" s="113">
        <v>37882</v>
      </c>
      <c r="C4088">
        <v>17.11</v>
      </c>
      <c r="D4088">
        <f t="shared" si="129"/>
        <v>-0.63765353663701818</v>
      </c>
      <c r="E4088">
        <v>-1.2124711316397278E-2</v>
      </c>
      <c r="G4088">
        <v>4086</v>
      </c>
      <c r="H4088">
        <f t="shared" ca="1" si="130"/>
        <v>1.1058158965627693E-2</v>
      </c>
    </row>
    <row r="4089" spans="2:8" x14ac:dyDescent="0.3">
      <c r="B4089" s="113">
        <v>38734</v>
      </c>
      <c r="C4089">
        <v>47.22</v>
      </c>
      <c r="D4089">
        <f t="shared" si="129"/>
        <v>-0.38201806046329012</v>
      </c>
      <c r="E4089">
        <v>-1.2133891213389087E-2</v>
      </c>
      <c r="G4089">
        <v>4087</v>
      </c>
      <c r="H4089">
        <f t="shared" ca="1" si="130"/>
        <v>7.7448128614379804E-4</v>
      </c>
    </row>
    <row r="4090" spans="2:8" x14ac:dyDescent="0.3">
      <c r="B4090" s="113">
        <v>40079</v>
      </c>
      <c r="C4090">
        <v>76.41</v>
      </c>
      <c r="D4090">
        <f t="shared" si="129"/>
        <v>0.22295134443021766</v>
      </c>
      <c r="E4090">
        <v>-1.2152553329023888E-2</v>
      </c>
      <c r="G4090">
        <v>4088</v>
      </c>
      <c r="H4090">
        <f t="shared" ca="1" si="130"/>
        <v>4.1453333727417802E-2</v>
      </c>
    </row>
    <row r="4091" spans="2:8" x14ac:dyDescent="0.3">
      <c r="B4091" s="113">
        <v>39023</v>
      </c>
      <c r="C4091">
        <v>62.48</v>
      </c>
      <c r="D4091">
        <f t="shared" si="129"/>
        <v>8.8312140742031017E-2</v>
      </c>
      <c r="E4091">
        <v>-1.2173913043478311E-2</v>
      </c>
      <c r="G4091">
        <v>4089</v>
      </c>
      <c r="H4091">
        <f t="shared" ca="1" si="130"/>
        <v>-5.4054077250556398E-3</v>
      </c>
    </row>
    <row r="4092" spans="2:8" x14ac:dyDescent="0.3">
      <c r="B4092" s="113">
        <v>39126</v>
      </c>
      <c r="C4092">
        <v>57.41</v>
      </c>
      <c r="D4092">
        <f t="shared" si="129"/>
        <v>-0.79035968595946693</v>
      </c>
      <c r="E4092">
        <v>-1.2216104611149362E-2</v>
      </c>
      <c r="G4092">
        <v>4090</v>
      </c>
      <c r="H4092">
        <f t="shared" ca="1" si="130"/>
        <v>2.3467655567365742E-3</v>
      </c>
    </row>
    <row r="4093" spans="2:8" x14ac:dyDescent="0.3">
      <c r="B4093" s="113">
        <v>43416</v>
      </c>
      <c r="C4093">
        <v>273.85000000000002</v>
      </c>
      <c r="D4093">
        <f t="shared" si="129"/>
        <v>3.730523406460529</v>
      </c>
      <c r="E4093">
        <v>-1.2263300270513894E-2</v>
      </c>
      <c r="G4093">
        <v>4091</v>
      </c>
      <c r="H4093">
        <f t="shared" ca="1" si="130"/>
        <v>2.1140497811559925E-2</v>
      </c>
    </row>
    <row r="4094" spans="2:8" x14ac:dyDescent="0.3">
      <c r="B4094" s="113">
        <v>39066</v>
      </c>
      <c r="C4094">
        <v>57.89</v>
      </c>
      <c r="D4094">
        <f t="shared" si="129"/>
        <v>-7.5534972852123877E-2</v>
      </c>
      <c r="E4094">
        <v>-1.2284593072854443E-2</v>
      </c>
      <c r="G4094">
        <v>4092</v>
      </c>
      <c r="H4094">
        <f t="shared" ca="1" si="130"/>
        <v>1.8271500934339099E-2</v>
      </c>
    </row>
    <row r="4095" spans="2:8" x14ac:dyDescent="0.3">
      <c r="B4095" s="113">
        <v>39028</v>
      </c>
      <c r="C4095">
        <v>62.62</v>
      </c>
      <c r="D4095">
        <f t="shared" si="129"/>
        <v>-0.739896157840083</v>
      </c>
      <c r="E4095">
        <v>-1.230283911671926E-2</v>
      </c>
      <c r="G4095">
        <v>4093</v>
      </c>
      <c r="H4095">
        <f t="shared" ca="1" si="130"/>
        <v>1.7314252644484544E-2</v>
      </c>
    </row>
    <row r="4096" spans="2:8" x14ac:dyDescent="0.3">
      <c r="B4096" s="113">
        <v>43720</v>
      </c>
      <c r="C4096">
        <v>240.75</v>
      </c>
      <c r="D4096">
        <f t="shared" si="129"/>
        <v>2.4916606236403189</v>
      </c>
      <c r="E4096">
        <v>-1.2307692307692308E-2</v>
      </c>
      <c r="G4096">
        <v>4094</v>
      </c>
      <c r="H4096">
        <f t="shared" ca="1" si="130"/>
        <v>-9.82599493024249E-3</v>
      </c>
    </row>
    <row r="4097" spans="2:8" x14ac:dyDescent="0.3">
      <c r="B4097" s="113">
        <v>39540</v>
      </c>
      <c r="C4097">
        <v>68.95</v>
      </c>
      <c r="D4097">
        <f t="shared" si="129"/>
        <v>-0.65400441589722991</v>
      </c>
      <c r="E4097">
        <v>-1.2319151983956445E-2</v>
      </c>
      <c r="G4097">
        <v>4095</v>
      </c>
      <c r="H4097">
        <f t="shared" ca="1" si="130"/>
        <v>2.431871983536588E-2</v>
      </c>
    </row>
    <row r="4098" spans="2:8" x14ac:dyDescent="0.3">
      <c r="B4098" s="113">
        <v>42164</v>
      </c>
      <c r="C4098">
        <v>199.28</v>
      </c>
      <c r="D4098">
        <f t="shared" si="129"/>
        <v>-0.1126547332799003</v>
      </c>
      <c r="E4098">
        <v>-1.2340784061059666E-2</v>
      </c>
      <c r="G4098">
        <v>4096</v>
      </c>
      <c r="H4098">
        <f t="shared" ca="1" si="130"/>
        <v>4.6264429102558582E-2</v>
      </c>
    </row>
    <row r="4099" spans="2:8" x14ac:dyDescent="0.3">
      <c r="B4099" s="113">
        <v>41550</v>
      </c>
      <c r="C4099">
        <v>224.58</v>
      </c>
      <c r="D4099">
        <f t="shared" ref="D4099:D4162" si="131">(C4099-C4100)/C4100</f>
        <v>3.4078508341511284</v>
      </c>
      <c r="E4099">
        <v>-1.235762346629128E-2</v>
      </c>
      <c r="G4099">
        <v>4097</v>
      </c>
      <c r="H4099">
        <f t="shared" ca="1" si="130"/>
        <v>-2.5853603065872879E-2</v>
      </c>
    </row>
    <row r="4100" spans="2:8" x14ac:dyDescent="0.3">
      <c r="B4100" s="113">
        <v>39273</v>
      </c>
      <c r="C4100">
        <v>50.95</v>
      </c>
      <c r="D4100">
        <f t="shared" si="131"/>
        <v>-0.80881801125703567</v>
      </c>
      <c r="E4100">
        <v>-1.2405504942818385E-2</v>
      </c>
      <c r="G4100">
        <v>4098</v>
      </c>
      <c r="H4100">
        <f t="shared" ref="H4100:H4163" ca="1" si="132">_xlfn.NORM.INV(RAND(),$L$4,$L$6)</f>
        <v>3.4910402579662036E-4</v>
      </c>
    </row>
    <row r="4101" spans="2:8" x14ac:dyDescent="0.3">
      <c r="B4101" s="113">
        <v>43145</v>
      </c>
      <c r="C4101">
        <v>266.5</v>
      </c>
      <c r="D4101">
        <f t="shared" si="131"/>
        <v>3.1746031746031703E-2</v>
      </c>
      <c r="E4101">
        <v>-1.24143042430981E-2</v>
      </c>
      <c r="G4101">
        <v>4099</v>
      </c>
      <c r="H4101">
        <f t="shared" ca="1" si="132"/>
        <v>-1.0915344450345183E-2</v>
      </c>
    </row>
    <row r="4102" spans="2:8" x14ac:dyDescent="0.3">
      <c r="B4102" s="113">
        <v>43007</v>
      </c>
      <c r="C4102">
        <v>258.3</v>
      </c>
      <c r="D4102">
        <f t="shared" si="131"/>
        <v>16.117296222664017</v>
      </c>
      <c r="E4102">
        <v>-1.2425922385777097E-2</v>
      </c>
      <c r="G4102">
        <v>4100</v>
      </c>
      <c r="H4102">
        <f t="shared" ca="1" si="132"/>
        <v>-1.3492336622195115E-2</v>
      </c>
    </row>
    <row r="4103" spans="2:8" x14ac:dyDescent="0.3">
      <c r="B4103" s="113">
        <v>37489</v>
      </c>
      <c r="C4103">
        <v>15.09</v>
      </c>
      <c r="D4103">
        <f t="shared" si="131"/>
        <v>-0.32118758434547912</v>
      </c>
      <c r="E4103">
        <v>-1.2434554973821958E-2</v>
      </c>
      <c r="G4103">
        <v>4101</v>
      </c>
      <c r="H4103">
        <f t="shared" ca="1" si="132"/>
        <v>-1.491386488952951E-2</v>
      </c>
    </row>
    <row r="4104" spans="2:8" x14ac:dyDescent="0.3">
      <c r="B4104" s="113">
        <v>38217</v>
      </c>
      <c r="C4104">
        <v>22.23</v>
      </c>
      <c r="D4104">
        <f t="shared" si="131"/>
        <v>-0.89224430441105196</v>
      </c>
      <c r="E4104">
        <v>-1.2438916037316798E-2</v>
      </c>
      <c r="G4104">
        <v>4102</v>
      </c>
      <c r="H4104">
        <f t="shared" ca="1" si="132"/>
        <v>-1.7802045134335313E-2</v>
      </c>
    </row>
    <row r="4105" spans="2:8" x14ac:dyDescent="0.3">
      <c r="B4105" s="113">
        <v>44431</v>
      </c>
      <c r="C4105">
        <v>206.3</v>
      </c>
      <c r="D4105">
        <f t="shared" si="131"/>
        <v>2.6714717921338318</v>
      </c>
      <c r="E4105">
        <v>-1.2446146481570101E-2</v>
      </c>
      <c r="G4105">
        <v>4103</v>
      </c>
      <c r="H4105">
        <f t="shared" ca="1" si="132"/>
        <v>7.1528896028780155E-4</v>
      </c>
    </row>
    <row r="4106" spans="2:8" x14ac:dyDescent="0.3">
      <c r="B4106" s="113">
        <v>39099</v>
      </c>
      <c r="C4106">
        <v>56.19</v>
      </c>
      <c r="D4106">
        <f t="shared" si="131"/>
        <v>-0.74993324432576769</v>
      </c>
      <c r="E4106">
        <v>-1.2478031634446413E-2</v>
      </c>
      <c r="G4106">
        <v>4104</v>
      </c>
      <c r="H4106">
        <f t="shared" ca="1" si="132"/>
        <v>-1.2211114683280828E-2</v>
      </c>
    </row>
    <row r="4107" spans="2:8" x14ac:dyDescent="0.3">
      <c r="B4107" s="113">
        <v>42727</v>
      </c>
      <c r="C4107">
        <v>224.7</v>
      </c>
      <c r="D4107">
        <f t="shared" si="131"/>
        <v>-0.18513145965548508</v>
      </c>
      <c r="E4107">
        <v>-1.2524719841793111E-2</v>
      </c>
      <c r="G4107">
        <v>4105</v>
      </c>
      <c r="H4107">
        <f t="shared" ca="1" si="132"/>
        <v>2.1720275654916684E-2</v>
      </c>
    </row>
    <row r="4108" spans="2:8" x14ac:dyDescent="0.3">
      <c r="B4108" s="113">
        <v>43622</v>
      </c>
      <c r="C4108">
        <v>275.75</v>
      </c>
      <c r="D4108">
        <f t="shared" si="131"/>
        <v>3.0767297457125964</v>
      </c>
      <c r="E4108">
        <v>-1.2533572068039392E-2</v>
      </c>
      <c r="G4108">
        <v>4106</v>
      </c>
      <c r="H4108">
        <f t="shared" ca="1" si="132"/>
        <v>1.6850179504474819E-2</v>
      </c>
    </row>
    <row r="4109" spans="2:8" x14ac:dyDescent="0.3">
      <c r="B4109" s="113">
        <v>39549</v>
      </c>
      <c r="C4109">
        <v>67.64</v>
      </c>
      <c r="D4109">
        <f t="shared" si="131"/>
        <v>-0.77935083999347587</v>
      </c>
      <c r="E4109">
        <v>-1.2554744525547437E-2</v>
      </c>
      <c r="G4109">
        <v>4107</v>
      </c>
      <c r="H4109">
        <f t="shared" ca="1" si="132"/>
        <v>2.5324904776531996E-3</v>
      </c>
    </row>
    <row r="4110" spans="2:8" x14ac:dyDescent="0.3">
      <c r="B4110" s="113">
        <v>43353</v>
      </c>
      <c r="C4110">
        <v>306.55</v>
      </c>
      <c r="D4110">
        <f t="shared" si="131"/>
        <v>14.608452138492872</v>
      </c>
      <c r="E4110">
        <v>-1.2562409405701329E-2</v>
      </c>
      <c r="G4110">
        <v>4108</v>
      </c>
      <c r="H4110">
        <f t="shared" ca="1" si="132"/>
        <v>5.9231504205955283E-3</v>
      </c>
    </row>
    <row r="4111" spans="2:8" x14ac:dyDescent="0.3">
      <c r="B4111" s="113">
        <v>37930</v>
      </c>
      <c r="C4111">
        <v>19.64</v>
      </c>
      <c r="D4111">
        <f t="shared" si="131"/>
        <v>-0.90906986434557158</v>
      </c>
      <c r="E4111">
        <v>-1.256913021618904E-2</v>
      </c>
      <c r="G4111">
        <v>4109</v>
      </c>
      <c r="H4111">
        <f t="shared" ca="1" si="132"/>
        <v>-4.329260817131881E-3</v>
      </c>
    </row>
    <row r="4112" spans="2:8" x14ac:dyDescent="0.3">
      <c r="B4112" s="113">
        <v>42482</v>
      </c>
      <c r="C4112">
        <v>215.99</v>
      </c>
      <c r="D4112">
        <f t="shared" si="131"/>
        <v>10.008664627930683</v>
      </c>
      <c r="E4112">
        <v>-1.2572003291579044E-2</v>
      </c>
      <c r="G4112">
        <v>4110</v>
      </c>
      <c r="H4112">
        <f t="shared" ca="1" si="132"/>
        <v>-6.2075682957620695E-3</v>
      </c>
    </row>
    <row r="4113" spans="2:8" x14ac:dyDescent="0.3">
      <c r="B4113" s="113">
        <v>38127</v>
      </c>
      <c r="C4113">
        <v>19.62</v>
      </c>
      <c r="D4113">
        <f t="shared" si="131"/>
        <v>-0.80113521183863767</v>
      </c>
      <c r="E4113">
        <v>-1.2581781580271767E-2</v>
      </c>
      <c r="G4113">
        <v>4111</v>
      </c>
      <c r="H4113">
        <f t="shared" ca="1" si="132"/>
        <v>-3.2807125495579004E-3</v>
      </c>
    </row>
    <row r="4114" spans="2:8" x14ac:dyDescent="0.3">
      <c r="B4114" s="113">
        <v>40357</v>
      </c>
      <c r="C4114">
        <v>98.66</v>
      </c>
      <c r="D4114">
        <f t="shared" si="131"/>
        <v>1.1013844515441957</v>
      </c>
      <c r="E4114">
        <v>-1.2610088070456417E-2</v>
      </c>
      <c r="G4114">
        <v>4112</v>
      </c>
      <c r="H4114">
        <f t="shared" ca="1" si="132"/>
        <v>-1.1021509353529793E-2</v>
      </c>
    </row>
    <row r="4115" spans="2:8" x14ac:dyDescent="0.3">
      <c r="B4115" s="113">
        <v>38707</v>
      </c>
      <c r="C4115">
        <v>46.95</v>
      </c>
      <c r="D4115">
        <f t="shared" si="131"/>
        <v>-0.64421036677781141</v>
      </c>
      <c r="E4115">
        <v>-1.2618296529968336E-2</v>
      </c>
      <c r="G4115">
        <v>4113</v>
      </c>
      <c r="H4115">
        <f t="shared" ca="1" si="132"/>
        <v>8.1027620732713121E-3</v>
      </c>
    </row>
    <row r="4116" spans="2:8" x14ac:dyDescent="0.3">
      <c r="B4116" s="113">
        <v>40941</v>
      </c>
      <c r="C4116">
        <v>131.96</v>
      </c>
      <c r="D4116">
        <f t="shared" si="131"/>
        <v>-0.37167888772497859</v>
      </c>
      <c r="E4116">
        <v>-1.2644968200523738E-2</v>
      </c>
      <c r="G4116">
        <v>4114</v>
      </c>
      <c r="H4116">
        <f t="shared" ca="1" si="132"/>
        <v>-9.4685089400048592E-3</v>
      </c>
    </row>
    <row r="4117" spans="2:8" x14ac:dyDescent="0.3">
      <c r="B4117" s="113">
        <v>41620</v>
      </c>
      <c r="C4117">
        <v>210.02</v>
      </c>
      <c r="D4117">
        <f t="shared" si="131"/>
        <v>3.560157790927021E-2</v>
      </c>
      <c r="E4117">
        <v>-1.2646325983733711E-2</v>
      </c>
      <c r="G4117">
        <v>4115</v>
      </c>
      <c r="H4117">
        <f t="shared" ca="1" si="132"/>
        <v>-1.473501732317695E-2</v>
      </c>
    </row>
    <row r="4118" spans="2:8" x14ac:dyDescent="0.3">
      <c r="B4118" s="113">
        <v>44203</v>
      </c>
      <c r="C4118">
        <v>202.8</v>
      </c>
      <c r="D4118">
        <f t="shared" si="131"/>
        <v>-0.19936833793920253</v>
      </c>
      <c r="E4118">
        <v>-1.2658227848101238E-2</v>
      </c>
      <c r="G4118">
        <v>4116</v>
      </c>
      <c r="H4118">
        <f t="shared" ca="1" si="132"/>
        <v>-9.6059056469092205E-4</v>
      </c>
    </row>
    <row r="4119" spans="2:8" x14ac:dyDescent="0.3">
      <c r="B4119" s="113">
        <v>43054</v>
      </c>
      <c r="C4119">
        <v>253.3</v>
      </c>
      <c r="D4119">
        <f t="shared" si="131"/>
        <v>8.0691013247404229</v>
      </c>
      <c r="E4119">
        <v>-1.266809588774118E-2</v>
      </c>
      <c r="G4119">
        <v>4117</v>
      </c>
      <c r="H4119">
        <f t="shared" ca="1" si="132"/>
        <v>2.4617167404884021E-2</v>
      </c>
    </row>
    <row r="4120" spans="2:8" x14ac:dyDescent="0.3">
      <c r="B4120" s="113">
        <v>38404</v>
      </c>
      <c r="C4120">
        <v>27.93</v>
      </c>
      <c r="D4120">
        <f t="shared" si="131"/>
        <v>0.12711864406779655</v>
      </c>
      <c r="E4120">
        <v>-1.2725344644750775E-2</v>
      </c>
      <c r="G4120">
        <v>4118</v>
      </c>
      <c r="H4120">
        <f t="shared" ca="1" si="132"/>
        <v>-7.4582943471000838E-3</v>
      </c>
    </row>
    <row r="4121" spans="2:8" x14ac:dyDescent="0.3">
      <c r="B4121" s="113">
        <v>38002</v>
      </c>
      <c r="C4121">
        <v>24.78</v>
      </c>
      <c r="D4121">
        <f t="shared" si="131"/>
        <v>-0.91110313901345286</v>
      </c>
      <c r="E4121">
        <v>-1.2749003984063756E-2</v>
      </c>
      <c r="G4121">
        <v>4119</v>
      </c>
      <c r="H4121">
        <f t="shared" ca="1" si="132"/>
        <v>1.0267467427191418E-2</v>
      </c>
    </row>
    <row r="4122" spans="2:8" x14ac:dyDescent="0.3">
      <c r="B4122" s="113">
        <v>43242</v>
      </c>
      <c r="C4122">
        <v>278.75</v>
      </c>
      <c r="D4122">
        <f t="shared" si="131"/>
        <v>2.687657097499669</v>
      </c>
      <c r="E4122">
        <v>-1.2750132813883557E-2</v>
      </c>
      <c r="G4122">
        <v>4120</v>
      </c>
      <c r="H4122">
        <f t="shared" ca="1" si="132"/>
        <v>5.8586256985410203E-3</v>
      </c>
    </row>
    <row r="4123" spans="2:8" x14ac:dyDescent="0.3">
      <c r="B4123" s="113">
        <v>39456</v>
      </c>
      <c r="C4123">
        <v>75.59</v>
      </c>
      <c r="D4123">
        <f t="shared" si="131"/>
        <v>-0.69842409734689803</v>
      </c>
      <c r="E4123">
        <v>-1.2798746245265637E-2</v>
      </c>
      <c r="G4123">
        <v>4121</v>
      </c>
      <c r="H4123">
        <f t="shared" ca="1" si="132"/>
        <v>1.3305335308229398E-2</v>
      </c>
    </row>
    <row r="4124" spans="2:8" x14ac:dyDescent="0.3">
      <c r="B4124" s="113">
        <v>43784</v>
      </c>
      <c r="C4124">
        <v>250.65</v>
      </c>
      <c r="D4124">
        <f t="shared" si="131"/>
        <v>3.5145893371757921</v>
      </c>
      <c r="E4124">
        <v>-1.2800315084679006E-2</v>
      </c>
      <c r="G4124">
        <v>4122</v>
      </c>
      <c r="H4124">
        <f t="shared" ca="1" si="132"/>
        <v>2.2026650718979662E-2</v>
      </c>
    </row>
    <row r="4125" spans="2:8" x14ac:dyDescent="0.3">
      <c r="B4125" s="113">
        <v>38917</v>
      </c>
      <c r="C4125">
        <v>55.52</v>
      </c>
      <c r="D4125">
        <f t="shared" si="131"/>
        <v>-0.81994486784498133</v>
      </c>
      <c r="E4125">
        <v>-1.2802275960170676E-2</v>
      </c>
      <c r="G4125">
        <v>4123</v>
      </c>
      <c r="H4125">
        <f t="shared" ca="1" si="132"/>
        <v>-9.9342795355020445E-3</v>
      </c>
    </row>
    <row r="4126" spans="2:8" x14ac:dyDescent="0.3">
      <c r="B4126" s="113">
        <v>42914</v>
      </c>
      <c r="C4126">
        <v>308.35000000000002</v>
      </c>
      <c r="D4126">
        <f t="shared" si="131"/>
        <v>2.0124071903087146</v>
      </c>
      <c r="E4126">
        <v>-1.2806146950536256E-2</v>
      </c>
      <c r="G4126">
        <v>4124</v>
      </c>
      <c r="H4126">
        <f t="shared" ca="1" si="132"/>
        <v>1.5377615983276634E-2</v>
      </c>
    </row>
    <row r="4127" spans="2:8" x14ac:dyDescent="0.3">
      <c r="B4127" s="113">
        <v>40393</v>
      </c>
      <c r="C4127">
        <v>102.36</v>
      </c>
      <c r="D4127">
        <f t="shared" si="131"/>
        <v>-0.59645180366646966</v>
      </c>
      <c r="E4127">
        <v>-1.2826694956119185E-2</v>
      </c>
      <c r="G4127">
        <v>4125</v>
      </c>
      <c r="H4127">
        <f t="shared" ca="1" si="132"/>
        <v>3.278010339299977E-2</v>
      </c>
    </row>
    <row r="4128" spans="2:8" x14ac:dyDescent="0.3">
      <c r="B4128" s="113">
        <v>42634</v>
      </c>
      <c r="C4128">
        <v>253.65</v>
      </c>
      <c r="D4128">
        <f t="shared" si="131"/>
        <v>3.0766634522661525</v>
      </c>
      <c r="E4128">
        <v>-1.2842965557501394E-2</v>
      </c>
      <c r="G4128">
        <v>4126</v>
      </c>
      <c r="H4128">
        <f t="shared" ca="1" si="132"/>
        <v>2.0982156453499753E-3</v>
      </c>
    </row>
    <row r="4129" spans="2:8" x14ac:dyDescent="0.3">
      <c r="B4129" s="113">
        <v>38965</v>
      </c>
      <c r="C4129">
        <v>62.22</v>
      </c>
      <c r="D4129">
        <f t="shared" si="131"/>
        <v>0.50036170725825901</v>
      </c>
      <c r="E4129">
        <v>-1.2851023322227546E-2</v>
      </c>
      <c r="G4129">
        <v>4127</v>
      </c>
      <c r="H4129">
        <f t="shared" ca="1" si="132"/>
        <v>1.2650252193475335E-3</v>
      </c>
    </row>
    <row r="4130" spans="2:8" x14ac:dyDescent="0.3">
      <c r="B4130" s="113">
        <v>38678</v>
      </c>
      <c r="C4130">
        <v>41.47</v>
      </c>
      <c r="D4130">
        <f t="shared" si="131"/>
        <v>-0.80838185010627484</v>
      </c>
      <c r="E4130">
        <v>-1.2854082361342518E-2</v>
      </c>
      <c r="G4130">
        <v>4128</v>
      </c>
      <c r="H4130">
        <f t="shared" ca="1" si="132"/>
        <v>1.2314255774030643E-2</v>
      </c>
    </row>
    <row r="4131" spans="2:8" x14ac:dyDescent="0.3">
      <c r="B4131" s="113">
        <v>42465</v>
      </c>
      <c r="C4131">
        <v>216.42</v>
      </c>
      <c r="D4131">
        <f t="shared" si="131"/>
        <v>2.6562944692154419E-2</v>
      </c>
      <c r="E4131">
        <v>-1.2862616310892271E-2</v>
      </c>
      <c r="G4131">
        <v>4129</v>
      </c>
      <c r="H4131">
        <f t="shared" ca="1" si="132"/>
        <v>-7.1003745206027029E-3</v>
      </c>
    </row>
    <row r="4132" spans="2:8" x14ac:dyDescent="0.3">
      <c r="B4132" s="113">
        <v>42265</v>
      </c>
      <c r="C4132">
        <v>210.82</v>
      </c>
      <c r="D4132">
        <f t="shared" si="131"/>
        <v>0.25078611687926416</v>
      </c>
      <c r="E4132">
        <v>-1.2876340309968629E-2</v>
      </c>
      <c r="G4132">
        <v>4130</v>
      </c>
      <c r="H4132">
        <f t="shared" ca="1" si="132"/>
        <v>-1.9018025719289348E-2</v>
      </c>
    </row>
    <row r="4133" spans="2:8" x14ac:dyDescent="0.3">
      <c r="B4133" s="113">
        <v>44130</v>
      </c>
      <c r="C4133">
        <v>168.55</v>
      </c>
      <c r="D4133">
        <f t="shared" si="131"/>
        <v>-0.39717453505007155</v>
      </c>
      <c r="E4133">
        <v>-1.2884333821376215E-2</v>
      </c>
      <c r="G4133">
        <v>4131</v>
      </c>
      <c r="H4133">
        <f t="shared" ca="1" si="132"/>
        <v>-2.7544025703317666E-3</v>
      </c>
    </row>
    <row r="4134" spans="2:8" x14ac:dyDescent="0.3">
      <c r="B4134" s="113">
        <v>43409</v>
      </c>
      <c r="C4134">
        <v>279.60000000000002</v>
      </c>
      <c r="D4134">
        <f t="shared" si="131"/>
        <v>4.0017889087656533</v>
      </c>
      <c r="E4134">
        <v>-1.2886142983230282E-2</v>
      </c>
      <c r="G4134">
        <v>4132</v>
      </c>
      <c r="H4134">
        <f t="shared" ca="1" si="132"/>
        <v>-3.5684078515997177E-2</v>
      </c>
    </row>
    <row r="4135" spans="2:8" x14ac:dyDescent="0.3">
      <c r="B4135" s="113">
        <v>39744</v>
      </c>
      <c r="C4135">
        <v>55.9</v>
      </c>
      <c r="D4135">
        <f t="shared" si="131"/>
        <v>8.9525514771704841E-4</v>
      </c>
      <c r="E4135">
        <v>-1.2890693978456718E-2</v>
      </c>
      <c r="G4135">
        <v>4133</v>
      </c>
      <c r="H4135">
        <f t="shared" ca="1" si="132"/>
        <v>4.8583575927298632E-3</v>
      </c>
    </row>
    <row r="4136" spans="2:8" x14ac:dyDescent="0.3">
      <c r="B4136" s="113">
        <v>39828</v>
      </c>
      <c r="C4136">
        <v>55.85</v>
      </c>
      <c r="D4136">
        <f t="shared" si="131"/>
        <v>-0.784985563041386</v>
      </c>
      <c r="E4136">
        <v>-1.2902085542594501E-2</v>
      </c>
      <c r="G4136">
        <v>4134</v>
      </c>
      <c r="H4136">
        <f t="shared" ca="1" si="132"/>
        <v>3.3522315599189031E-3</v>
      </c>
    </row>
    <row r="4137" spans="2:8" x14ac:dyDescent="0.3">
      <c r="B4137" s="113">
        <v>44685</v>
      </c>
      <c r="C4137">
        <v>259.75</v>
      </c>
      <c r="D4137">
        <f t="shared" si="131"/>
        <v>9.7844463229078638E-2</v>
      </c>
      <c r="E4137">
        <v>-1.2920387611628264E-2</v>
      </c>
      <c r="G4137">
        <v>4135</v>
      </c>
      <c r="H4137">
        <f t="shared" ca="1" si="132"/>
        <v>-1.1502218669701412E-2</v>
      </c>
    </row>
    <row r="4138" spans="2:8" x14ac:dyDescent="0.3">
      <c r="B4138" s="113">
        <v>42537</v>
      </c>
      <c r="C4138">
        <v>236.6</v>
      </c>
      <c r="D4138">
        <f t="shared" si="131"/>
        <v>1.333333333333333</v>
      </c>
      <c r="E4138">
        <v>-1.2932832707551082E-2</v>
      </c>
      <c r="G4138">
        <v>4136</v>
      </c>
      <c r="H4138">
        <f t="shared" ca="1" si="132"/>
        <v>-4.6640816197890726E-2</v>
      </c>
    </row>
    <row r="4139" spans="2:8" x14ac:dyDescent="0.3">
      <c r="B4139" s="113">
        <v>40402</v>
      </c>
      <c r="C4139">
        <v>101.4</v>
      </c>
      <c r="D4139">
        <f t="shared" si="131"/>
        <v>-0.55296918397037431</v>
      </c>
      <c r="E4139">
        <v>-1.2946558940913056E-2</v>
      </c>
      <c r="G4139">
        <v>4137</v>
      </c>
      <c r="H4139">
        <f t="shared" ca="1" si="132"/>
        <v>1.6975504664201359E-2</v>
      </c>
    </row>
    <row r="4140" spans="2:8" x14ac:dyDescent="0.3">
      <c r="B4140" s="113">
        <v>41767</v>
      </c>
      <c r="C4140">
        <v>226.83</v>
      </c>
      <c r="D4140">
        <f t="shared" si="131"/>
        <v>3.9754332090370696</v>
      </c>
      <c r="E4140">
        <v>-1.2967233801836255E-2</v>
      </c>
      <c r="G4140">
        <v>4138</v>
      </c>
      <c r="H4140">
        <f t="shared" ca="1" si="132"/>
        <v>1.0655206940778544E-2</v>
      </c>
    </row>
    <row r="4141" spans="2:8" x14ac:dyDescent="0.3">
      <c r="B4141" s="113">
        <v>38712</v>
      </c>
      <c r="C4141">
        <v>45.59</v>
      </c>
      <c r="D4141">
        <f t="shared" si="131"/>
        <v>-0.82349980642663567</v>
      </c>
      <c r="E4141">
        <v>-1.2989824637367272E-2</v>
      </c>
      <c r="G4141">
        <v>4139</v>
      </c>
      <c r="H4141">
        <f t="shared" ca="1" si="132"/>
        <v>-2.2518364134702727E-2</v>
      </c>
    </row>
    <row r="4142" spans="2:8" x14ac:dyDescent="0.3">
      <c r="B4142" s="113">
        <v>43052</v>
      </c>
      <c r="C4142">
        <v>258.3</v>
      </c>
      <c r="D4142">
        <f t="shared" si="131"/>
        <v>10.756941283568503</v>
      </c>
      <c r="E4142">
        <v>-1.2991975544516535E-2</v>
      </c>
      <c r="G4142">
        <v>4140</v>
      </c>
      <c r="H4142">
        <f t="shared" ca="1" si="132"/>
        <v>1.1740219893843518E-2</v>
      </c>
    </row>
    <row r="4143" spans="2:8" x14ac:dyDescent="0.3">
      <c r="B4143" s="113">
        <v>38183</v>
      </c>
      <c r="C4143">
        <v>21.97</v>
      </c>
      <c r="D4143">
        <f t="shared" si="131"/>
        <v>-0.90330105633802815</v>
      </c>
      <c r="E4143">
        <v>-1.3027852650494279E-2</v>
      </c>
      <c r="G4143">
        <v>4141</v>
      </c>
      <c r="H4143">
        <f t="shared" ca="1" si="132"/>
        <v>-1.9080378294309063E-3</v>
      </c>
    </row>
    <row r="4144" spans="2:8" x14ac:dyDescent="0.3">
      <c r="B4144" s="113">
        <v>42711</v>
      </c>
      <c r="C4144">
        <v>227.2</v>
      </c>
      <c r="D4144">
        <f t="shared" si="131"/>
        <v>1.7542732452418475</v>
      </c>
      <c r="E4144">
        <v>-1.3032145960034753E-2</v>
      </c>
      <c r="G4144">
        <v>4142</v>
      </c>
      <c r="H4144">
        <f t="shared" ca="1" si="132"/>
        <v>-1.9436684542750139E-2</v>
      </c>
    </row>
    <row r="4145" spans="2:8" x14ac:dyDescent="0.3">
      <c r="B4145" s="113">
        <v>40123</v>
      </c>
      <c r="C4145">
        <v>82.49</v>
      </c>
      <c r="D4145">
        <f t="shared" si="131"/>
        <v>-0.50139023210831724</v>
      </c>
      <c r="E4145">
        <v>-1.3041397463508058E-2</v>
      </c>
      <c r="G4145">
        <v>4143</v>
      </c>
      <c r="H4145">
        <f t="shared" ca="1" si="132"/>
        <v>2.4500993756452087E-2</v>
      </c>
    </row>
    <row r="4146" spans="2:8" x14ac:dyDescent="0.3">
      <c r="B4146" s="113">
        <v>41113</v>
      </c>
      <c r="C4146">
        <v>165.44</v>
      </c>
      <c r="D4146">
        <f t="shared" si="131"/>
        <v>1.528076096962264E-2</v>
      </c>
      <c r="E4146">
        <v>-1.3064487263616285E-2</v>
      </c>
      <c r="G4146">
        <v>4144</v>
      </c>
      <c r="H4146">
        <f t="shared" ca="1" si="132"/>
        <v>-8.1621535631183316E-3</v>
      </c>
    </row>
    <row r="4147" spans="2:8" x14ac:dyDescent="0.3">
      <c r="B4147" s="113">
        <v>41026</v>
      </c>
      <c r="C4147">
        <v>162.94999999999999</v>
      </c>
      <c r="D4147">
        <f t="shared" si="131"/>
        <v>-0.32427949409081491</v>
      </c>
      <c r="E4147">
        <v>-1.3082187632487583E-2</v>
      </c>
      <c r="G4147">
        <v>4145</v>
      </c>
      <c r="H4147">
        <f t="shared" ca="1" si="132"/>
        <v>-1.3137992931385355E-2</v>
      </c>
    </row>
    <row r="4148" spans="2:8" x14ac:dyDescent="0.3">
      <c r="B4148" s="113">
        <v>43819</v>
      </c>
      <c r="C4148">
        <v>241.15</v>
      </c>
      <c r="D4148">
        <f t="shared" si="131"/>
        <v>0.86201837695930839</v>
      </c>
      <c r="E4148">
        <v>-1.3095968897073823E-2</v>
      </c>
      <c r="G4148">
        <v>4146</v>
      </c>
      <c r="H4148">
        <f t="shared" ca="1" si="132"/>
        <v>2.5056511934437139E-2</v>
      </c>
    </row>
    <row r="4149" spans="2:8" x14ac:dyDescent="0.3">
      <c r="B4149" s="113">
        <v>40805</v>
      </c>
      <c r="C4149">
        <v>129.51</v>
      </c>
      <c r="D4149">
        <f t="shared" si="131"/>
        <v>-1.6628701594533012E-2</v>
      </c>
      <c r="E4149">
        <v>-1.3106759125200023E-2</v>
      </c>
      <c r="G4149">
        <v>4147</v>
      </c>
      <c r="H4149">
        <f t="shared" ca="1" si="132"/>
        <v>-8.4450012555560051E-4</v>
      </c>
    </row>
    <row r="4150" spans="2:8" x14ac:dyDescent="0.3">
      <c r="B4150" s="113">
        <v>40910</v>
      </c>
      <c r="C4150">
        <v>131.69999999999999</v>
      </c>
      <c r="D4150">
        <f t="shared" si="131"/>
        <v>-0.35658801113879529</v>
      </c>
      <c r="E4150">
        <v>-1.3113525665043089E-2</v>
      </c>
      <c r="G4150">
        <v>4148</v>
      </c>
      <c r="H4150">
        <f t="shared" ca="1" si="132"/>
        <v>6.3810143266874149E-3</v>
      </c>
    </row>
    <row r="4151" spans="2:8" x14ac:dyDescent="0.3">
      <c r="B4151" s="113">
        <v>41613</v>
      </c>
      <c r="C4151">
        <v>204.69</v>
      </c>
      <c r="D4151">
        <f t="shared" si="131"/>
        <v>-0.19980453479280694</v>
      </c>
      <c r="E4151">
        <v>-1.3114121787763363E-2</v>
      </c>
      <c r="G4151">
        <v>4149</v>
      </c>
      <c r="H4151">
        <f t="shared" ca="1" si="132"/>
        <v>1.9383234076846636E-2</v>
      </c>
    </row>
    <row r="4152" spans="2:8" x14ac:dyDescent="0.3">
      <c r="B4152" s="113">
        <v>43060</v>
      </c>
      <c r="C4152">
        <v>255.8</v>
      </c>
      <c r="D4152">
        <f t="shared" si="131"/>
        <v>1.2825020076737756</v>
      </c>
      <c r="E4152">
        <v>-1.3117283950617196E-2</v>
      </c>
      <c r="G4152">
        <v>4150</v>
      </c>
      <c r="H4152">
        <f t="shared" ca="1" si="132"/>
        <v>-1.3421526063301119E-4</v>
      </c>
    </row>
    <row r="4153" spans="2:8" x14ac:dyDescent="0.3">
      <c r="B4153" s="113">
        <v>40518</v>
      </c>
      <c r="C4153">
        <v>112.07</v>
      </c>
      <c r="D4153">
        <f t="shared" si="131"/>
        <v>-0.56136986301369862</v>
      </c>
      <c r="E4153">
        <v>-1.3120817189151189E-2</v>
      </c>
      <c r="G4153">
        <v>4151</v>
      </c>
      <c r="H4153">
        <f t="shared" ca="1" si="132"/>
        <v>-6.3706535746210794E-3</v>
      </c>
    </row>
    <row r="4154" spans="2:8" x14ac:dyDescent="0.3">
      <c r="B4154" s="113">
        <v>43187</v>
      </c>
      <c r="C4154">
        <v>255.5</v>
      </c>
      <c r="D4154">
        <f t="shared" si="131"/>
        <v>3.6847658469280141E-2</v>
      </c>
      <c r="E4154">
        <v>-1.3132483584395433E-2</v>
      </c>
      <c r="G4154">
        <v>4152</v>
      </c>
      <c r="H4154">
        <f t="shared" ca="1" si="132"/>
        <v>-3.0858278716557299E-2</v>
      </c>
    </row>
    <row r="4155" spans="2:8" x14ac:dyDescent="0.3">
      <c r="B4155" s="113">
        <v>41908</v>
      </c>
      <c r="C4155">
        <v>246.42</v>
      </c>
      <c r="D4155">
        <f t="shared" si="131"/>
        <v>-8.8851913477537445E-2</v>
      </c>
      <c r="E4155">
        <v>-1.3135762915498603E-2</v>
      </c>
      <c r="G4155">
        <v>4153</v>
      </c>
      <c r="H4155">
        <f t="shared" ca="1" si="132"/>
        <v>3.2684939349295278E-3</v>
      </c>
    </row>
    <row r="4156" spans="2:8" x14ac:dyDescent="0.3">
      <c r="B4156" s="113">
        <v>43444</v>
      </c>
      <c r="C4156">
        <v>270.45</v>
      </c>
      <c r="D4156">
        <f t="shared" si="131"/>
        <v>2.8740868070477008</v>
      </c>
      <c r="E4156">
        <v>-1.3136288998358047E-2</v>
      </c>
      <c r="G4156">
        <v>4154</v>
      </c>
      <c r="H4156">
        <f t="shared" ca="1" si="132"/>
        <v>4.962659193129592E-2</v>
      </c>
    </row>
    <row r="4157" spans="2:8" x14ac:dyDescent="0.3">
      <c r="B4157" s="113">
        <v>40004</v>
      </c>
      <c r="C4157">
        <v>69.81</v>
      </c>
      <c r="D4157">
        <f t="shared" si="131"/>
        <v>-0.64135628050346771</v>
      </c>
      <c r="E4157">
        <v>-1.3146734520780219E-2</v>
      </c>
      <c r="G4157">
        <v>4155</v>
      </c>
      <c r="H4157">
        <f t="shared" ca="1" si="132"/>
        <v>-1.1674343458530993E-2</v>
      </c>
    </row>
    <row r="4158" spans="2:8" x14ac:dyDescent="0.3">
      <c r="B4158" s="113">
        <v>44012</v>
      </c>
      <c r="C4158">
        <v>194.65</v>
      </c>
      <c r="D4158">
        <f t="shared" si="131"/>
        <v>3.1283138918345705</v>
      </c>
      <c r="E4158">
        <v>-1.3181242078580452E-2</v>
      </c>
      <c r="G4158">
        <v>4156</v>
      </c>
      <c r="H4158">
        <f t="shared" ca="1" si="132"/>
        <v>1.8420729003209714E-2</v>
      </c>
    </row>
    <row r="4159" spans="2:8" x14ac:dyDescent="0.3">
      <c r="B4159" s="113">
        <v>39167</v>
      </c>
      <c r="C4159">
        <v>47.15</v>
      </c>
      <c r="D4159">
        <f t="shared" si="131"/>
        <v>-0.18057003823427181</v>
      </c>
      <c r="E4159">
        <v>-1.3185433235663511E-2</v>
      </c>
      <c r="G4159">
        <v>4157</v>
      </c>
      <c r="H4159">
        <f t="shared" ca="1" si="132"/>
        <v>-3.3211176742212905E-3</v>
      </c>
    </row>
    <row r="4160" spans="2:8" x14ac:dyDescent="0.3">
      <c r="B4160" s="113">
        <v>38792</v>
      </c>
      <c r="C4160">
        <v>57.54</v>
      </c>
      <c r="D4160">
        <f t="shared" si="131"/>
        <v>2.8565683646112601</v>
      </c>
      <c r="E4160">
        <v>-1.3205282112845192E-2</v>
      </c>
      <c r="G4160">
        <v>4158</v>
      </c>
      <c r="H4160">
        <f t="shared" ca="1" si="132"/>
        <v>3.4968503326242018E-3</v>
      </c>
    </row>
    <row r="4161" spans="2:8" x14ac:dyDescent="0.3">
      <c r="B4161" s="113">
        <v>37494</v>
      </c>
      <c r="C4161">
        <v>14.92</v>
      </c>
      <c r="D4161">
        <f t="shared" si="131"/>
        <v>-0.23013415892672856</v>
      </c>
      <c r="E4161">
        <v>-1.3227513227513182E-2</v>
      </c>
      <c r="G4161">
        <v>4159</v>
      </c>
      <c r="H4161">
        <f t="shared" ca="1" si="132"/>
        <v>1.7223049030318356E-2</v>
      </c>
    </row>
    <row r="4162" spans="2:8" x14ac:dyDescent="0.3">
      <c r="B4162" s="113">
        <v>37931</v>
      </c>
      <c r="C4162">
        <v>19.38</v>
      </c>
      <c r="D4162">
        <f t="shared" si="131"/>
        <v>-0.84329263362173534</v>
      </c>
      <c r="E4162">
        <v>-1.3238289205702728E-2</v>
      </c>
      <c r="G4162">
        <v>4160</v>
      </c>
      <c r="H4162">
        <f t="shared" ca="1" si="132"/>
        <v>1.1171982089431183E-2</v>
      </c>
    </row>
    <row r="4163" spans="2:8" x14ac:dyDescent="0.3">
      <c r="B4163" s="113">
        <v>40683</v>
      </c>
      <c r="C4163">
        <v>123.67</v>
      </c>
      <c r="D4163">
        <f t="shared" ref="D4163:D4226" si="133">(C4163-C4164)/C4164</f>
        <v>-0.42732113915258157</v>
      </c>
      <c r="E4163">
        <v>-1.3245033112582754E-2</v>
      </c>
      <c r="G4163">
        <v>4161</v>
      </c>
      <c r="H4163">
        <f t="shared" ca="1" si="132"/>
        <v>5.9827459955525165E-3</v>
      </c>
    </row>
    <row r="4164" spans="2:8" x14ac:dyDescent="0.3">
      <c r="B4164" s="113">
        <v>44246</v>
      </c>
      <c r="C4164">
        <v>215.95</v>
      </c>
      <c r="D4164">
        <f t="shared" si="133"/>
        <v>14.272277227722771</v>
      </c>
      <c r="E4164">
        <v>-1.3251085218185998E-2</v>
      </c>
      <c r="G4164">
        <v>4162</v>
      </c>
      <c r="H4164">
        <f t="shared" ref="H4164:H4227" ca="1" si="134">_xlfn.NORM.INV(RAND(),$L$4,$L$6)</f>
        <v>4.8613318302709631E-3</v>
      </c>
    </row>
    <row r="4165" spans="2:8" x14ac:dyDescent="0.3">
      <c r="B4165" s="113">
        <v>37657</v>
      </c>
      <c r="C4165">
        <v>14.14</v>
      </c>
      <c r="D4165">
        <f t="shared" si="133"/>
        <v>-0.40513251998317201</v>
      </c>
      <c r="E4165">
        <v>-1.3258897418004153E-2</v>
      </c>
      <c r="G4165">
        <v>4163</v>
      </c>
      <c r="H4165">
        <f t="shared" ca="1" si="134"/>
        <v>5.4517670100180434E-3</v>
      </c>
    </row>
    <row r="4166" spans="2:8" x14ac:dyDescent="0.3">
      <c r="B4166" s="113">
        <v>38089</v>
      </c>
      <c r="C4166">
        <v>23.77</v>
      </c>
      <c r="D4166">
        <f t="shared" si="133"/>
        <v>-0.81809137522001996</v>
      </c>
      <c r="E4166">
        <v>-1.3283520132835213E-2</v>
      </c>
      <c r="G4166">
        <v>4164</v>
      </c>
      <c r="H4166">
        <f t="shared" ca="1" si="134"/>
        <v>1.142608768417392E-2</v>
      </c>
    </row>
    <row r="4167" spans="2:8" x14ac:dyDescent="0.3">
      <c r="B4167" s="113">
        <v>40765</v>
      </c>
      <c r="C4167">
        <v>130.66999999999999</v>
      </c>
      <c r="D4167">
        <f t="shared" si="133"/>
        <v>-0.38864976139234592</v>
      </c>
      <c r="E4167">
        <v>-1.329004002114339E-2</v>
      </c>
      <c r="G4167">
        <v>4165</v>
      </c>
      <c r="H4167">
        <f t="shared" ca="1" si="134"/>
        <v>-7.9055242063848508E-3</v>
      </c>
    </row>
    <row r="4168" spans="2:8" x14ac:dyDescent="0.3">
      <c r="B4168" s="113">
        <v>42089</v>
      </c>
      <c r="C4168">
        <v>213.74</v>
      </c>
      <c r="D4168">
        <f t="shared" si="133"/>
        <v>-0.20598833537649983</v>
      </c>
      <c r="E4168">
        <v>-1.3295171267657628E-2</v>
      </c>
      <c r="G4168">
        <v>4166</v>
      </c>
      <c r="H4168">
        <f t="shared" ca="1" si="134"/>
        <v>-5.1279101694097599E-3</v>
      </c>
    </row>
    <row r="4169" spans="2:8" x14ac:dyDescent="0.3">
      <c r="B4169" s="113">
        <v>44705</v>
      </c>
      <c r="C4169">
        <v>269.19</v>
      </c>
      <c r="D4169">
        <f t="shared" si="133"/>
        <v>0.23120197585071356</v>
      </c>
      <c r="E4169">
        <v>-1.3305476138113025E-2</v>
      </c>
      <c r="G4169">
        <v>4167</v>
      </c>
      <c r="H4169">
        <f t="shared" ca="1" si="134"/>
        <v>-1.6653772760797877E-2</v>
      </c>
    </row>
    <row r="4170" spans="2:8" x14ac:dyDescent="0.3">
      <c r="B4170" s="113">
        <v>42321</v>
      </c>
      <c r="C4170">
        <v>218.64</v>
      </c>
      <c r="D4170">
        <f t="shared" si="133"/>
        <v>-0.21324217344368476</v>
      </c>
      <c r="E4170">
        <v>-1.3312875129744198E-2</v>
      </c>
      <c r="G4170">
        <v>4168</v>
      </c>
      <c r="H4170">
        <f t="shared" ca="1" si="134"/>
        <v>3.8091069016457854E-2</v>
      </c>
    </row>
    <row r="4171" spans="2:8" x14ac:dyDescent="0.3">
      <c r="B4171" s="113">
        <v>42873</v>
      </c>
      <c r="C4171">
        <v>277.89999999999998</v>
      </c>
      <c r="D4171">
        <f t="shared" si="133"/>
        <v>10.370703764320783</v>
      </c>
      <c r="E4171">
        <v>-1.3314397301615481E-2</v>
      </c>
      <c r="G4171">
        <v>4169</v>
      </c>
      <c r="H4171">
        <f t="shared" ca="1" si="134"/>
        <v>-1.0847747003672359E-2</v>
      </c>
    </row>
    <row r="4172" spans="2:8" x14ac:dyDescent="0.3">
      <c r="B4172" s="113">
        <v>38007</v>
      </c>
      <c r="C4172">
        <v>24.44</v>
      </c>
      <c r="D4172">
        <f t="shared" si="133"/>
        <v>-0.91180079393720681</v>
      </c>
      <c r="E4172">
        <v>-1.3322567622123468E-2</v>
      </c>
      <c r="G4172">
        <v>4170</v>
      </c>
      <c r="H4172">
        <f t="shared" ca="1" si="134"/>
        <v>-2.515454113270353E-3</v>
      </c>
    </row>
    <row r="4173" spans="2:8" x14ac:dyDescent="0.3">
      <c r="B4173" s="113">
        <v>43500</v>
      </c>
      <c r="C4173">
        <v>277.10000000000002</v>
      </c>
      <c r="D4173">
        <f t="shared" si="133"/>
        <v>0.41521961184882539</v>
      </c>
      <c r="E4173">
        <v>-1.335232330425494E-2</v>
      </c>
      <c r="G4173">
        <v>4171</v>
      </c>
      <c r="H4173">
        <f t="shared" ca="1" si="134"/>
        <v>3.8049502942869616E-3</v>
      </c>
    </row>
    <row r="4174" spans="2:8" x14ac:dyDescent="0.3">
      <c r="B4174" s="113">
        <v>44063</v>
      </c>
      <c r="C4174">
        <v>195.8</v>
      </c>
      <c r="D4174">
        <f t="shared" si="133"/>
        <v>7.0311730926989346</v>
      </c>
      <c r="E4174">
        <v>-1.335348954396562E-2</v>
      </c>
      <c r="G4174">
        <v>4172</v>
      </c>
      <c r="H4174">
        <f t="shared" ca="1" si="134"/>
        <v>-2.1017693777471185E-2</v>
      </c>
    </row>
    <row r="4175" spans="2:8" x14ac:dyDescent="0.3">
      <c r="B4175" s="113">
        <v>38278</v>
      </c>
      <c r="C4175">
        <v>24.38</v>
      </c>
      <c r="D4175">
        <f t="shared" si="133"/>
        <v>-0.88420802659700781</v>
      </c>
      <c r="E4175">
        <v>-1.3354917037636659E-2</v>
      </c>
      <c r="G4175">
        <v>4173</v>
      </c>
      <c r="H4175">
        <f t="shared" ca="1" si="134"/>
        <v>1.9742764954412849E-3</v>
      </c>
    </row>
    <row r="4176" spans="2:8" x14ac:dyDescent="0.3">
      <c r="B4176" s="113">
        <v>43871</v>
      </c>
      <c r="C4176">
        <v>210.55</v>
      </c>
      <c r="D4176">
        <f t="shared" si="133"/>
        <v>-9.4018932874354533E-2</v>
      </c>
      <c r="E4176">
        <v>-1.335520149953137E-2</v>
      </c>
      <c r="G4176">
        <v>4174</v>
      </c>
      <c r="H4176">
        <f t="shared" ca="1" si="134"/>
        <v>-2.6979631143220266E-2</v>
      </c>
    </row>
    <row r="4177" spans="2:8" x14ac:dyDescent="0.3">
      <c r="B4177" s="113">
        <v>41883</v>
      </c>
      <c r="C4177">
        <v>232.4</v>
      </c>
      <c r="D4177">
        <f t="shared" si="133"/>
        <v>8.8269726059470824E-2</v>
      </c>
      <c r="E4177">
        <v>-1.3372956909361093E-2</v>
      </c>
      <c r="G4177">
        <v>4175</v>
      </c>
      <c r="H4177">
        <f t="shared" ca="1" si="134"/>
        <v>9.0632100608045339E-4</v>
      </c>
    </row>
    <row r="4178" spans="2:8" x14ac:dyDescent="0.3">
      <c r="B4178" s="113">
        <v>43867</v>
      </c>
      <c r="C4178">
        <v>213.55</v>
      </c>
      <c r="D4178">
        <f t="shared" si="133"/>
        <v>6.4511514305652486</v>
      </c>
      <c r="E4178">
        <v>-1.3398013398013294E-2</v>
      </c>
      <c r="G4178">
        <v>4176</v>
      </c>
      <c r="H4178">
        <f t="shared" ca="1" si="134"/>
        <v>2.1918889018841561E-2</v>
      </c>
    </row>
    <row r="4179" spans="2:8" x14ac:dyDescent="0.3">
      <c r="B4179" s="113">
        <v>38357</v>
      </c>
      <c r="C4179">
        <v>28.66</v>
      </c>
      <c r="D4179">
        <f t="shared" si="133"/>
        <v>-0.82430112800392352</v>
      </c>
      <c r="E4179">
        <v>-1.342512908777971E-2</v>
      </c>
      <c r="G4179">
        <v>4177</v>
      </c>
      <c r="H4179">
        <f t="shared" ca="1" si="134"/>
        <v>1.3299819913057287E-2</v>
      </c>
    </row>
    <row r="4180" spans="2:8" x14ac:dyDescent="0.3">
      <c r="B4180" s="113">
        <v>41080</v>
      </c>
      <c r="C4180">
        <v>163.12</v>
      </c>
      <c r="D4180">
        <f t="shared" si="133"/>
        <v>-0.19027053859518483</v>
      </c>
      <c r="E4180">
        <v>-1.3426877948469813E-2</v>
      </c>
      <c r="G4180">
        <v>4178</v>
      </c>
      <c r="H4180">
        <f t="shared" ca="1" si="134"/>
        <v>-1.5082329981712181E-2</v>
      </c>
    </row>
    <row r="4181" spans="2:8" x14ac:dyDescent="0.3">
      <c r="B4181" s="113">
        <v>44056</v>
      </c>
      <c r="C4181">
        <v>201.45</v>
      </c>
      <c r="D4181">
        <f t="shared" si="133"/>
        <v>2.5274032568727014</v>
      </c>
      <c r="E4181">
        <v>-1.3467189030362391E-2</v>
      </c>
      <c r="G4181">
        <v>4179</v>
      </c>
      <c r="H4181">
        <f t="shared" ca="1" si="134"/>
        <v>4.4116883580411416E-2</v>
      </c>
    </row>
    <row r="4182" spans="2:8" x14ac:dyDescent="0.3">
      <c r="B4182" s="113">
        <v>39762</v>
      </c>
      <c r="C4182">
        <v>57.11</v>
      </c>
      <c r="D4182">
        <f t="shared" si="133"/>
        <v>-0.70999847661605642</v>
      </c>
      <c r="E4182">
        <v>-1.347382967697359E-2</v>
      </c>
      <c r="G4182">
        <v>4180</v>
      </c>
      <c r="H4182">
        <f t="shared" ca="1" si="134"/>
        <v>3.6491340937374506E-3</v>
      </c>
    </row>
    <row r="4183" spans="2:8" x14ac:dyDescent="0.3">
      <c r="B4183" s="113">
        <v>42166</v>
      </c>
      <c r="C4183">
        <v>196.93</v>
      </c>
      <c r="D4183">
        <f t="shared" si="133"/>
        <v>-0.15625535561268208</v>
      </c>
      <c r="E4183">
        <v>-1.3475603646929154E-2</v>
      </c>
      <c r="G4183">
        <v>4181</v>
      </c>
      <c r="H4183">
        <f t="shared" ca="1" si="134"/>
        <v>-8.8395682197619056E-3</v>
      </c>
    </row>
    <row r="4184" spans="2:8" x14ac:dyDescent="0.3">
      <c r="B4184" s="113">
        <v>44494</v>
      </c>
      <c r="C4184">
        <v>233.4</v>
      </c>
      <c r="D4184">
        <f t="shared" si="133"/>
        <v>0.14048375274859515</v>
      </c>
      <c r="E4184">
        <v>-1.3524936601859631E-2</v>
      </c>
      <c r="G4184">
        <v>4182</v>
      </c>
      <c r="H4184">
        <f t="shared" ca="1" si="134"/>
        <v>-1.7149432535521923E-3</v>
      </c>
    </row>
    <row r="4185" spans="2:8" x14ac:dyDescent="0.3">
      <c r="B4185" s="113">
        <v>41600</v>
      </c>
      <c r="C4185">
        <v>204.65</v>
      </c>
      <c r="D4185">
        <f t="shared" si="133"/>
        <v>-5.3685378710810992E-2</v>
      </c>
      <c r="E4185">
        <v>-1.3592326601436319E-2</v>
      </c>
      <c r="G4185">
        <v>4183</v>
      </c>
      <c r="H4185">
        <f t="shared" ca="1" si="134"/>
        <v>-2.0644440198182401E-2</v>
      </c>
    </row>
    <row r="4186" spans="2:8" x14ac:dyDescent="0.3">
      <c r="B4186" s="113">
        <v>41400</v>
      </c>
      <c r="C4186">
        <v>216.26</v>
      </c>
      <c r="D4186">
        <f t="shared" si="133"/>
        <v>0.12483095807760325</v>
      </c>
      <c r="E4186">
        <v>-1.3592410144134365E-2</v>
      </c>
      <c r="G4186">
        <v>4184</v>
      </c>
      <c r="H4186">
        <f t="shared" ca="1" si="134"/>
        <v>2.2800068646476178E-2</v>
      </c>
    </row>
    <row r="4187" spans="2:8" x14ac:dyDescent="0.3">
      <c r="B4187" s="113">
        <v>41205</v>
      </c>
      <c r="C4187">
        <v>192.26</v>
      </c>
      <c r="D4187">
        <f t="shared" si="133"/>
        <v>0.44970592670788706</v>
      </c>
      <c r="E4187">
        <v>-1.3596018675286059E-2</v>
      </c>
      <c r="G4187">
        <v>4185</v>
      </c>
      <c r="H4187">
        <f t="shared" ca="1" si="134"/>
        <v>1.8776945899567892E-2</v>
      </c>
    </row>
    <row r="4188" spans="2:8" x14ac:dyDescent="0.3">
      <c r="B4188" s="113">
        <v>40793</v>
      </c>
      <c r="C4188">
        <v>132.62</v>
      </c>
      <c r="D4188">
        <f t="shared" si="133"/>
        <v>1.2062884711362503</v>
      </c>
      <c r="E4188">
        <v>-1.3611007809594528E-2</v>
      </c>
      <c r="G4188">
        <v>4186</v>
      </c>
      <c r="H4188">
        <f t="shared" ca="1" si="134"/>
        <v>4.1252851818028513E-2</v>
      </c>
    </row>
    <row r="4189" spans="2:8" x14ac:dyDescent="0.3">
      <c r="B4189" s="113">
        <v>39043</v>
      </c>
      <c r="C4189">
        <v>60.11</v>
      </c>
      <c r="D4189">
        <f t="shared" si="133"/>
        <v>0.59994676603673136</v>
      </c>
      <c r="E4189">
        <v>-1.3619954053167021E-2</v>
      </c>
      <c r="G4189">
        <v>4187</v>
      </c>
      <c r="H4189">
        <f t="shared" ca="1" si="134"/>
        <v>-2.0601658952537089E-2</v>
      </c>
    </row>
    <row r="4190" spans="2:8" x14ac:dyDescent="0.3">
      <c r="B4190" s="113">
        <v>38573</v>
      </c>
      <c r="C4190">
        <v>37.57</v>
      </c>
      <c r="D4190">
        <f t="shared" si="133"/>
        <v>-0.79587068731323019</v>
      </c>
      <c r="E4190">
        <v>-1.3651877133105884E-2</v>
      </c>
      <c r="G4190">
        <v>4188</v>
      </c>
      <c r="H4190">
        <f t="shared" ca="1" si="134"/>
        <v>2.6110390335176273E-2</v>
      </c>
    </row>
    <row r="4191" spans="2:8" x14ac:dyDescent="0.3">
      <c r="B4191" s="113">
        <v>44001</v>
      </c>
      <c r="C4191">
        <v>184.05</v>
      </c>
      <c r="D4191">
        <f t="shared" si="133"/>
        <v>0.51046368485843263</v>
      </c>
      <c r="E4191">
        <v>-1.3665594855305375E-2</v>
      </c>
      <c r="G4191">
        <v>4189</v>
      </c>
      <c r="H4191">
        <f t="shared" ca="1" si="134"/>
        <v>1.9483509223132786E-2</v>
      </c>
    </row>
    <row r="4192" spans="2:8" x14ac:dyDescent="0.3">
      <c r="B4192" s="113">
        <v>40675</v>
      </c>
      <c r="C4192">
        <v>121.85</v>
      </c>
      <c r="D4192">
        <f t="shared" si="133"/>
        <v>-0.47501077121930202</v>
      </c>
      <c r="E4192">
        <v>-1.3679779828395758E-2</v>
      </c>
      <c r="G4192">
        <v>4190</v>
      </c>
      <c r="H4192">
        <f t="shared" ca="1" si="134"/>
        <v>8.3264848292582423E-3</v>
      </c>
    </row>
    <row r="4193" spans="2:8" x14ac:dyDescent="0.3">
      <c r="B4193" s="113">
        <v>42110</v>
      </c>
      <c r="C4193">
        <v>232.1</v>
      </c>
      <c r="D4193">
        <f t="shared" si="133"/>
        <v>9.3894359892569383</v>
      </c>
      <c r="E4193">
        <v>-1.3683494815570282E-2</v>
      </c>
      <c r="G4193">
        <v>4191</v>
      </c>
      <c r="H4193">
        <f t="shared" ca="1" si="134"/>
        <v>3.0998220650173727E-2</v>
      </c>
    </row>
    <row r="4194" spans="2:8" x14ac:dyDescent="0.3">
      <c r="B4194" s="113">
        <v>38020</v>
      </c>
      <c r="C4194">
        <v>22.34</v>
      </c>
      <c r="D4194">
        <f t="shared" si="133"/>
        <v>-0.71516001530026774</v>
      </c>
      <c r="E4194">
        <v>-1.3686534216335484E-2</v>
      </c>
      <c r="G4194">
        <v>4192</v>
      </c>
      <c r="H4194">
        <f t="shared" ca="1" si="134"/>
        <v>-9.6189558478958423E-3</v>
      </c>
    </row>
    <row r="4195" spans="2:8" x14ac:dyDescent="0.3">
      <c r="B4195" s="113">
        <v>40053</v>
      </c>
      <c r="C4195">
        <v>78.430000000000007</v>
      </c>
      <c r="D4195">
        <f t="shared" si="133"/>
        <v>-0.63865468785994006</v>
      </c>
      <c r="E4195">
        <v>-1.3707243460764452E-2</v>
      </c>
      <c r="G4195">
        <v>4193</v>
      </c>
      <c r="H4195">
        <f t="shared" ca="1" si="134"/>
        <v>-2.8345730816186476E-2</v>
      </c>
    </row>
    <row r="4196" spans="2:8" x14ac:dyDescent="0.3">
      <c r="B4196" s="113">
        <v>42145</v>
      </c>
      <c r="C4196">
        <v>217.05</v>
      </c>
      <c r="D4196">
        <f t="shared" si="133"/>
        <v>10.193914388860238</v>
      </c>
      <c r="E4196">
        <v>-1.3722906347980107E-2</v>
      </c>
      <c r="G4196">
        <v>4194</v>
      </c>
      <c r="H4196">
        <f t="shared" ca="1" si="134"/>
        <v>1.5455792013231315E-2</v>
      </c>
    </row>
    <row r="4197" spans="2:8" x14ac:dyDescent="0.3">
      <c r="B4197" s="113">
        <v>38152</v>
      </c>
      <c r="C4197">
        <v>19.39</v>
      </c>
      <c r="D4197">
        <f t="shared" si="133"/>
        <v>-0.89594848403541716</v>
      </c>
      <c r="E4197">
        <v>-1.3733468972533041E-2</v>
      </c>
      <c r="G4197">
        <v>4195</v>
      </c>
      <c r="H4197">
        <f t="shared" ca="1" si="134"/>
        <v>-9.8597818181445831E-3</v>
      </c>
    </row>
    <row r="4198" spans="2:8" x14ac:dyDescent="0.3">
      <c r="B4198" s="113">
        <v>43973</v>
      </c>
      <c r="C4198">
        <v>186.35</v>
      </c>
      <c r="D4198">
        <f t="shared" si="133"/>
        <v>-0.10322425409047169</v>
      </c>
      <c r="E4198">
        <v>-1.3760254035459087E-2</v>
      </c>
      <c r="G4198">
        <v>4196</v>
      </c>
      <c r="H4198">
        <f t="shared" ca="1" si="134"/>
        <v>6.1414054739443837E-3</v>
      </c>
    </row>
    <row r="4199" spans="2:8" x14ac:dyDescent="0.3">
      <c r="B4199" s="113">
        <v>44221</v>
      </c>
      <c r="C4199">
        <v>207.8</v>
      </c>
      <c r="D4199">
        <f t="shared" si="133"/>
        <v>1.6373905317933746</v>
      </c>
      <c r="E4199">
        <v>-1.3763644992880766E-2</v>
      </c>
      <c r="G4199">
        <v>4197</v>
      </c>
      <c r="H4199">
        <f t="shared" ca="1" si="134"/>
        <v>7.4748221593868439E-3</v>
      </c>
    </row>
    <row r="4200" spans="2:8" x14ac:dyDescent="0.3">
      <c r="B4200" s="113">
        <v>40023</v>
      </c>
      <c r="C4200">
        <v>78.790000000000006</v>
      </c>
      <c r="D4200">
        <f t="shared" si="133"/>
        <v>-0.69004720692368204</v>
      </c>
      <c r="E4200">
        <v>-1.3768932281887525E-2</v>
      </c>
      <c r="G4200">
        <v>4198</v>
      </c>
      <c r="H4200">
        <f t="shared" ca="1" si="134"/>
        <v>-3.3287589305891492E-2</v>
      </c>
    </row>
    <row r="4201" spans="2:8" x14ac:dyDescent="0.3">
      <c r="B4201" s="113">
        <v>43686</v>
      </c>
      <c r="C4201">
        <v>254.2</v>
      </c>
      <c r="D4201">
        <f t="shared" si="133"/>
        <v>-6.3375092114959439E-2</v>
      </c>
      <c r="E4201">
        <v>-1.3773035887487919E-2</v>
      </c>
      <c r="G4201">
        <v>4199</v>
      </c>
      <c r="H4201">
        <f t="shared" ca="1" si="134"/>
        <v>-1.7357510838155111E-2</v>
      </c>
    </row>
    <row r="4202" spans="2:8" x14ac:dyDescent="0.3">
      <c r="B4202" s="113">
        <v>43131</v>
      </c>
      <c r="C4202">
        <v>271.39999999999998</v>
      </c>
      <c r="D4202">
        <f t="shared" si="133"/>
        <v>0.61740166865315826</v>
      </c>
      <c r="E4202">
        <v>-1.3808139534883763E-2</v>
      </c>
      <c r="G4202">
        <v>4200</v>
      </c>
      <c r="H4202">
        <f t="shared" ca="1" si="134"/>
        <v>-1.6208806122214973E-2</v>
      </c>
    </row>
    <row r="4203" spans="2:8" x14ac:dyDescent="0.3">
      <c r="B4203" s="113">
        <v>44118</v>
      </c>
      <c r="C4203">
        <v>167.8</v>
      </c>
      <c r="D4203">
        <f t="shared" si="133"/>
        <v>1.9051246537396127</v>
      </c>
      <c r="E4203">
        <v>-1.3811342932706402E-2</v>
      </c>
      <c r="G4203">
        <v>4201</v>
      </c>
      <c r="H4203">
        <f t="shared" ca="1" si="134"/>
        <v>-6.7693061054520543E-3</v>
      </c>
    </row>
    <row r="4204" spans="2:8" x14ac:dyDescent="0.3">
      <c r="B4204" s="113">
        <v>38779</v>
      </c>
      <c r="C4204">
        <v>57.76</v>
      </c>
      <c r="D4204">
        <f t="shared" si="133"/>
        <v>-0.65444211785821127</v>
      </c>
      <c r="E4204">
        <v>-1.3829605600136628E-2</v>
      </c>
      <c r="G4204">
        <v>4202</v>
      </c>
      <c r="H4204">
        <f t="shared" ca="1" si="134"/>
        <v>4.13023676684469E-3</v>
      </c>
    </row>
    <row r="4205" spans="2:8" x14ac:dyDescent="0.3">
      <c r="B4205" s="113">
        <v>44112</v>
      </c>
      <c r="C4205">
        <v>167.15</v>
      </c>
      <c r="D4205">
        <f t="shared" si="133"/>
        <v>-0.19434135055670695</v>
      </c>
      <c r="E4205">
        <v>-1.3864306784660734E-2</v>
      </c>
      <c r="G4205">
        <v>4203</v>
      </c>
      <c r="H4205">
        <f t="shared" ca="1" si="134"/>
        <v>2.4190074829740838E-3</v>
      </c>
    </row>
    <row r="4206" spans="2:8" x14ac:dyDescent="0.3">
      <c r="B4206" s="113">
        <v>42193</v>
      </c>
      <c r="C4206">
        <v>207.47</v>
      </c>
      <c r="D4206">
        <f t="shared" si="133"/>
        <v>-9.8315277048632767E-3</v>
      </c>
      <c r="E4206">
        <v>-1.3878986643851836E-2</v>
      </c>
      <c r="G4206">
        <v>4204</v>
      </c>
      <c r="H4206">
        <f t="shared" ca="1" si="134"/>
        <v>-1.4603734662097401E-3</v>
      </c>
    </row>
    <row r="4207" spans="2:8" x14ac:dyDescent="0.3">
      <c r="B4207" s="113">
        <v>41815</v>
      </c>
      <c r="C4207">
        <v>209.53</v>
      </c>
      <c r="D4207">
        <f t="shared" si="133"/>
        <v>0.64906343459782778</v>
      </c>
      <c r="E4207">
        <v>-1.3883659638554164E-2</v>
      </c>
      <c r="G4207">
        <v>4205</v>
      </c>
      <c r="H4207">
        <f t="shared" ca="1" si="134"/>
        <v>-9.875516331559202E-4</v>
      </c>
    </row>
    <row r="4208" spans="2:8" x14ac:dyDescent="0.3">
      <c r="B4208" s="113">
        <v>40820</v>
      </c>
      <c r="C4208">
        <v>127.06</v>
      </c>
      <c r="D4208">
        <f t="shared" si="133"/>
        <v>0.54405152509417898</v>
      </c>
      <c r="E4208">
        <v>-1.3892122623205216E-2</v>
      </c>
      <c r="G4208">
        <v>4206</v>
      </c>
      <c r="H4208">
        <f t="shared" ca="1" si="134"/>
        <v>4.2805602070417562E-3</v>
      </c>
    </row>
    <row r="4209" spans="2:8" x14ac:dyDescent="0.3">
      <c r="B4209" s="113">
        <v>40227</v>
      </c>
      <c r="C4209">
        <v>82.29</v>
      </c>
      <c r="D4209">
        <f t="shared" si="133"/>
        <v>0.93486950387961454</v>
      </c>
      <c r="E4209">
        <v>-1.3900539245056879E-2</v>
      </c>
      <c r="G4209">
        <v>4207</v>
      </c>
      <c r="H4209">
        <f t="shared" ca="1" si="134"/>
        <v>1.0223920444260405E-2</v>
      </c>
    </row>
    <row r="4210" spans="2:8" x14ac:dyDescent="0.3">
      <c r="B4210" s="113">
        <v>38670</v>
      </c>
      <c r="C4210">
        <v>42.53</v>
      </c>
      <c r="D4210">
        <f t="shared" si="133"/>
        <v>-0.67721615057680629</v>
      </c>
      <c r="E4210">
        <v>-1.3911430558775827E-2</v>
      </c>
      <c r="G4210">
        <v>4208</v>
      </c>
      <c r="H4210">
        <f t="shared" ca="1" si="134"/>
        <v>-3.0527047583617007E-2</v>
      </c>
    </row>
    <row r="4211" spans="2:8" x14ac:dyDescent="0.3">
      <c r="B4211" s="113">
        <v>40728</v>
      </c>
      <c r="C4211">
        <v>131.76</v>
      </c>
      <c r="D4211">
        <f t="shared" si="133"/>
        <v>1.1142490372272142</v>
      </c>
      <c r="E4211">
        <v>-1.3920071845532208E-2</v>
      </c>
      <c r="G4211">
        <v>4209</v>
      </c>
      <c r="H4211">
        <f t="shared" ca="1" si="134"/>
        <v>9.3326572125315647E-3</v>
      </c>
    </row>
    <row r="4212" spans="2:8" x14ac:dyDescent="0.3">
      <c r="B4212" s="113">
        <v>38982</v>
      </c>
      <c r="C4212">
        <v>62.32</v>
      </c>
      <c r="D4212">
        <f t="shared" si="133"/>
        <v>-0.79990367635254456</v>
      </c>
      <c r="E4212">
        <v>-1.3924050632911432E-2</v>
      </c>
      <c r="G4212">
        <v>4210</v>
      </c>
      <c r="H4212">
        <f t="shared" ca="1" si="134"/>
        <v>4.4645346319647861E-3</v>
      </c>
    </row>
    <row r="4213" spans="2:8" x14ac:dyDescent="0.3">
      <c r="B4213" s="113">
        <v>42885</v>
      </c>
      <c r="C4213">
        <v>311.45</v>
      </c>
      <c r="D4213">
        <f t="shared" si="133"/>
        <v>11.578756058158319</v>
      </c>
      <c r="E4213">
        <v>-1.393066328953628E-2</v>
      </c>
      <c r="G4213">
        <v>4211</v>
      </c>
      <c r="H4213">
        <f t="shared" ca="1" si="134"/>
        <v>2.73528772723516E-3</v>
      </c>
    </row>
    <row r="4214" spans="2:8" x14ac:dyDescent="0.3">
      <c r="B4214" s="113">
        <v>38295</v>
      </c>
      <c r="C4214">
        <v>24.76</v>
      </c>
      <c r="D4214">
        <f t="shared" si="133"/>
        <v>-0.87910156250000004</v>
      </c>
      <c r="E4214">
        <v>-1.3938669852648264E-2</v>
      </c>
      <c r="G4214">
        <v>4212</v>
      </c>
      <c r="H4214">
        <f t="shared" ca="1" si="134"/>
        <v>-2.4954162911414914E-2</v>
      </c>
    </row>
    <row r="4215" spans="2:8" x14ac:dyDescent="0.3">
      <c r="B4215" s="113">
        <v>43878</v>
      </c>
      <c r="C4215">
        <v>204.8</v>
      </c>
      <c r="D4215">
        <f t="shared" si="133"/>
        <v>-7.9343672735446069E-2</v>
      </c>
      <c r="E4215">
        <v>-1.3962445835339322E-2</v>
      </c>
      <c r="G4215">
        <v>4213</v>
      </c>
      <c r="H4215">
        <f t="shared" ca="1" si="134"/>
        <v>1.5621812302117136E-2</v>
      </c>
    </row>
    <row r="4216" spans="2:8" x14ac:dyDescent="0.3">
      <c r="B4216" s="113">
        <v>44503</v>
      </c>
      <c r="C4216">
        <v>222.45</v>
      </c>
      <c r="D4216">
        <f t="shared" si="133"/>
        <v>-0.1597733711048159</v>
      </c>
      <c r="E4216">
        <v>-1.3962765957446834E-2</v>
      </c>
      <c r="G4216">
        <v>4214</v>
      </c>
      <c r="H4216">
        <f t="shared" ca="1" si="134"/>
        <v>-2.8171172347515809E-2</v>
      </c>
    </row>
    <row r="4217" spans="2:8" x14ac:dyDescent="0.3">
      <c r="B4217" s="113">
        <v>42796</v>
      </c>
      <c r="C4217">
        <v>264.75</v>
      </c>
      <c r="D4217">
        <f t="shared" si="133"/>
        <v>3.5302874743326491</v>
      </c>
      <c r="E4217">
        <v>-1.3966480446927373E-2</v>
      </c>
      <c r="G4217">
        <v>4215</v>
      </c>
      <c r="H4217">
        <f t="shared" ca="1" si="134"/>
        <v>3.8838493254370085E-3</v>
      </c>
    </row>
    <row r="4218" spans="2:8" x14ac:dyDescent="0.3">
      <c r="B4218" s="113">
        <v>38939</v>
      </c>
      <c r="C4218">
        <v>58.44</v>
      </c>
      <c r="D4218">
        <f t="shared" si="133"/>
        <v>-0.72500117641522754</v>
      </c>
      <c r="E4218">
        <v>-1.4003711827231405E-2</v>
      </c>
      <c r="G4218">
        <v>4216</v>
      </c>
      <c r="H4218">
        <f t="shared" ca="1" si="134"/>
        <v>-8.6427882125704666E-3</v>
      </c>
    </row>
    <row r="4219" spans="2:8" x14ac:dyDescent="0.3">
      <c r="B4219" s="113">
        <v>41682</v>
      </c>
      <c r="C4219">
        <v>212.51</v>
      </c>
      <c r="D4219">
        <f t="shared" si="133"/>
        <v>3.576012058570198</v>
      </c>
      <c r="E4219">
        <v>-1.401197049134696E-2</v>
      </c>
      <c r="G4219">
        <v>4217</v>
      </c>
      <c r="H4219">
        <f t="shared" ca="1" si="134"/>
        <v>1.5440667878007805E-2</v>
      </c>
    </row>
    <row r="4220" spans="2:8" x14ac:dyDescent="0.3">
      <c r="B4220" s="113">
        <v>38719</v>
      </c>
      <c r="C4220">
        <v>46.44</v>
      </c>
      <c r="D4220">
        <f t="shared" si="133"/>
        <v>-0.65072202166064985</v>
      </c>
      <c r="E4220">
        <v>-1.4012738853503263E-2</v>
      </c>
      <c r="G4220">
        <v>4218</v>
      </c>
      <c r="H4220">
        <f t="shared" ca="1" si="134"/>
        <v>-9.0570766637470077E-3</v>
      </c>
    </row>
    <row r="4221" spans="2:8" x14ac:dyDescent="0.3">
      <c r="B4221" s="113">
        <v>40732</v>
      </c>
      <c r="C4221">
        <v>132.96</v>
      </c>
      <c r="D4221">
        <f t="shared" si="133"/>
        <v>1.1736145169200589</v>
      </c>
      <c r="E4221">
        <v>-1.4015572858731824E-2</v>
      </c>
      <c r="G4221">
        <v>4219</v>
      </c>
      <c r="H4221">
        <f t="shared" ca="1" si="134"/>
        <v>-3.4900005654216373E-2</v>
      </c>
    </row>
    <row r="4222" spans="2:8" x14ac:dyDescent="0.3">
      <c r="B4222" s="113">
        <v>39351</v>
      </c>
      <c r="C4222">
        <v>61.17</v>
      </c>
      <c r="D4222">
        <f t="shared" si="133"/>
        <v>-0.70968201233981953</v>
      </c>
      <c r="E4222">
        <v>-1.4023210831721429E-2</v>
      </c>
      <c r="G4222">
        <v>4220</v>
      </c>
      <c r="H4222">
        <f t="shared" ca="1" si="134"/>
        <v>-1.2551887934276907E-2</v>
      </c>
    </row>
    <row r="4223" spans="2:8" x14ac:dyDescent="0.3">
      <c r="B4223" s="113">
        <v>44218</v>
      </c>
      <c r="C4223">
        <v>210.7</v>
      </c>
      <c r="D4223">
        <f t="shared" si="133"/>
        <v>3.2033699059561091E-2</v>
      </c>
      <c r="E4223">
        <v>-1.4038371548900329E-2</v>
      </c>
      <c r="G4223">
        <v>4221</v>
      </c>
      <c r="H4223">
        <f t="shared" ca="1" si="134"/>
        <v>5.2152796980119718E-3</v>
      </c>
    </row>
    <row r="4224" spans="2:8" x14ac:dyDescent="0.3">
      <c r="B4224" s="113">
        <v>42181</v>
      </c>
      <c r="C4224">
        <v>204.16</v>
      </c>
      <c r="D4224">
        <f t="shared" si="133"/>
        <v>13.551674982181041</v>
      </c>
      <c r="E4224">
        <v>-1.4053218718307803E-2</v>
      </c>
      <c r="G4224">
        <v>4222</v>
      </c>
      <c r="H4224">
        <f t="shared" ca="1" si="134"/>
        <v>2.5527867162312232E-2</v>
      </c>
    </row>
    <row r="4225" spans="2:8" x14ac:dyDescent="0.3">
      <c r="B4225" s="113">
        <v>37586</v>
      </c>
      <c r="C4225">
        <v>14.03</v>
      </c>
      <c r="D4225">
        <f t="shared" si="133"/>
        <v>-0.94870201096892148</v>
      </c>
      <c r="E4225">
        <v>-1.4054813773717572E-2</v>
      </c>
      <c r="G4225">
        <v>4223</v>
      </c>
      <c r="H4225">
        <f t="shared" ca="1" si="134"/>
        <v>-6.7101499210107957E-3</v>
      </c>
    </row>
    <row r="4226" spans="2:8" x14ac:dyDescent="0.3">
      <c r="B4226" s="113">
        <v>43643</v>
      </c>
      <c r="C4226">
        <v>273.5</v>
      </c>
      <c r="D4226">
        <f t="shared" si="133"/>
        <v>14.601825442099257</v>
      </c>
      <c r="E4226">
        <v>-1.4059120403749018E-2</v>
      </c>
      <c r="G4226">
        <v>4224</v>
      </c>
      <c r="H4226">
        <f t="shared" ca="1" si="134"/>
        <v>-6.2300661341455595E-3</v>
      </c>
    </row>
    <row r="4227" spans="2:8" x14ac:dyDescent="0.3">
      <c r="B4227" s="113">
        <v>37879</v>
      </c>
      <c r="C4227">
        <v>17.53</v>
      </c>
      <c r="D4227">
        <f t="shared" ref="D4227:D4290" si="135">(C4227-C4228)/C4228</f>
        <v>-0.76381029372136888</v>
      </c>
      <c r="E4227">
        <v>-1.4060742407199098E-2</v>
      </c>
      <c r="G4227">
        <v>4225</v>
      </c>
      <c r="H4227">
        <f t="shared" ca="1" si="134"/>
        <v>-2.7904025887607854E-2</v>
      </c>
    </row>
    <row r="4228" spans="2:8" x14ac:dyDescent="0.3">
      <c r="B4228" s="113">
        <v>40070</v>
      </c>
      <c r="C4228">
        <v>74.22</v>
      </c>
      <c r="D4228">
        <f t="shared" si="135"/>
        <v>-0.27256689209056162</v>
      </c>
      <c r="E4228">
        <v>-1.408076514346443E-2</v>
      </c>
      <c r="G4228">
        <v>4226</v>
      </c>
      <c r="H4228">
        <f t="shared" ref="H4228:H4291" ca="1" si="136">_xlfn.NORM.INV(RAND(),$L$4,$L$6)</f>
        <v>2.4872567050500767E-3</v>
      </c>
    </row>
    <row r="4229" spans="2:8" x14ac:dyDescent="0.3">
      <c r="B4229" s="113">
        <v>40583</v>
      </c>
      <c r="C4229">
        <v>102.03</v>
      </c>
      <c r="D4229">
        <f t="shared" si="135"/>
        <v>2.1116893514811844E-2</v>
      </c>
      <c r="E4229">
        <v>-1.410764325055555E-2</v>
      </c>
      <c r="G4229">
        <v>4227</v>
      </c>
      <c r="H4229">
        <f t="shared" ca="1" si="136"/>
        <v>1.8534155447997344E-2</v>
      </c>
    </row>
    <row r="4230" spans="2:8" x14ac:dyDescent="0.3">
      <c r="B4230" s="113">
        <v>40354</v>
      </c>
      <c r="C4230">
        <v>99.92</v>
      </c>
      <c r="D4230">
        <f t="shared" si="135"/>
        <v>0.61057382333978083</v>
      </c>
      <c r="E4230">
        <v>-1.4109521460286064E-2</v>
      </c>
      <c r="G4230">
        <v>4228</v>
      </c>
      <c r="H4230">
        <f t="shared" ca="1" si="136"/>
        <v>-1.0159704068361102E-2</v>
      </c>
    </row>
    <row r="4231" spans="2:8" x14ac:dyDescent="0.3">
      <c r="B4231" s="113">
        <v>39912</v>
      </c>
      <c r="C4231">
        <v>62.04</v>
      </c>
      <c r="D4231">
        <f t="shared" si="135"/>
        <v>3.4536970567121323</v>
      </c>
      <c r="E4231">
        <v>-1.4142698236135398E-2</v>
      </c>
      <c r="G4231">
        <v>4229</v>
      </c>
      <c r="H4231">
        <f t="shared" ca="1" si="136"/>
        <v>8.3452209185883065E-3</v>
      </c>
    </row>
    <row r="4232" spans="2:8" x14ac:dyDescent="0.3">
      <c r="B4232" s="113">
        <v>37557</v>
      </c>
      <c r="C4232">
        <v>13.93</v>
      </c>
      <c r="D4232">
        <f t="shared" si="135"/>
        <v>-0.91475951535919708</v>
      </c>
      <c r="E4232">
        <v>-1.4154281670205313E-2</v>
      </c>
      <c r="G4232">
        <v>4230</v>
      </c>
      <c r="H4232">
        <f t="shared" ca="1" si="136"/>
        <v>1.4783513104042138E-2</v>
      </c>
    </row>
    <row r="4233" spans="2:8" x14ac:dyDescent="0.3">
      <c r="B4233" s="113">
        <v>41093</v>
      </c>
      <c r="C4233">
        <v>163.41999999999999</v>
      </c>
      <c r="D4233">
        <f t="shared" si="135"/>
        <v>2.2200985221674876</v>
      </c>
      <c r="E4233">
        <v>-1.4176268323581001E-2</v>
      </c>
      <c r="G4233">
        <v>4231</v>
      </c>
      <c r="H4233">
        <f t="shared" ca="1" si="136"/>
        <v>-6.4786349932575782E-3</v>
      </c>
    </row>
    <row r="4234" spans="2:8" x14ac:dyDescent="0.3">
      <c r="B4234" s="113">
        <v>39750</v>
      </c>
      <c r="C4234">
        <v>50.75</v>
      </c>
      <c r="D4234">
        <f t="shared" si="135"/>
        <v>-0.17034494033022726</v>
      </c>
      <c r="E4234">
        <v>-1.4180264180264121E-2</v>
      </c>
      <c r="G4234">
        <v>4232</v>
      </c>
      <c r="H4234">
        <f t="shared" ca="1" si="136"/>
        <v>4.3982641351449124E-3</v>
      </c>
    </row>
    <row r="4235" spans="2:8" x14ac:dyDescent="0.3">
      <c r="B4235" s="113">
        <v>38996</v>
      </c>
      <c r="C4235">
        <v>61.17</v>
      </c>
      <c r="D4235">
        <f t="shared" si="135"/>
        <v>-0.7826226012793176</v>
      </c>
      <c r="E4235">
        <v>-1.4182111200644569E-2</v>
      </c>
      <c r="G4235">
        <v>4233</v>
      </c>
      <c r="H4235">
        <f t="shared" ca="1" si="136"/>
        <v>1.4706230325643848E-2</v>
      </c>
    </row>
    <row r="4236" spans="2:8" x14ac:dyDescent="0.3">
      <c r="B4236" s="113">
        <v>42950</v>
      </c>
      <c r="C4236">
        <v>281.39999999999998</v>
      </c>
      <c r="D4236">
        <f t="shared" si="135"/>
        <v>1.2638777152051486</v>
      </c>
      <c r="E4236">
        <v>-1.418812401471365E-2</v>
      </c>
      <c r="G4236">
        <v>4234</v>
      </c>
      <c r="H4236">
        <f t="shared" ca="1" si="136"/>
        <v>3.5452166329055807E-3</v>
      </c>
    </row>
    <row r="4237" spans="2:8" x14ac:dyDescent="0.3">
      <c r="B4237" s="113">
        <v>40652</v>
      </c>
      <c r="C4237">
        <v>124.3</v>
      </c>
      <c r="D4237">
        <f t="shared" si="135"/>
        <v>1.2101706970128023</v>
      </c>
      <c r="E4237">
        <v>-1.4196209057022811E-2</v>
      </c>
      <c r="G4237">
        <v>4235</v>
      </c>
      <c r="H4237">
        <f t="shared" ca="1" si="136"/>
        <v>7.7490960624815343E-3</v>
      </c>
    </row>
    <row r="4238" spans="2:8" x14ac:dyDescent="0.3">
      <c r="B4238" s="113">
        <v>38916</v>
      </c>
      <c r="C4238">
        <v>56.24</v>
      </c>
      <c r="D4238">
        <f t="shared" si="135"/>
        <v>-0.78390009606147926</v>
      </c>
      <c r="E4238">
        <v>-1.419807186678344E-2</v>
      </c>
      <c r="G4238">
        <v>4236</v>
      </c>
      <c r="H4238">
        <f t="shared" ca="1" si="136"/>
        <v>9.6170897075495126E-3</v>
      </c>
    </row>
    <row r="4239" spans="2:8" x14ac:dyDescent="0.3">
      <c r="B4239" s="113">
        <v>43164</v>
      </c>
      <c r="C4239">
        <v>260.25</v>
      </c>
      <c r="D4239">
        <f t="shared" si="135"/>
        <v>0.10697575499787328</v>
      </c>
      <c r="E4239">
        <v>-1.4204545454545454E-2</v>
      </c>
      <c r="G4239">
        <v>4237</v>
      </c>
      <c r="H4239">
        <f t="shared" ca="1" si="136"/>
        <v>-5.113669949539673E-3</v>
      </c>
    </row>
    <row r="4240" spans="2:8" x14ac:dyDescent="0.3">
      <c r="B4240" s="113">
        <v>43836</v>
      </c>
      <c r="C4240">
        <v>235.1</v>
      </c>
      <c r="D4240">
        <f t="shared" si="135"/>
        <v>-1.4049066890333381E-2</v>
      </c>
      <c r="E4240">
        <v>-1.425576519916145E-2</v>
      </c>
      <c r="G4240">
        <v>4238</v>
      </c>
      <c r="H4240">
        <f t="shared" ca="1" si="136"/>
        <v>5.6701373675107176E-3</v>
      </c>
    </row>
    <row r="4241" spans="2:8" x14ac:dyDescent="0.3">
      <c r="B4241" s="113">
        <v>43851</v>
      </c>
      <c r="C4241">
        <v>238.45</v>
      </c>
      <c r="D4241">
        <f t="shared" si="135"/>
        <v>3.1090815095640183</v>
      </c>
      <c r="E4241">
        <v>-1.4262091773460177E-2</v>
      </c>
      <c r="G4241">
        <v>4239</v>
      </c>
      <c r="H4241">
        <f t="shared" ca="1" si="136"/>
        <v>-1.1509515347263312E-3</v>
      </c>
    </row>
    <row r="4242" spans="2:8" x14ac:dyDescent="0.3">
      <c r="B4242" s="113">
        <v>39119</v>
      </c>
      <c r="C4242">
        <v>58.03</v>
      </c>
      <c r="D4242">
        <f t="shared" si="135"/>
        <v>1.0512548603746907</v>
      </c>
      <c r="E4242">
        <v>-1.4268727705112899E-2</v>
      </c>
      <c r="G4242">
        <v>4240</v>
      </c>
      <c r="H4242">
        <f t="shared" ca="1" si="136"/>
        <v>2.1499783703700526E-2</v>
      </c>
    </row>
    <row r="4243" spans="2:8" x14ac:dyDescent="0.3">
      <c r="B4243" s="113">
        <v>38401</v>
      </c>
      <c r="C4243">
        <v>28.29</v>
      </c>
      <c r="D4243">
        <f t="shared" si="135"/>
        <v>-0.87529754033324525</v>
      </c>
      <c r="E4243">
        <v>-1.428571428571429E-2</v>
      </c>
      <c r="G4243">
        <v>4241</v>
      </c>
      <c r="H4243">
        <f t="shared" ca="1" si="136"/>
        <v>-5.1459023419075985E-3</v>
      </c>
    </row>
    <row r="4244" spans="2:8" x14ac:dyDescent="0.3">
      <c r="B4244" s="113">
        <v>41558</v>
      </c>
      <c r="C4244">
        <v>226.86</v>
      </c>
      <c r="D4244">
        <f t="shared" si="135"/>
        <v>4.8772020725388607</v>
      </c>
      <c r="E4244">
        <v>-1.4295024983706243E-2</v>
      </c>
      <c r="G4244">
        <v>4242</v>
      </c>
      <c r="H4244">
        <f t="shared" ca="1" si="136"/>
        <v>9.9432618519507236E-3</v>
      </c>
    </row>
    <row r="4245" spans="2:8" x14ac:dyDescent="0.3">
      <c r="B4245" s="113">
        <v>38651</v>
      </c>
      <c r="C4245">
        <v>38.6</v>
      </c>
      <c r="D4245">
        <f t="shared" si="135"/>
        <v>-0.82043170822478606</v>
      </c>
      <c r="E4245">
        <v>-1.4300306435137774E-2</v>
      </c>
      <c r="G4245">
        <v>4243</v>
      </c>
      <c r="H4245">
        <f t="shared" ca="1" si="136"/>
        <v>-4.3905058005690714E-3</v>
      </c>
    </row>
    <row r="4246" spans="2:8" x14ac:dyDescent="0.3">
      <c r="B4246" s="113">
        <v>41663</v>
      </c>
      <c r="C4246">
        <v>214.96</v>
      </c>
      <c r="D4246">
        <f t="shared" si="135"/>
        <v>0.14127953278470939</v>
      </c>
      <c r="E4246">
        <v>-1.4306676449009558E-2</v>
      </c>
      <c r="G4246">
        <v>4244</v>
      </c>
      <c r="H4246">
        <f t="shared" ca="1" si="136"/>
        <v>1.5245267773759355E-3</v>
      </c>
    </row>
    <row r="4247" spans="2:8" x14ac:dyDescent="0.3">
      <c r="B4247" s="113">
        <v>41212</v>
      </c>
      <c r="C4247">
        <v>188.35</v>
      </c>
      <c r="D4247">
        <f t="shared" si="135"/>
        <v>-0.32040411329604901</v>
      </c>
      <c r="E4247">
        <v>-1.4390371533228677E-2</v>
      </c>
      <c r="G4247">
        <v>4245</v>
      </c>
      <c r="H4247">
        <f t="shared" ca="1" si="136"/>
        <v>-1.0077198720169E-2</v>
      </c>
    </row>
    <row r="4248" spans="2:8" x14ac:dyDescent="0.3">
      <c r="B4248" s="113">
        <v>42860</v>
      </c>
      <c r="C4248">
        <v>277.14999999999998</v>
      </c>
      <c r="D4248">
        <f t="shared" si="135"/>
        <v>8.0506822612085679E-2</v>
      </c>
      <c r="E4248">
        <v>-1.4402560455192075E-2</v>
      </c>
      <c r="G4248">
        <v>4246</v>
      </c>
      <c r="H4248">
        <f t="shared" ca="1" si="136"/>
        <v>1.7335923402591272E-2</v>
      </c>
    </row>
    <row r="4249" spans="2:8" x14ac:dyDescent="0.3">
      <c r="B4249" s="113">
        <v>43165</v>
      </c>
      <c r="C4249">
        <v>256.5</v>
      </c>
      <c r="D4249">
        <f t="shared" si="135"/>
        <v>0.19385617872934607</v>
      </c>
      <c r="E4249">
        <v>-1.4409221902017291E-2</v>
      </c>
      <c r="G4249">
        <v>4247</v>
      </c>
      <c r="H4249">
        <f t="shared" ca="1" si="136"/>
        <v>1.4223827861783139E-2</v>
      </c>
    </row>
    <row r="4250" spans="2:8" x14ac:dyDescent="0.3">
      <c r="B4250" s="113">
        <v>44614</v>
      </c>
      <c r="C4250">
        <v>214.85</v>
      </c>
      <c r="D4250">
        <f t="shared" si="135"/>
        <v>2.540705339485827</v>
      </c>
      <c r="E4250">
        <v>-1.4449541284403697E-2</v>
      </c>
      <c r="G4250">
        <v>4248</v>
      </c>
      <c r="H4250">
        <f t="shared" ca="1" si="136"/>
        <v>-4.4642692282679001E-3</v>
      </c>
    </row>
    <row r="4251" spans="2:8" x14ac:dyDescent="0.3">
      <c r="B4251" s="113">
        <v>39525</v>
      </c>
      <c r="C4251">
        <v>60.68</v>
      </c>
      <c r="D4251">
        <f t="shared" si="135"/>
        <v>0.11257792445911259</v>
      </c>
      <c r="E4251">
        <v>-1.4455091765470206E-2</v>
      </c>
      <c r="G4251">
        <v>4249</v>
      </c>
      <c r="H4251">
        <f t="shared" ca="1" si="136"/>
        <v>-1.6430386352579332E-2</v>
      </c>
    </row>
    <row r="4252" spans="2:8" x14ac:dyDescent="0.3">
      <c r="B4252" s="113">
        <v>38926</v>
      </c>
      <c r="C4252">
        <v>54.54</v>
      </c>
      <c r="D4252">
        <f t="shared" si="135"/>
        <v>-0.60380647973267476</v>
      </c>
      <c r="E4252">
        <v>-1.4456089627755768E-2</v>
      </c>
      <c r="G4252">
        <v>4250</v>
      </c>
      <c r="H4252">
        <f t="shared" ca="1" si="136"/>
        <v>-3.8356950409716255E-2</v>
      </c>
    </row>
    <row r="4253" spans="2:8" x14ac:dyDescent="0.3">
      <c r="B4253" s="113">
        <v>40968</v>
      </c>
      <c r="C4253">
        <v>137.66</v>
      </c>
      <c r="D4253">
        <f t="shared" si="135"/>
        <v>1.3039330543933054</v>
      </c>
      <c r="E4253">
        <v>-1.4461626575028709E-2</v>
      </c>
      <c r="G4253">
        <v>4251</v>
      </c>
      <c r="H4253">
        <f t="shared" ca="1" si="136"/>
        <v>-8.0661841668799809E-3</v>
      </c>
    </row>
    <row r="4254" spans="2:8" x14ac:dyDescent="0.3">
      <c r="B4254" s="113">
        <v>39381</v>
      </c>
      <c r="C4254">
        <v>59.75</v>
      </c>
      <c r="D4254">
        <f t="shared" si="135"/>
        <v>0.15951872695517172</v>
      </c>
      <c r="E4254">
        <v>-1.4514266864588529E-2</v>
      </c>
      <c r="G4254">
        <v>4252</v>
      </c>
      <c r="H4254">
        <f t="shared" ca="1" si="136"/>
        <v>6.7032235575935012E-3</v>
      </c>
    </row>
    <row r="4255" spans="2:8" x14ac:dyDescent="0.3">
      <c r="B4255" s="113">
        <v>38744</v>
      </c>
      <c r="C4255">
        <v>51.53</v>
      </c>
      <c r="D4255">
        <f t="shared" si="135"/>
        <v>-0.80510590015128591</v>
      </c>
      <c r="E4255">
        <v>-1.4534327787339797E-2</v>
      </c>
      <c r="G4255">
        <v>4253</v>
      </c>
      <c r="H4255">
        <f t="shared" ca="1" si="136"/>
        <v>1.0431995528760922E-2</v>
      </c>
    </row>
    <row r="4256" spans="2:8" x14ac:dyDescent="0.3">
      <c r="B4256" s="113">
        <v>43668</v>
      </c>
      <c r="C4256">
        <v>264.39999999999998</v>
      </c>
      <c r="D4256">
        <f t="shared" si="135"/>
        <v>8.6500924594205802E-2</v>
      </c>
      <c r="E4256">
        <v>-1.4535967200894647E-2</v>
      </c>
      <c r="G4256">
        <v>4254</v>
      </c>
      <c r="H4256">
        <f t="shared" ca="1" si="136"/>
        <v>-5.9742749259369381E-3</v>
      </c>
    </row>
    <row r="4257" spans="2:8" x14ac:dyDescent="0.3">
      <c r="B4257" s="113">
        <v>43805</v>
      </c>
      <c r="C4257">
        <v>243.35</v>
      </c>
      <c r="D4257">
        <f t="shared" si="135"/>
        <v>1.3688309159933807</v>
      </c>
      <c r="E4257">
        <v>-1.4577849767159321E-2</v>
      </c>
      <c r="G4257">
        <v>4255</v>
      </c>
      <c r="H4257">
        <f t="shared" ca="1" si="136"/>
        <v>-3.1540335698144978E-3</v>
      </c>
    </row>
    <row r="4258" spans="2:8" x14ac:dyDescent="0.3">
      <c r="B4258" s="113">
        <v>40401</v>
      </c>
      <c r="C4258">
        <v>102.73</v>
      </c>
      <c r="D4258">
        <f t="shared" si="135"/>
        <v>3.3437632135306563</v>
      </c>
      <c r="E4258">
        <v>-1.458033573141483E-2</v>
      </c>
      <c r="G4258">
        <v>4256</v>
      </c>
      <c r="H4258">
        <f t="shared" ca="1" si="136"/>
        <v>2.9397972103899529E-2</v>
      </c>
    </row>
    <row r="4259" spans="2:8" x14ac:dyDescent="0.3">
      <c r="B4259" s="113">
        <v>38065</v>
      </c>
      <c r="C4259">
        <v>23.65</v>
      </c>
      <c r="D4259">
        <f t="shared" si="135"/>
        <v>-0.89551579412414395</v>
      </c>
      <c r="E4259">
        <v>-1.4583333333333393E-2</v>
      </c>
      <c r="G4259">
        <v>4257</v>
      </c>
      <c r="H4259">
        <f t="shared" ca="1" si="136"/>
        <v>3.5855272619229356E-2</v>
      </c>
    </row>
    <row r="4260" spans="2:8" x14ac:dyDescent="0.3">
      <c r="B4260" s="113">
        <v>42720</v>
      </c>
      <c r="C4260">
        <v>226.35</v>
      </c>
      <c r="D4260">
        <f t="shared" si="135"/>
        <v>9.8519776753215146E-2</v>
      </c>
      <c r="E4260">
        <v>-1.4584240313452306E-2</v>
      </c>
      <c r="G4260">
        <v>4258</v>
      </c>
      <c r="H4260">
        <f t="shared" ca="1" si="136"/>
        <v>-2.6624687302806226E-2</v>
      </c>
    </row>
    <row r="4261" spans="2:8" x14ac:dyDescent="0.3">
      <c r="B4261" s="113">
        <v>44406</v>
      </c>
      <c r="C4261">
        <v>206.05</v>
      </c>
      <c r="D4261">
        <f t="shared" si="135"/>
        <v>14.251665433012585</v>
      </c>
      <c r="E4261">
        <v>-1.4586322333811493E-2</v>
      </c>
      <c r="G4261">
        <v>4259</v>
      </c>
      <c r="H4261">
        <f t="shared" ca="1" si="136"/>
        <v>1.8538495243473792E-2</v>
      </c>
    </row>
    <row r="4262" spans="2:8" x14ac:dyDescent="0.3">
      <c r="B4262" s="113">
        <v>37704</v>
      </c>
      <c r="C4262">
        <v>13.51</v>
      </c>
      <c r="D4262">
        <f t="shared" si="135"/>
        <v>-0.83465916044547783</v>
      </c>
      <c r="E4262">
        <v>-1.458789204959891E-2</v>
      </c>
      <c r="G4262">
        <v>4260</v>
      </c>
      <c r="H4262">
        <f t="shared" ca="1" si="136"/>
        <v>-6.5755786430495691E-2</v>
      </c>
    </row>
    <row r="4263" spans="2:8" x14ac:dyDescent="0.3">
      <c r="B4263" s="113">
        <v>40210</v>
      </c>
      <c r="C4263">
        <v>81.709999999999994</v>
      </c>
      <c r="D4263">
        <f t="shared" si="135"/>
        <v>-0.26638534745914888</v>
      </c>
      <c r="E4263">
        <v>-1.4592378195851519E-2</v>
      </c>
      <c r="G4263">
        <v>4261</v>
      </c>
      <c r="H4263">
        <f t="shared" ca="1" si="136"/>
        <v>1.7081769261282558E-2</v>
      </c>
    </row>
    <row r="4264" spans="2:8" x14ac:dyDescent="0.3">
      <c r="B4264" s="113">
        <v>40471</v>
      </c>
      <c r="C4264">
        <v>111.38</v>
      </c>
      <c r="D4264">
        <f t="shared" si="135"/>
        <v>-0.56949598021026604</v>
      </c>
      <c r="E4264">
        <v>-1.4597894364328104E-2</v>
      </c>
      <c r="G4264">
        <v>4262</v>
      </c>
      <c r="H4264">
        <f t="shared" ca="1" si="136"/>
        <v>4.6127597398546143E-3</v>
      </c>
    </row>
    <row r="4265" spans="2:8" x14ac:dyDescent="0.3">
      <c r="B4265" s="113">
        <v>42058</v>
      </c>
      <c r="C4265">
        <v>258.72000000000003</v>
      </c>
      <c r="D4265">
        <f t="shared" si="135"/>
        <v>0.93146696528555473</v>
      </c>
      <c r="E4265">
        <v>-1.4625228519195517E-2</v>
      </c>
      <c r="G4265">
        <v>4263</v>
      </c>
      <c r="H4265">
        <f t="shared" ca="1" si="136"/>
        <v>-3.5584411367753574E-2</v>
      </c>
    </row>
    <row r="4266" spans="2:8" x14ac:dyDescent="0.3">
      <c r="B4266" s="113">
        <v>40905</v>
      </c>
      <c r="C4266">
        <v>133.94999999999999</v>
      </c>
      <c r="D4266">
        <f t="shared" si="135"/>
        <v>-0.42270396069473781</v>
      </c>
      <c r="E4266">
        <v>-1.4638811240253119E-2</v>
      </c>
      <c r="G4266">
        <v>4264</v>
      </c>
      <c r="H4266">
        <f t="shared" ca="1" si="136"/>
        <v>1.1261219069378008E-2</v>
      </c>
    </row>
    <row r="4267" spans="2:8" x14ac:dyDescent="0.3">
      <c r="B4267" s="113">
        <v>42306</v>
      </c>
      <c r="C4267">
        <v>232.03</v>
      </c>
      <c r="D4267">
        <f t="shared" si="135"/>
        <v>3.3729729729729779E-3</v>
      </c>
      <c r="E4267">
        <v>-1.4650925768642725E-2</v>
      </c>
      <c r="G4267">
        <v>4265</v>
      </c>
      <c r="H4267">
        <f t="shared" ca="1" si="136"/>
        <v>3.8197835843588393E-3</v>
      </c>
    </row>
    <row r="4268" spans="2:8" x14ac:dyDescent="0.3">
      <c r="B4268" s="113">
        <v>44475</v>
      </c>
      <c r="C4268">
        <v>231.25</v>
      </c>
      <c r="D4268">
        <f t="shared" si="135"/>
        <v>3.4824578406667954</v>
      </c>
      <c r="E4268">
        <v>-1.4699616531742602E-2</v>
      </c>
      <c r="G4268">
        <v>4266</v>
      </c>
      <c r="H4268">
        <f t="shared" ca="1" si="136"/>
        <v>5.3812528025374076E-3</v>
      </c>
    </row>
    <row r="4269" spans="2:8" x14ac:dyDescent="0.3">
      <c r="B4269" s="113">
        <v>39268</v>
      </c>
      <c r="C4269">
        <v>51.59</v>
      </c>
      <c r="D4269">
        <f t="shared" si="135"/>
        <v>-0.65268614514608858</v>
      </c>
      <c r="E4269">
        <v>-1.47058823529411E-2</v>
      </c>
      <c r="G4269">
        <v>4267</v>
      </c>
      <c r="H4269">
        <f t="shared" ca="1" si="136"/>
        <v>1.7082669876094619E-2</v>
      </c>
    </row>
    <row r="4270" spans="2:8" x14ac:dyDescent="0.3">
      <c r="B4270" s="113">
        <v>41008</v>
      </c>
      <c r="C4270">
        <v>148.54</v>
      </c>
      <c r="D4270">
        <f t="shared" si="135"/>
        <v>-5.9158854826450495E-2</v>
      </c>
      <c r="E4270">
        <v>-1.472539135049084E-2</v>
      </c>
      <c r="G4270">
        <v>4268</v>
      </c>
      <c r="H4270">
        <f t="shared" ca="1" si="136"/>
        <v>2.1609128896343973E-2</v>
      </c>
    </row>
    <row r="4271" spans="2:8" x14ac:dyDescent="0.3">
      <c r="B4271" s="113">
        <v>41033</v>
      </c>
      <c r="C4271">
        <v>157.88</v>
      </c>
      <c r="D4271">
        <f t="shared" si="135"/>
        <v>1.9156048014773774</v>
      </c>
      <c r="E4271">
        <v>-1.4727908137793394E-2</v>
      </c>
      <c r="G4271">
        <v>4269</v>
      </c>
      <c r="H4271">
        <f t="shared" ca="1" si="136"/>
        <v>1.3361351469456415E-2</v>
      </c>
    </row>
    <row r="4272" spans="2:8" x14ac:dyDescent="0.3">
      <c r="B4272" s="113">
        <v>39731</v>
      </c>
      <c r="C4272">
        <v>54.15</v>
      </c>
      <c r="D4272">
        <f t="shared" si="135"/>
        <v>2.6836734693877555</v>
      </c>
      <c r="E4272">
        <v>-1.4737991266375587E-2</v>
      </c>
      <c r="G4272">
        <v>4270</v>
      </c>
      <c r="H4272">
        <f t="shared" ca="1" si="136"/>
        <v>6.4887588717104233E-3</v>
      </c>
    </row>
    <row r="4273" spans="2:8" x14ac:dyDescent="0.3">
      <c r="B4273" s="113">
        <v>37733</v>
      </c>
      <c r="C4273">
        <v>14.7</v>
      </c>
      <c r="D4273">
        <f t="shared" si="135"/>
        <v>-0.88529067499024583</v>
      </c>
      <c r="E4273">
        <v>-1.4745308310992E-2</v>
      </c>
      <c r="G4273">
        <v>4271</v>
      </c>
      <c r="H4273">
        <f t="shared" ca="1" si="136"/>
        <v>-1.6402961505677598E-2</v>
      </c>
    </row>
    <row r="4274" spans="2:8" x14ac:dyDescent="0.3">
      <c r="B4274" s="113">
        <v>40870</v>
      </c>
      <c r="C4274">
        <v>128.15</v>
      </c>
      <c r="D4274">
        <f t="shared" si="135"/>
        <v>-0.40043978665668567</v>
      </c>
      <c r="E4274">
        <v>-1.4761282386407224E-2</v>
      </c>
      <c r="G4274">
        <v>4272</v>
      </c>
      <c r="H4274">
        <f t="shared" ca="1" si="136"/>
        <v>5.0122968580084875E-3</v>
      </c>
    </row>
    <row r="4275" spans="2:8" x14ac:dyDescent="0.3">
      <c r="B4275" s="113">
        <v>42472</v>
      </c>
      <c r="C4275">
        <v>213.74</v>
      </c>
      <c r="D4275">
        <f t="shared" si="135"/>
        <v>-6.9481932956029516E-2</v>
      </c>
      <c r="E4275">
        <v>-1.4796035952984465E-2</v>
      </c>
      <c r="G4275">
        <v>4273</v>
      </c>
      <c r="H4275">
        <f t="shared" ca="1" si="136"/>
        <v>6.3580747249257037E-3</v>
      </c>
    </row>
    <row r="4276" spans="2:8" x14ac:dyDescent="0.3">
      <c r="B4276" s="113">
        <v>42719</v>
      </c>
      <c r="C4276">
        <v>229.7</v>
      </c>
      <c r="D4276">
        <f t="shared" si="135"/>
        <v>8.1755674861071798E-2</v>
      </c>
      <c r="E4276">
        <v>-1.4797340767746159E-2</v>
      </c>
      <c r="G4276">
        <v>4274</v>
      </c>
      <c r="H4276">
        <f t="shared" ca="1" si="136"/>
        <v>-2.7784847134679106E-2</v>
      </c>
    </row>
    <row r="4277" spans="2:8" x14ac:dyDescent="0.3">
      <c r="B4277" s="113">
        <v>41673</v>
      </c>
      <c r="C4277">
        <v>212.34</v>
      </c>
      <c r="D4277">
        <f t="shared" si="135"/>
        <v>2.7682342502218278</v>
      </c>
      <c r="E4277">
        <v>-1.4800723797151197E-2</v>
      </c>
      <c r="G4277">
        <v>4275</v>
      </c>
      <c r="H4277">
        <f t="shared" ca="1" si="136"/>
        <v>1.5132060790590145E-2</v>
      </c>
    </row>
    <row r="4278" spans="2:8" x14ac:dyDescent="0.3">
      <c r="B4278" s="113">
        <v>39764</v>
      </c>
      <c r="C4278">
        <v>56.35</v>
      </c>
      <c r="D4278">
        <f t="shared" si="135"/>
        <v>-0.73517247861641133</v>
      </c>
      <c r="E4278">
        <v>-1.4860139860139884E-2</v>
      </c>
      <c r="G4278">
        <v>4276</v>
      </c>
      <c r="H4278">
        <f t="shared" ca="1" si="136"/>
        <v>-2.0566758609845217E-2</v>
      </c>
    </row>
    <row r="4279" spans="2:8" x14ac:dyDescent="0.3">
      <c r="B4279" s="113">
        <v>42485</v>
      </c>
      <c r="C4279">
        <v>212.78</v>
      </c>
      <c r="D4279">
        <f t="shared" si="135"/>
        <v>-0.21468905702159066</v>
      </c>
      <c r="E4279">
        <v>-1.4861799157368433E-2</v>
      </c>
      <c r="G4279">
        <v>4277</v>
      </c>
      <c r="H4279">
        <f t="shared" ca="1" si="136"/>
        <v>-1.2212381872522876E-2</v>
      </c>
    </row>
    <row r="4280" spans="2:8" x14ac:dyDescent="0.3">
      <c r="B4280" s="113">
        <v>43661</v>
      </c>
      <c r="C4280">
        <v>270.95</v>
      </c>
      <c r="D4280">
        <f t="shared" si="135"/>
        <v>0.15494458653026427</v>
      </c>
      <c r="E4280">
        <v>-1.4906380658062253E-2</v>
      </c>
      <c r="G4280">
        <v>4278</v>
      </c>
      <c r="H4280">
        <f t="shared" ca="1" si="136"/>
        <v>2.4571714252449566E-3</v>
      </c>
    </row>
    <row r="4281" spans="2:8" x14ac:dyDescent="0.3">
      <c r="B4281" s="113">
        <v>43857</v>
      </c>
      <c r="C4281">
        <v>234.6</v>
      </c>
      <c r="D4281">
        <f t="shared" si="135"/>
        <v>5.3439697133585726</v>
      </c>
      <c r="E4281">
        <v>-1.4906571488557679E-2</v>
      </c>
      <c r="G4281">
        <v>4279</v>
      </c>
      <c r="H4281">
        <f t="shared" ca="1" si="136"/>
        <v>-1.5110649167652456E-2</v>
      </c>
    </row>
    <row r="4282" spans="2:8" x14ac:dyDescent="0.3">
      <c r="B4282" s="113">
        <v>38553</v>
      </c>
      <c r="C4282">
        <v>36.979999999999997</v>
      </c>
      <c r="D4282">
        <f t="shared" si="135"/>
        <v>-0.39713074665797204</v>
      </c>
      <c r="E4282">
        <v>-1.4917421417155095E-2</v>
      </c>
      <c r="G4282">
        <v>4280</v>
      </c>
      <c r="H4282">
        <f t="shared" ca="1" si="136"/>
        <v>-4.8338459594344128E-3</v>
      </c>
    </row>
    <row r="4283" spans="2:8" x14ac:dyDescent="0.3">
      <c r="B4283" s="113">
        <v>38994</v>
      </c>
      <c r="C4283">
        <v>61.34</v>
      </c>
      <c r="D4283">
        <f t="shared" si="135"/>
        <v>-0.72515458374406305</v>
      </c>
      <c r="E4283">
        <v>-1.4934960655211172E-2</v>
      </c>
      <c r="G4283">
        <v>4281</v>
      </c>
      <c r="H4283">
        <f t="shared" ca="1" si="136"/>
        <v>-1.3000844350882262E-2</v>
      </c>
    </row>
    <row r="4284" spans="2:8" x14ac:dyDescent="0.3">
      <c r="B4284" s="113">
        <v>41792</v>
      </c>
      <c r="C4284">
        <v>223.18</v>
      </c>
      <c r="D4284">
        <f t="shared" si="135"/>
        <v>10.690937663698271</v>
      </c>
      <c r="E4284">
        <v>-1.4962263318179752E-2</v>
      </c>
      <c r="G4284">
        <v>4282</v>
      </c>
      <c r="H4284">
        <f t="shared" ca="1" si="136"/>
        <v>7.1686072891830139E-3</v>
      </c>
    </row>
    <row r="4285" spans="2:8" x14ac:dyDescent="0.3">
      <c r="B4285" s="113">
        <v>37932</v>
      </c>
      <c r="C4285">
        <v>19.09</v>
      </c>
      <c r="D4285">
        <f t="shared" si="135"/>
        <v>-0.92173021730217297</v>
      </c>
      <c r="E4285">
        <v>-1.4963880288957645E-2</v>
      </c>
      <c r="G4285">
        <v>4283</v>
      </c>
      <c r="H4285">
        <f t="shared" ca="1" si="136"/>
        <v>1.1214010045524228E-2</v>
      </c>
    </row>
    <row r="4286" spans="2:8" x14ac:dyDescent="0.3">
      <c r="B4286" s="113">
        <v>42044</v>
      </c>
      <c r="C4286">
        <v>243.9</v>
      </c>
      <c r="D4286">
        <f t="shared" si="135"/>
        <v>1.1570708410719026</v>
      </c>
      <c r="E4286">
        <v>-1.4983239772222478E-2</v>
      </c>
      <c r="G4286">
        <v>4284</v>
      </c>
      <c r="H4286">
        <f t="shared" ca="1" si="136"/>
        <v>-1.747789335446609E-2</v>
      </c>
    </row>
    <row r="4287" spans="2:8" x14ac:dyDescent="0.3">
      <c r="B4287" s="113">
        <v>40557</v>
      </c>
      <c r="C4287">
        <v>113.07</v>
      </c>
      <c r="D4287">
        <f t="shared" si="135"/>
        <v>1.073157315731573</v>
      </c>
      <c r="E4287">
        <v>-1.49838836135553E-2</v>
      </c>
      <c r="G4287">
        <v>4285</v>
      </c>
      <c r="H4287">
        <f t="shared" ca="1" si="136"/>
        <v>-2.0258135221725981E-3</v>
      </c>
    </row>
    <row r="4288" spans="2:8" x14ac:dyDescent="0.3">
      <c r="B4288" s="113">
        <v>39878</v>
      </c>
      <c r="C4288">
        <v>54.54</v>
      </c>
      <c r="D4288">
        <f t="shared" si="135"/>
        <v>-0.7483737024221454</v>
      </c>
      <c r="E4288">
        <v>-1.4990066823189423E-2</v>
      </c>
      <c r="G4288">
        <v>4286</v>
      </c>
      <c r="H4288">
        <f t="shared" ca="1" si="136"/>
        <v>-2.4893084153709531E-2</v>
      </c>
    </row>
    <row r="4289" spans="2:8" x14ac:dyDescent="0.3">
      <c r="B4289" s="113">
        <v>44559</v>
      </c>
      <c r="C4289">
        <v>216.75</v>
      </c>
      <c r="D4289">
        <f t="shared" si="135"/>
        <v>-0.16150870406189555</v>
      </c>
      <c r="E4289">
        <v>-1.4996591683708298E-2</v>
      </c>
      <c r="G4289">
        <v>4287</v>
      </c>
      <c r="H4289">
        <f t="shared" ca="1" si="136"/>
        <v>9.4700653817654306E-4</v>
      </c>
    </row>
    <row r="4290" spans="2:8" x14ac:dyDescent="0.3">
      <c r="B4290" s="113">
        <v>43005</v>
      </c>
      <c r="C4290">
        <v>258.5</v>
      </c>
      <c r="D4290">
        <f t="shared" si="135"/>
        <v>6.5057063985826669E-2</v>
      </c>
      <c r="E4290">
        <v>-1.5050485806820304E-2</v>
      </c>
      <c r="G4290">
        <v>4288</v>
      </c>
      <c r="H4290">
        <f t="shared" ca="1" si="136"/>
        <v>3.7132762060933494E-2</v>
      </c>
    </row>
    <row r="4291" spans="2:8" x14ac:dyDescent="0.3">
      <c r="B4291" s="113">
        <v>41911</v>
      </c>
      <c r="C4291">
        <v>242.71</v>
      </c>
      <c r="D4291">
        <f t="shared" ref="D4291:D4354" si="137">(C4291-C4292)/C4292</f>
        <v>0.15962732919254655</v>
      </c>
      <c r="E4291">
        <v>-1.5055596136677136E-2</v>
      </c>
      <c r="G4291">
        <v>4289</v>
      </c>
      <c r="H4291">
        <f t="shared" ca="1" si="136"/>
        <v>1.6687563873019565E-2</v>
      </c>
    </row>
    <row r="4292" spans="2:8" x14ac:dyDescent="0.3">
      <c r="B4292" s="113">
        <v>44357</v>
      </c>
      <c r="C4292">
        <v>209.3</v>
      </c>
      <c r="D4292">
        <f t="shared" si="137"/>
        <v>8.1477272727272734</v>
      </c>
      <c r="E4292">
        <v>-1.5058823529411711E-2</v>
      </c>
      <c r="G4292">
        <v>4290</v>
      </c>
      <c r="H4292">
        <f t="shared" ref="H4292:H4355" ca="1" si="138">_xlfn.NORM.INV(RAND(),$L$4,$L$6)</f>
        <v>-5.2317325883310959E-3</v>
      </c>
    </row>
    <row r="4293" spans="2:8" x14ac:dyDescent="0.3">
      <c r="B4293" s="113">
        <v>38196</v>
      </c>
      <c r="C4293">
        <v>22.88</v>
      </c>
      <c r="D4293">
        <f t="shared" si="137"/>
        <v>-0.87839489768801493</v>
      </c>
      <c r="E4293">
        <v>-1.506672406371078E-2</v>
      </c>
      <c r="G4293">
        <v>4291</v>
      </c>
      <c r="H4293">
        <f t="shared" ca="1" si="138"/>
        <v>8.40442877802027E-3</v>
      </c>
    </row>
    <row r="4294" spans="2:8" x14ac:dyDescent="0.3">
      <c r="B4294" s="113">
        <v>41225</v>
      </c>
      <c r="C4294">
        <v>188.15</v>
      </c>
      <c r="D4294">
        <f t="shared" si="137"/>
        <v>2.4714022140221399</v>
      </c>
      <c r="E4294">
        <v>-1.507616604721769E-2</v>
      </c>
      <c r="G4294">
        <v>4292</v>
      </c>
      <c r="H4294">
        <f t="shared" ca="1" si="138"/>
        <v>2.3011121683920843E-3</v>
      </c>
    </row>
    <row r="4295" spans="2:8" x14ac:dyDescent="0.3">
      <c r="B4295" s="113">
        <v>38772</v>
      </c>
      <c r="C4295">
        <v>54.2</v>
      </c>
      <c r="D4295">
        <f t="shared" si="137"/>
        <v>-0.35360763267740003</v>
      </c>
      <c r="E4295">
        <v>-1.5082682173359955E-2</v>
      </c>
      <c r="G4295">
        <v>4293</v>
      </c>
      <c r="H4295">
        <f t="shared" ca="1" si="138"/>
        <v>-3.1014426057115563E-2</v>
      </c>
    </row>
    <row r="4296" spans="2:8" x14ac:dyDescent="0.3">
      <c r="B4296" s="113">
        <v>40129</v>
      </c>
      <c r="C4296">
        <v>83.85</v>
      </c>
      <c r="D4296">
        <f t="shared" si="137"/>
        <v>-0.6928008792819198</v>
      </c>
      <c r="E4296">
        <v>-1.5151515151515225E-2</v>
      </c>
      <c r="G4296">
        <v>4294</v>
      </c>
      <c r="H4296">
        <f t="shared" ca="1" si="138"/>
        <v>5.0825706542288965E-3</v>
      </c>
    </row>
    <row r="4297" spans="2:8" x14ac:dyDescent="0.3">
      <c r="B4297" s="113">
        <v>42863</v>
      </c>
      <c r="C4297">
        <v>272.95</v>
      </c>
      <c r="D4297">
        <f t="shared" si="137"/>
        <v>10.368179925031237</v>
      </c>
      <c r="E4297">
        <v>-1.515424860184012E-2</v>
      </c>
      <c r="G4297">
        <v>4295</v>
      </c>
      <c r="H4297">
        <f t="shared" ca="1" si="138"/>
        <v>-1.5669468485396756E-2</v>
      </c>
    </row>
    <row r="4298" spans="2:8" x14ac:dyDescent="0.3">
      <c r="B4298" s="113">
        <v>38244</v>
      </c>
      <c r="C4298">
        <v>24.01</v>
      </c>
      <c r="D4298">
        <f t="shared" si="137"/>
        <v>-0.62607070549758592</v>
      </c>
      <c r="E4298">
        <v>-1.5176374077112283E-2</v>
      </c>
      <c r="G4298">
        <v>4296</v>
      </c>
      <c r="H4298">
        <f t="shared" ca="1" si="138"/>
        <v>-1.3145770055326795E-2</v>
      </c>
    </row>
    <row r="4299" spans="2:8" x14ac:dyDescent="0.3">
      <c r="B4299" s="113">
        <v>39993</v>
      </c>
      <c r="C4299">
        <v>64.209999999999994</v>
      </c>
      <c r="D4299">
        <f t="shared" si="137"/>
        <v>-0.72862516377160735</v>
      </c>
      <c r="E4299">
        <v>-1.5184049079754741E-2</v>
      </c>
      <c r="G4299">
        <v>4297</v>
      </c>
      <c r="H4299">
        <f t="shared" ca="1" si="138"/>
        <v>-2.6173753403522206E-2</v>
      </c>
    </row>
    <row r="4300" spans="2:8" x14ac:dyDescent="0.3">
      <c r="B4300" s="113">
        <v>42013</v>
      </c>
      <c r="C4300">
        <v>236.61</v>
      </c>
      <c r="D4300">
        <f t="shared" si="137"/>
        <v>0.14448099061623296</v>
      </c>
      <c r="E4300">
        <v>-1.5191875468242643E-2</v>
      </c>
      <c r="G4300">
        <v>4298</v>
      </c>
      <c r="H4300">
        <f t="shared" ca="1" si="138"/>
        <v>3.0084078016538444E-2</v>
      </c>
    </row>
    <row r="4301" spans="2:8" x14ac:dyDescent="0.3">
      <c r="B4301" s="113">
        <v>41690</v>
      </c>
      <c r="C4301">
        <v>206.74</v>
      </c>
      <c r="D4301">
        <f t="shared" si="137"/>
        <v>-0.19210629152012504</v>
      </c>
      <c r="E4301">
        <v>-1.5195541370933157E-2</v>
      </c>
      <c r="G4301">
        <v>4299</v>
      </c>
      <c r="H4301">
        <f t="shared" ca="1" si="138"/>
        <v>-1.0346507722998602E-3</v>
      </c>
    </row>
    <row r="4302" spans="2:8" x14ac:dyDescent="0.3">
      <c r="B4302" s="113">
        <v>43739</v>
      </c>
      <c r="C4302">
        <v>255.9</v>
      </c>
      <c r="D4302">
        <f t="shared" si="137"/>
        <v>2.950903195924039</v>
      </c>
      <c r="E4302">
        <v>-1.5201077544737414E-2</v>
      </c>
      <c r="G4302">
        <v>4300</v>
      </c>
      <c r="H4302">
        <f t="shared" ca="1" si="138"/>
        <v>1.1163877747513559E-2</v>
      </c>
    </row>
    <row r="4303" spans="2:8" x14ac:dyDescent="0.3">
      <c r="B4303" s="113">
        <v>39622</v>
      </c>
      <c r="C4303">
        <v>64.77</v>
      </c>
      <c r="D4303">
        <f t="shared" si="137"/>
        <v>-0.6922894199249372</v>
      </c>
      <c r="E4303">
        <v>-1.5204500532157519E-2</v>
      </c>
      <c r="G4303">
        <v>4301</v>
      </c>
      <c r="H4303">
        <f t="shared" ca="1" si="138"/>
        <v>9.1277724816751348E-3</v>
      </c>
    </row>
    <row r="4304" spans="2:8" x14ac:dyDescent="0.3">
      <c r="B4304" s="113">
        <v>42090</v>
      </c>
      <c r="C4304">
        <v>210.49</v>
      </c>
      <c r="D4304">
        <f t="shared" si="137"/>
        <v>2.3289577732089204</v>
      </c>
      <c r="E4304">
        <v>-1.5205389725835126E-2</v>
      </c>
      <c r="G4304">
        <v>4302</v>
      </c>
      <c r="H4304">
        <f t="shared" ca="1" si="138"/>
        <v>-4.2728409700871E-3</v>
      </c>
    </row>
    <row r="4305" spans="2:8" x14ac:dyDescent="0.3">
      <c r="B4305" s="113">
        <v>39994</v>
      </c>
      <c r="C4305">
        <v>63.23</v>
      </c>
      <c r="D4305">
        <f t="shared" si="137"/>
        <v>1.2793799567411679</v>
      </c>
      <c r="E4305">
        <v>-1.5262420183771951E-2</v>
      </c>
      <c r="G4305">
        <v>4303</v>
      </c>
      <c r="H4305">
        <f t="shared" ca="1" si="138"/>
        <v>-3.8657464856960634E-3</v>
      </c>
    </row>
    <row r="4306" spans="2:8" x14ac:dyDescent="0.3">
      <c r="B4306" s="113">
        <v>38338</v>
      </c>
      <c r="C4306">
        <v>27.74</v>
      </c>
      <c r="D4306">
        <f t="shared" si="137"/>
        <v>-0.87371967041471288</v>
      </c>
      <c r="E4306">
        <v>-1.5264465743699086E-2</v>
      </c>
      <c r="G4306">
        <v>4304</v>
      </c>
      <c r="H4306">
        <f t="shared" ca="1" si="138"/>
        <v>8.42690062824401E-3</v>
      </c>
    </row>
    <row r="4307" spans="2:8" x14ac:dyDescent="0.3">
      <c r="B4307" s="113">
        <v>41530</v>
      </c>
      <c r="C4307">
        <v>219.67</v>
      </c>
      <c r="D4307">
        <f t="shared" si="137"/>
        <v>-6.1359654745118203E-2</v>
      </c>
      <c r="E4307">
        <v>-1.5285996055226935E-2</v>
      </c>
      <c r="G4307">
        <v>4305</v>
      </c>
      <c r="H4307">
        <f t="shared" ca="1" si="138"/>
        <v>-2.3564142254843098E-2</v>
      </c>
    </row>
    <row r="4308" spans="2:8" x14ac:dyDescent="0.3">
      <c r="B4308" s="113">
        <v>42521</v>
      </c>
      <c r="C4308">
        <v>234.03</v>
      </c>
      <c r="D4308">
        <f t="shared" si="137"/>
        <v>2.9148544663767146</v>
      </c>
      <c r="E4308">
        <v>-1.5315353220852385E-2</v>
      </c>
      <c r="G4308">
        <v>4306</v>
      </c>
      <c r="H4308">
        <f t="shared" ca="1" si="138"/>
        <v>1.3683772891793891E-2</v>
      </c>
    </row>
    <row r="4309" spans="2:8" x14ac:dyDescent="0.3">
      <c r="B4309" s="113">
        <v>39854</v>
      </c>
      <c r="C4309">
        <v>59.78</v>
      </c>
      <c r="D4309">
        <f t="shared" si="137"/>
        <v>-0.51548062895120761</v>
      </c>
      <c r="E4309">
        <v>-1.5318728380826877E-2</v>
      </c>
      <c r="G4309">
        <v>4307</v>
      </c>
      <c r="H4309">
        <f t="shared" ca="1" si="138"/>
        <v>6.5275836803277323E-2</v>
      </c>
    </row>
    <row r="4310" spans="2:8" x14ac:dyDescent="0.3">
      <c r="B4310" s="113">
        <v>40679</v>
      </c>
      <c r="C4310">
        <v>123.38</v>
      </c>
      <c r="D4310">
        <f t="shared" si="137"/>
        <v>-0.46805208243511254</v>
      </c>
      <c r="E4310">
        <v>-1.5323224261771762E-2</v>
      </c>
      <c r="G4310">
        <v>4308</v>
      </c>
      <c r="H4310">
        <f t="shared" ca="1" si="138"/>
        <v>-1.3495240402222882E-2</v>
      </c>
    </row>
    <row r="4311" spans="2:8" x14ac:dyDescent="0.3">
      <c r="B4311" s="113">
        <v>41540</v>
      </c>
      <c r="C4311">
        <v>231.94</v>
      </c>
      <c r="D4311">
        <f t="shared" si="137"/>
        <v>-0.31226093402520388</v>
      </c>
      <c r="E4311">
        <v>-1.5325833156442425E-2</v>
      </c>
      <c r="G4311">
        <v>4309</v>
      </c>
      <c r="H4311">
        <f t="shared" ca="1" si="138"/>
        <v>-8.3647534972010745E-3</v>
      </c>
    </row>
    <row r="4312" spans="2:8" x14ac:dyDescent="0.3">
      <c r="B4312" s="113">
        <v>42920</v>
      </c>
      <c r="C4312">
        <v>337.25</v>
      </c>
      <c r="D4312">
        <f t="shared" si="137"/>
        <v>1.2380383568916318</v>
      </c>
      <c r="E4312">
        <v>-1.5328467153284672E-2</v>
      </c>
      <c r="G4312">
        <v>4310</v>
      </c>
      <c r="H4312">
        <f t="shared" ca="1" si="138"/>
        <v>-8.0412832898002027E-3</v>
      </c>
    </row>
    <row r="4313" spans="2:8" x14ac:dyDescent="0.3">
      <c r="B4313" s="113">
        <v>41045</v>
      </c>
      <c r="C4313">
        <v>150.69</v>
      </c>
      <c r="D4313">
        <f t="shared" si="137"/>
        <v>4.3417227933356957</v>
      </c>
      <c r="E4313">
        <v>-1.5355462624150513E-2</v>
      </c>
      <c r="G4313">
        <v>4311</v>
      </c>
      <c r="H4313">
        <f t="shared" ca="1" si="138"/>
        <v>2.7777139078891896E-2</v>
      </c>
    </row>
    <row r="4314" spans="2:8" x14ac:dyDescent="0.3">
      <c r="B4314" s="113">
        <v>38433</v>
      </c>
      <c r="C4314">
        <v>28.21</v>
      </c>
      <c r="D4314">
        <f t="shared" si="137"/>
        <v>-0.41326955074875205</v>
      </c>
      <c r="E4314">
        <v>-1.5357766143106379E-2</v>
      </c>
      <c r="G4314">
        <v>4312</v>
      </c>
      <c r="H4314">
        <f t="shared" ca="1" si="138"/>
        <v>-4.1304881793083805E-3</v>
      </c>
    </row>
    <row r="4315" spans="2:8" x14ac:dyDescent="0.3">
      <c r="B4315" s="113">
        <v>39157</v>
      </c>
      <c r="C4315">
        <v>48.08</v>
      </c>
      <c r="D4315">
        <f t="shared" si="137"/>
        <v>-0.78039645564994986</v>
      </c>
      <c r="E4315">
        <v>-1.5359410198648372E-2</v>
      </c>
      <c r="G4315">
        <v>4313</v>
      </c>
      <c r="H4315">
        <f t="shared" ca="1" si="138"/>
        <v>-7.485355550839811E-4</v>
      </c>
    </row>
    <row r="4316" spans="2:8" x14ac:dyDescent="0.3">
      <c r="B4316" s="113">
        <v>41492</v>
      </c>
      <c r="C4316">
        <v>218.94</v>
      </c>
      <c r="D4316">
        <f t="shared" si="137"/>
        <v>0.10136324764827208</v>
      </c>
      <c r="E4316">
        <v>-1.5380464112250476E-2</v>
      </c>
      <c r="G4316">
        <v>4314</v>
      </c>
      <c r="H4316">
        <f t="shared" ca="1" si="138"/>
        <v>5.0262861300382116E-3</v>
      </c>
    </row>
    <row r="4317" spans="2:8" x14ac:dyDescent="0.3">
      <c r="B4317" s="113">
        <v>42422</v>
      </c>
      <c r="C4317">
        <v>198.79</v>
      </c>
      <c r="D4317">
        <f t="shared" si="137"/>
        <v>1.8805970149253726</v>
      </c>
      <c r="E4317">
        <v>-1.5403665180782632E-2</v>
      </c>
      <c r="G4317">
        <v>4315</v>
      </c>
      <c r="H4317">
        <f t="shared" ca="1" si="138"/>
        <v>-2.6989166042544609E-2</v>
      </c>
    </row>
    <row r="4318" spans="2:8" x14ac:dyDescent="0.3">
      <c r="B4318" s="113">
        <v>39559</v>
      </c>
      <c r="C4318">
        <v>69.010000000000005</v>
      </c>
      <c r="D4318">
        <f t="shared" si="137"/>
        <v>0.3340421418905859</v>
      </c>
      <c r="E4318">
        <v>-1.5408760165501472E-2</v>
      </c>
      <c r="G4318">
        <v>4316</v>
      </c>
      <c r="H4318">
        <f t="shared" ca="1" si="138"/>
        <v>-8.1811108298199386E-3</v>
      </c>
    </row>
    <row r="4319" spans="2:8" x14ac:dyDescent="0.3">
      <c r="B4319" s="113">
        <v>39189</v>
      </c>
      <c r="C4319">
        <v>51.73</v>
      </c>
      <c r="D4319">
        <f t="shared" si="137"/>
        <v>-0.81075544174135727</v>
      </c>
      <c r="E4319">
        <v>-1.5416825275980249E-2</v>
      </c>
      <c r="G4319">
        <v>4317</v>
      </c>
      <c r="H4319">
        <f t="shared" ca="1" si="138"/>
        <v>1.3079309395822858E-2</v>
      </c>
    </row>
    <row r="4320" spans="2:8" x14ac:dyDescent="0.3">
      <c r="B4320" s="113">
        <v>42776</v>
      </c>
      <c r="C4320">
        <v>273.35000000000002</v>
      </c>
      <c r="D4320">
        <f t="shared" si="137"/>
        <v>2.1645056726094007</v>
      </c>
      <c r="E4320">
        <v>-1.5487124077075292E-2</v>
      </c>
      <c r="G4320">
        <v>4318</v>
      </c>
      <c r="H4320">
        <f t="shared" ca="1" si="138"/>
        <v>-1.8826678339293901E-3</v>
      </c>
    </row>
    <row r="4321" spans="2:8" x14ac:dyDescent="0.3">
      <c r="B4321" s="113">
        <v>40113</v>
      </c>
      <c r="C4321">
        <v>86.38</v>
      </c>
      <c r="D4321">
        <f t="shared" si="137"/>
        <v>-0.55377621655129672</v>
      </c>
      <c r="E4321">
        <v>-1.5500341919307038E-2</v>
      </c>
      <c r="G4321">
        <v>4319</v>
      </c>
      <c r="H4321">
        <f t="shared" ca="1" si="138"/>
        <v>2.7994901790938855E-2</v>
      </c>
    </row>
    <row r="4322" spans="2:8" x14ac:dyDescent="0.3">
      <c r="B4322" s="113">
        <v>41327</v>
      </c>
      <c r="C4322">
        <v>193.58</v>
      </c>
      <c r="D4322">
        <f t="shared" si="137"/>
        <v>1.3136130034659974</v>
      </c>
      <c r="E4322">
        <v>-1.5511366525962382E-2</v>
      </c>
      <c r="G4322">
        <v>4320</v>
      </c>
      <c r="H4322">
        <f t="shared" ca="1" si="138"/>
        <v>-1.5828876062274719E-2</v>
      </c>
    </row>
    <row r="4323" spans="2:8" x14ac:dyDescent="0.3">
      <c r="B4323" s="113">
        <v>40102</v>
      </c>
      <c r="C4323">
        <v>83.67</v>
      </c>
      <c r="D4323">
        <f t="shared" si="137"/>
        <v>3.4036842105263161</v>
      </c>
      <c r="E4323">
        <v>-1.5531238969290425E-2</v>
      </c>
      <c r="G4323">
        <v>4321</v>
      </c>
      <c r="H4323">
        <f t="shared" ca="1" si="138"/>
        <v>-1.2194411738356112E-3</v>
      </c>
    </row>
    <row r="4324" spans="2:8" x14ac:dyDescent="0.3">
      <c r="B4324" s="113">
        <v>37949</v>
      </c>
      <c r="C4324">
        <v>19</v>
      </c>
      <c r="D4324">
        <f t="shared" si="137"/>
        <v>-0.85351938940713901</v>
      </c>
      <c r="E4324">
        <v>-1.5544041450777238E-2</v>
      </c>
      <c r="G4324">
        <v>4322</v>
      </c>
      <c r="H4324">
        <f t="shared" ca="1" si="138"/>
        <v>4.7100228463701358E-3</v>
      </c>
    </row>
    <row r="4325" spans="2:8" x14ac:dyDescent="0.3">
      <c r="B4325" s="113">
        <v>40729</v>
      </c>
      <c r="C4325">
        <v>129.71</v>
      </c>
      <c r="D4325">
        <f t="shared" si="137"/>
        <v>-0.51172595520421604</v>
      </c>
      <c r="E4325">
        <v>-1.5558591378263381E-2</v>
      </c>
      <c r="G4325">
        <v>4323</v>
      </c>
      <c r="H4325">
        <f t="shared" ca="1" si="138"/>
        <v>-2.5059909362610867E-2</v>
      </c>
    </row>
    <row r="4326" spans="2:8" x14ac:dyDescent="0.3">
      <c r="B4326" s="113">
        <v>43041</v>
      </c>
      <c r="C4326">
        <v>265.64999999999998</v>
      </c>
      <c r="D4326">
        <f t="shared" si="137"/>
        <v>0.73582070047046522</v>
      </c>
      <c r="E4326">
        <v>-1.5564202334630517E-2</v>
      </c>
      <c r="G4326">
        <v>4324</v>
      </c>
      <c r="H4326">
        <f t="shared" ca="1" si="138"/>
        <v>8.6866609459375723E-4</v>
      </c>
    </row>
    <row r="4327" spans="2:8" x14ac:dyDescent="0.3">
      <c r="B4327" s="113">
        <v>41044</v>
      </c>
      <c r="C4327">
        <v>153.04</v>
      </c>
      <c r="D4327">
        <f t="shared" si="137"/>
        <v>7.6463276836158194</v>
      </c>
      <c r="E4327">
        <v>-1.556670526180378E-2</v>
      </c>
      <c r="G4327">
        <v>4325</v>
      </c>
      <c r="H4327">
        <f t="shared" ca="1" si="138"/>
        <v>-5.5273996828477112E-3</v>
      </c>
    </row>
    <row r="4328" spans="2:8" x14ac:dyDescent="0.3">
      <c r="B4328" s="113">
        <v>37894</v>
      </c>
      <c r="C4328">
        <v>17.7</v>
      </c>
      <c r="D4328">
        <f t="shared" si="137"/>
        <v>-0.9332453328304734</v>
      </c>
      <c r="E4328">
        <v>-1.5572858731924424E-2</v>
      </c>
      <c r="G4328">
        <v>4326</v>
      </c>
      <c r="H4328">
        <f t="shared" ca="1" si="138"/>
        <v>-7.8593544238831081E-3</v>
      </c>
    </row>
    <row r="4329" spans="2:8" x14ac:dyDescent="0.3">
      <c r="B4329" s="113">
        <v>43038</v>
      </c>
      <c r="C4329">
        <v>265.14999999999998</v>
      </c>
      <c r="D4329">
        <f t="shared" si="137"/>
        <v>0.32237793626253047</v>
      </c>
      <c r="E4329">
        <v>-1.5593094486727474E-2</v>
      </c>
      <c r="G4329">
        <v>4327</v>
      </c>
      <c r="H4329">
        <f t="shared" ca="1" si="138"/>
        <v>1.1496892411055948E-2</v>
      </c>
    </row>
    <row r="4330" spans="2:8" x14ac:dyDescent="0.3">
      <c r="B4330" s="113">
        <v>41310</v>
      </c>
      <c r="C4330">
        <v>200.51</v>
      </c>
      <c r="D4330">
        <f t="shared" si="137"/>
        <v>-0.1428266073871409</v>
      </c>
      <c r="E4330">
        <v>-1.561195934999267E-2</v>
      </c>
      <c r="G4330">
        <v>4328</v>
      </c>
      <c r="H4330">
        <f t="shared" ca="1" si="138"/>
        <v>-4.5862529036005982E-2</v>
      </c>
    </row>
    <row r="4331" spans="2:8" x14ac:dyDescent="0.3">
      <c r="B4331" s="113">
        <v>41729</v>
      </c>
      <c r="C4331">
        <v>233.92</v>
      </c>
      <c r="D4331">
        <f t="shared" si="137"/>
        <v>-0.14346393262541204</v>
      </c>
      <c r="E4331">
        <v>-1.5653930314761821E-2</v>
      </c>
      <c r="G4331">
        <v>4329</v>
      </c>
      <c r="H4331">
        <f t="shared" ca="1" si="138"/>
        <v>-2.593469466583552E-2</v>
      </c>
    </row>
    <row r="4332" spans="2:8" x14ac:dyDescent="0.3">
      <c r="B4332" s="113">
        <v>43655</v>
      </c>
      <c r="C4332">
        <v>273.10000000000002</v>
      </c>
      <c r="D4332">
        <f t="shared" si="137"/>
        <v>10.766479965532099</v>
      </c>
      <c r="E4332">
        <v>-1.5678500630744156E-2</v>
      </c>
      <c r="G4332">
        <v>4330</v>
      </c>
      <c r="H4332">
        <f t="shared" ca="1" si="138"/>
        <v>2.0026448005191669E-2</v>
      </c>
    </row>
    <row r="4333" spans="2:8" x14ac:dyDescent="0.3">
      <c r="B4333" s="113">
        <v>38076</v>
      </c>
      <c r="C4333">
        <v>23.21</v>
      </c>
      <c r="D4333">
        <f t="shared" si="137"/>
        <v>-0.56962729464120154</v>
      </c>
      <c r="E4333">
        <v>-1.569126378286673E-2</v>
      </c>
      <c r="G4333">
        <v>4331</v>
      </c>
      <c r="H4333">
        <f t="shared" ca="1" si="138"/>
        <v>-6.9822056583581952E-3</v>
      </c>
    </row>
    <row r="4334" spans="2:8" x14ac:dyDescent="0.3">
      <c r="B4334" s="113">
        <v>39090</v>
      </c>
      <c r="C4334">
        <v>53.93</v>
      </c>
      <c r="D4334">
        <f t="shared" si="137"/>
        <v>-0.63400067865626053</v>
      </c>
      <c r="E4334">
        <v>-1.5696294944332896E-2</v>
      </c>
      <c r="G4334">
        <v>4332</v>
      </c>
      <c r="H4334">
        <f t="shared" ca="1" si="138"/>
        <v>2.3121036516674617E-2</v>
      </c>
    </row>
    <row r="4335" spans="2:8" x14ac:dyDescent="0.3">
      <c r="B4335" s="113">
        <v>43915</v>
      </c>
      <c r="C4335">
        <v>147.35</v>
      </c>
      <c r="D4335">
        <f t="shared" si="137"/>
        <v>4.2233250620347391</v>
      </c>
      <c r="E4335">
        <v>-1.5698062792251131E-2</v>
      </c>
      <c r="G4335">
        <v>4333</v>
      </c>
      <c r="H4335">
        <f t="shared" ca="1" si="138"/>
        <v>2.7488965669140119E-2</v>
      </c>
    </row>
    <row r="4336" spans="2:8" x14ac:dyDescent="0.3">
      <c r="B4336" s="113">
        <v>38358</v>
      </c>
      <c r="C4336">
        <v>28.21</v>
      </c>
      <c r="D4336">
        <f t="shared" si="137"/>
        <v>-0.87619047619047619</v>
      </c>
      <c r="E4336">
        <v>-1.5701325889741775E-2</v>
      </c>
      <c r="G4336">
        <v>4334</v>
      </c>
      <c r="H4336">
        <f t="shared" ca="1" si="138"/>
        <v>-7.2264382917493588E-4</v>
      </c>
    </row>
    <row r="4337" spans="2:8" x14ac:dyDescent="0.3">
      <c r="B4337" s="113">
        <v>42692</v>
      </c>
      <c r="C4337">
        <v>227.85</v>
      </c>
      <c r="D4337">
        <f t="shared" si="137"/>
        <v>11.171474358974359</v>
      </c>
      <c r="E4337">
        <v>-1.5766738660907151E-2</v>
      </c>
      <c r="G4337">
        <v>4335</v>
      </c>
      <c r="H4337">
        <f t="shared" ca="1" si="138"/>
        <v>-7.7207082980615023E-3</v>
      </c>
    </row>
    <row r="4338" spans="2:8" x14ac:dyDescent="0.3">
      <c r="B4338" s="113">
        <v>38161</v>
      </c>
      <c r="C4338">
        <v>18.72</v>
      </c>
      <c r="D4338">
        <f t="shared" si="137"/>
        <v>-0.92302631578947369</v>
      </c>
      <c r="E4338">
        <v>-1.5772870662460605E-2</v>
      </c>
      <c r="G4338">
        <v>4336</v>
      </c>
      <c r="H4338">
        <f t="shared" ca="1" si="138"/>
        <v>-1.691786053100594E-2</v>
      </c>
    </row>
    <row r="4339" spans="2:8" x14ac:dyDescent="0.3">
      <c r="B4339" s="113">
        <v>43748</v>
      </c>
      <c r="C4339">
        <v>243.2</v>
      </c>
      <c r="D4339">
        <f t="shared" si="137"/>
        <v>1.254774707954756</v>
      </c>
      <c r="E4339">
        <v>-1.5783083771752349E-2</v>
      </c>
      <c r="G4339">
        <v>4337</v>
      </c>
      <c r="H4339">
        <f t="shared" ca="1" si="138"/>
        <v>-2.0721808920751768E-2</v>
      </c>
    </row>
    <row r="4340" spans="2:8" x14ac:dyDescent="0.3">
      <c r="B4340" s="113">
        <v>40410</v>
      </c>
      <c r="C4340">
        <v>107.86</v>
      </c>
      <c r="D4340">
        <f t="shared" si="137"/>
        <v>0.22861373732771376</v>
      </c>
      <c r="E4340">
        <v>-1.5786111871521159E-2</v>
      </c>
      <c r="G4340">
        <v>4338</v>
      </c>
      <c r="H4340">
        <f t="shared" ca="1" si="138"/>
        <v>-8.6817242489534967E-3</v>
      </c>
    </row>
    <row r="4341" spans="2:8" x14ac:dyDescent="0.3">
      <c r="B4341" s="113">
        <v>40287</v>
      </c>
      <c r="C4341">
        <v>87.79</v>
      </c>
      <c r="D4341">
        <f t="shared" si="137"/>
        <v>-0.52889723638314989</v>
      </c>
      <c r="E4341">
        <v>-1.5807174887892336E-2</v>
      </c>
      <c r="G4341">
        <v>4339</v>
      </c>
      <c r="H4341">
        <f t="shared" ca="1" si="138"/>
        <v>-2.917252771873894E-2</v>
      </c>
    </row>
    <row r="4342" spans="2:8" x14ac:dyDescent="0.3">
      <c r="B4342" s="113">
        <v>43937</v>
      </c>
      <c r="C4342">
        <v>186.35</v>
      </c>
      <c r="D4342">
        <f t="shared" si="137"/>
        <v>-6.168177240684794E-2</v>
      </c>
      <c r="E4342">
        <v>-1.5843675732770002E-2</v>
      </c>
      <c r="G4342">
        <v>4340</v>
      </c>
      <c r="H4342">
        <f t="shared" ca="1" si="138"/>
        <v>-6.9522828941483367E-3</v>
      </c>
    </row>
    <row r="4343" spans="2:8" x14ac:dyDescent="0.3">
      <c r="B4343" s="113">
        <v>43887</v>
      </c>
      <c r="C4343">
        <v>198.6</v>
      </c>
      <c r="D4343">
        <f t="shared" si="137"/>
        <v>-0.1224038886433938</v>
      </c>
      <c r="E4343">
        <v>-1.5857284440039726E-2</v>
      </c>
      <c r="G4343">
        <v>4341</v>
      </c>
      <c r="H4343">
        <f t="shared" ca="1" si="138"/>
        <v>-1.056558809899979E-2</v>
      </c>
    </row>
    <row r="4344" spans="2:8" x14ac:dyDescent="0.3">
      <c r="B4344" s="113">
        <v>42725</v>
      </c>
      <c r="C4344">
        <v>226.3</v>
      </c>
      <c r="D4344">
        <f t="shared" si="137"/>
        <v>8.0036271655610225E-2</v>
      </c>
      <c r="E4344">
        <v>-1.5873015873015775E-2</v>
      </c>
      <c r="G4344">
        <v>4342</v>
      </c>
      <c r="H4344">
        <f t="shared" ca="1" si="138"/>
        <v>3.0607935776238365E-2</v>
      </c>
    </row>
    <row r="4345" spans="2:8" x14ac:dyDescent="0.3">
      <c r="B4345" s="113">
        <v>42493</v>
      </c>
      <c r="C4345">
        <v>209.53</v>
      </c>
      <c r="D4345">
        <f t="shared" si="137"/>
        <v>-6.2169904216274226E-2</v>
      </c>
      <c r="E4345">
        <v>-1.5875252454088561E-2</v>
      </c>
      <c r="G4345">
        <v>4343</v>
      </c>
      <c r="H4345">
        <f t="shared" ca="1" si="138"/>
        <v>-3.8282882161433658E-3</v>
      </c>
    </row>
    <row r="4346" spans="2:8" x14ac:dyDescent="0.3">
      <c r="B4346" s="113">
        <v>41410</v>
      </c>
      <c r="C4346">
        <v>223.42</v>
      </c>
      <c r="D4346">
        <f t="shared" si="137"/>
        <v>-0.23170563961485566</v>
      </c>
      <c r="E4346">
        <v>-1.5900982249042038E-2</v>
      </c>
      <c r="G4346">
        <v>4344</v>
      </c>
      <c r="H4346">
        <f t="shared" ca="1" si="138"/>
        <v>1.2829340695405153E-2</v>
      </c>
    </row>
    <row r="4347" spans="2:8" x14ac:dyDescent="0.3">
      <c r="B4347" s="113">
        <v>43539</v>
      </c>
      <c r="C4347">
        <v>290.8</v>
      </c>
      <c r="D4347">
        <f t="shared" si="137"/>
        <v>0.32640029191753328</v>
      </c>
      <c r="E4347">
        <v>-1.5905245346869674E-2</v>
      </c>
      <c r="G4347">
        <v>4345</v>
      </c>
      <c r="H4347">
        <f t="shared" ca="1" si="138"/>
        <v>-2.1128511431736132E-4</v>
      </c>
    </row>
    <row r="4348" spans="2:8" x14ac:dyDescent="0.3">
      <c r="B4348" s="113">
        <v>42464</v>
      </c>
      <c r="C4348">
        <v>219.24</v>
      </c>
      <c r="D4348">
        <f t="shared" si="137"/>
        <v>-0.20203821656050952</v>
      </c>
      <c r="E4348">
        <v>-1.5934287894429657E-2</v>
      </c>
      <c r="G4348">
        <v>4346</v>
      </c>
      <c r="H4348">
        <f t="shared" ca="1" si="138"/>
        <v>4.6145226447119507E-3</v>
      </c>
    </row>
    <row r="4349" spans="2:8" x14ac:dyDescent="0.3">
      <c r="B4349" s="113">
        <v>43493</v>
      </c>
      <c r="C4349">
        <v>274.75</v>
      </c>
      <c r="D4349">
        <f t="shared" si="137"/>
        <v>18.348591549295776</v>
      </c>
      <c r="E4349">
        <v>-1.5938395415472741E-2</v>
      </c>
      <c r="G4349">
        <v>4347</v>
      </c>
      <c r="H4349">
        <f t="shared" ca="1" si="138"/>
        <v>1.3328115120245005E-2</v>
      </c>
    </row>
    <row r="4350" spans="2:8" x14ac:dyDescent="0.3">
      <c r="B4350" s="113">
        <v>37648</v>
      </c>
      <c r="C4350">
        <v>14.2</v>
      </c>
      <c r="D4350">
        <f t="shared" si="137"/>
        <v>-0.94171967986866412</v>
      </c>
      <c r="E4350">
        <v>-1.593901593901597E-2</v>
      </c>
      <c r="G4350">
        <v>4348</v>
      </c>
      <c r="H4350">
        <f t="shared" ca="1" si="138"/>
        <v>9.8921290085584E-3</v>
      </c>
    </row>
    <row r="4351" spans="2:8" x14ac:dyDescent="0.3">
      <c r="B4351" s="113">
        <v>43754</v>
      </c>
      <c r="C4351">
        <v>243.65</v>
      </c>
      <c r="D4351">
        <f t="shared" si="137"/>
        <v>0.36383991043940667</v>
      </c>
      <c r="E4351">
        <v>-1.5953150242326287E-2</v>
      </c>
      <c r="G4351">
        <v>4349</v>
      </c>
      <c r="H4351">
        <f t="shared" ca="1" si="138"/>
        <v>-1.5318899766767908E-2</v>
      </c>
    </row>
    <row r="4352" spans="2:8" x14ac:dyDescent="0.3">
      <c r="B4352" s="113">
        <v>43929</v>
      </c>
      <c r="C4352">
        <v>178.65</v>
      </c>
      <c r="D4352">
        <f t="shared" si="137"/>
        <v>0.17109144542772856</v>
      </c>
      <c r="E4352">
        <v>-1.5973561002478685E-2</v>
      </c>
      <c r="G4352">
        <v>4350</v>
      </c>
      <c r="H4352">
        <f t="shared" ca="1" si="138"/>
        <v>7.8596541832826501E-3</v>
      </c>
    </row>
    <row r="4353" spans="2:8" x14ac:dyDescent="0.3">
      <c r="B4353" s="113">
        <v>41064</v>
      </c>
      <c r="C4353">
        <v>152.55000000000001</v>
      </c>
      <c r="D4353">
        <f t="shared" si="137"/>
        <v>1.3418790297820082</v>
      </c>
      <c r="E4353">
        <v>-1.599690382506605E-2</v>
      </c>
      <c r="G4353">
        <v>4351</v>
      </c>
      <c r="H4353">
        <f t="shared" ca="1" si="138"/>
        <v>6.7536587776127277E-3</v>
      </c>
    </row>
    <row r="4354" spans="2:8" x14ac:dyDescent="0.3">
      <c r="B4354" s="113">
        <v>39436</v>
      </c>
      <c r="C4354">
        <v>65.14</v>
      </c>
      <c r="D4354">
        <f t="shared" si="137"/>
        <v>-0.70945584299732389</v>
      </c>
      <c r="E4354">
        <v>-1.6012084592145048E-2</v>
      </c>
      <c r="G4354">
        <v>4352</v>
      </c>
      <c r="H4354">
        <f t="shared" ca="1" si="138"/>
        <v>3.1440218919443083E-2</v>
      </c>
    </row>
    <row r="4355" spans="2:8" x14ac:dyDescent="0.3">
      <c r="B4355" s="113">
        <v>42695</v>
      </c>
      <c r="C4355">
        <v>224.2</v>
      </c>
      <c r="D4355">
        <f t="shared" ref="D4355:D4418" si="139">(C4355-C4356)/C4356</f>
        <v>0.14154786150712823</v>
      </c>
      <c r="E4355">
        <v>-1.6019310950186553E-2</v>
      </c>
      <c r="G4355">
        <v>4353</v>
      </c>
      <c r="H4355">
        <f t="shared" ca="1" si="138"/>
        <v>1.3032558081196067E-2</v>
      </c>
    </row>
    <row r="4356" spans="2:8" x14ac:dyDescent="0.3">
      <c r="B4356" s="113">
        <v>44039</v>
      </c>
      <c r="C4356">
        <v>196.4</v>
      </c>
      <c r="D4356">
        <f t="shared" si="139"/>
        <v>-0.29593117046065598</v>
      </c>
      <c r="E4356">
        <v>-1.6032064128256456E-2</v>
      </c>
      <c r="G4356">
        <v>4354</v>
      </c>
      <c r="H4356">
        <f t="shared" ref="H4356:H4419" ca="1" si="140">_xlfn.NORM.INV(RAND(),$L$4,$L$6)</f>
        <v>1.4897851571792461E-2</v>
      </c>
    </row>
    <row r="4357" spans="2:8" x14ac:dyDescent="0.3">
      <c r="B4357" s="113">
        <v>43403</v>
      </c>
      <c r="C4357">
        <v>278.95</v>
      </c>
      <c r="D4357">
        <f t="shared" si="139"/>
        <v>1.4912923104402964</v>
      </c>
      <c r="E4357">
        <v>-1.6049382716049422E-2</v>
      </c>
      <c r="G4357">
        <v>4355</v>
      </c>
      <c r="H4357">
        <f t="shared" ca="1" si="140"/>
        <v>4.7071555549307587E-3</v>
      </c>
    </row>
    <row r="4358" spans="2:8" x14ac:dyDescent="0.3">
      <c r="B4358" s="113">
        <v>40564</v>
      </c>
      <c r="C4358">
        <v>111.97</v>
      </c>
      <c r="D4358">
        <f t="shared" si="139"/>
        <v>-0.54204498977505111</v>
      </c>
      <c r="E4358">
        <v>-1.6080843585237245E-2</v>
      </c>
      <c r="G4358">
        <v>4356</v>
      </c>
      <c r="H4358">
        <f t="shared" ca="1" si="140"/>
        <v>1.5992962482182706E-2</v>
      </c>
    </row>
    <row r="4359" spans="2:8" x14ac:dyDescent="0.3">
      <c r="B4359" s="113">
        <v>41992</v>
      </c>
      <c r="C4359">
        <v>244.5</v>
      </c>
      <c r="D4359">
        <f t="shared" si="139"/>
        <v>1.9486251808972501</v>
      </c>
      <c r="E4359">
        <v>-1.6136171582632454E-2</v>
      </c>
      <c r="G4359">
        <v>4357</v>
      </c>
      <c r="H4359">
        <f t="shared" ca="1" si="140"/>
        <v>-7.6105849432473952E-3</v>
      </c>
    </row>
    <row r="4360" spans="2:8" x14ac:dyDescent="0.3">
      <c r="B4360" s="113">
        <v>40207</v>
      </c>
      <c r="C4360">
        <v>82.92</v>
      </c>
      <c r="D4360">
        <f t="shared" si="139"/>
        <v>-0.68493046584086936</v>
      </c>
      <c r="E4360">
        <v>-1.6136687233032743E-2</v>
      </c>
      <c r="G4360">
        <v>4358</v>
      </c>
      <c r="H4360">
        <f t="shared" ca="1" si="140"/>
        <v>-1.6557760906873997E-2</v>
      </c>
    </row>
    <row r="4361" spans="2:8" x14ac:dyDescent="0.3">
      <c r="B4361" s="113">
        <v>44663</v>
      </c>
      <c r="C4361">
        <v>263.18</v>
      </c>
      <c r="D4361">
        <f t="shared" si="139"/>
        <v>0.29485854858548588</v>
      </c>
      <c r="E4361">
        <v>-1.614953271028035E-2</v>
      </c>
      <c r="G4361">
        <v>4359</v>
      </c>
      <c r="H4361">
        <f t="shared" ca="1" si="140"/>
        <v>4.9125783886191307E-3</v>
      </c>
    </row>
    <row r="4362" spans="2:8" x14ac:dyDescent="0.3">
      <c r="B4362" s="113">
        <v>44225</v>
      </c>
      <c r="C4362">
        <v>203.25</v>
      </c>
      <c r="D4362">
        <f t="shared" si="139"/>
        <v>-7.6652670637632715E-3</v>
      </c>
      <c r="E4362">
        <v>-1.6214908034849925E-2</v>
      </c>
      <c r="G4362">
        <v>4360</v>
      </c>
      <c r="H4362">
        <f t="shared" ca="1" si="140"/>
        <v>2.2722582606949549E-3</v>
      </c>
    </row>
    <row r="4363" spans="2:8" x14ac:dyDescent="0.3">
      <c r="B4363" s="113">
        <v>42389</v>
      </c>
      <c r="C4363">
        <v>204.82</v>
      </c>
      <c r="D4363">
        <f t="shared" si="139"/>
        <v>2.5289455547898001</v>
      </c>
      <c r="E4363">
        <v>-1.6234390009606126E-2</v>
      </c>
      <c r="G4363">
        <v>4361</v>
      </c>
      <c r="H4363">
        <f t="shared" ca="1" si="140"/>
        <v>4.4287290422949611E-3</v>
      </c>
    </row>
    <row r="4364" spans="2:8" x14ac:dyDescent="0.3">
      <c r="B4364" s="113">
        <v>38789</v>
      </c>
      <c r="C4364">
        <v>58.04</v>
      </c>
      <c r="D4364">
        <f t="shared" si="139"/>
        <v>7.8810408921933126E-2</v>
      </c>
      <c r="E4364">
        <v>-1.627118644067798E-2</v>
      </c>
      <c r="G4364">
        <v>4362</v>
      </c>
      <c r="H4364">
        <f t="shared" ca="1" si="140"/>
        <v>-1.0523554429338024E-2</v>
      </c>
    </row>
    <row r="4365" spans="2:8" x14ac:dyDescent="0.3">
      <c r="B4365" s="113">
        <v>39232</v>
      </c>
      <c r="C4365">
        <v>53.8</v>
      </c>
      <c r="D4365">
        <f t="shared" si="139"/>
        <v>0.17262423714036604</v>
      </c>
      <c r="E4365">
        <v>-1.6273541780947167E-2</v>
      </c>
      <c r="G4365">
        <v>4363</v>
      </c>
      <c r="H4365">
        <f t="shared" ca="1" si="140"/>
        <v>-3.3166543125534576E-2</v>
      </c>
    </row>
    <row r="4366" spans="2:8" x14ac:dyDescent="0.3">
      <c r="B4366" s="113">
        <v>38624</v>
      </c>
      <c r="C4366">
        <v>45.88</v>
      </c>
      <c r="D4366">
        <f t="shared" si="139"/>
        <v>-0.80249677141627207</v>
      </c>
      <c r="E4366">
        <v>-1.6295025728987951E-2</v>
      </c>
      <c r="G4366">
        <v>4364</v>
      </c>
      <c r="H4366">
        <f t="shared" ca="1" si="140"/>
        <v>1.3630100969854056E-2</v>
      </c>
    </row>
    <row r="4367" spans="2:8" x14ac:dyDescent="0.3">
      <c r="B4367" s="113">
        <v>42716</v>
      </c>
      <c r="C4367">
        <v>232.3</v>
      </c>
      <c r="D4367">
        <f t="shared" si="139"/>
        <v>4.2799706022221655E-3</v>
      </c>
      <c r="E4367">
        <v>-1.6303197120474251E-2</v>
      </c>
      <c r="G4367">
        <v>4365</v>
      </c>
      <c r="H4367">
        <f t="shared" ca="1" si="140"/>
        <v>7.0279858507887932E-3</v>
      </c>
    </row>
    <row r="4368" spans="2:8" x14ac:dyDescent="0.3">
      <c r="B4368" s="113">
        <v>41885</v>
      </c>
      <c r="C4368">
        <v>231.31</v>
      </c>
      <c r="D4368">
        <f t="shared" si="139"/>
        <v>0.77835011916660268</v>
      </c>
      <c r="E4368">
        <v>-1.6330002126302375E-2</v>
      </c>
      <c r="G4368">
        <v>4366</v>
      </c>
      <c r="H4368">
        <f t="shared" ca="1" si="140"/>
        <v>2.0384528634677587E-2</v>
      </c>
    </row>
    <row r="4369" spans="2:8" x14ac:dyDescent="0.3">
      <c r="B4369" s="113">
        <v>40869</v>
      </c>
      <c r="C4369">
        <v>130.07</v>
      </c>
      <c r="D4369">
        <f t="shared" si="139"/>
        <v>2.3854763144195728</v>
      </c>
      <c r="E4369">
        <v>-1.6335173561219062E-2</v>
      </c>
      <c r="G4369">
        <v>4367</v>
      </c>
      <c r="H4369">
        <f t="shared" ca="1" si="140"/>
        <v>-1.2826737644534568E-2</v>
      </c>
    </row>
    <row r="4370" spans="2:8" x14ac:dyDescent="0.3">
      <c r="B4370" s="113">
        <v>38551</v>
      </c>
      <c r="C4370">
        <v>38.42</v>
      </c>
      <c r="D4370">
        <f t="shared" si="139"/>
        <v>-0.76722205392305365</v>
      </c>
      <c r="E4370">
        <v>-1.6385048643113173E-2</v>
      </c>
      <c r="G4370">
        <v>4368</v>
      </c>
      <c r="H4370">
        <f t="shared" ca="1" si="140"/>
        <v>8.0439460748253939E-3</v>
      </c>
    </row>
    <row r="4371" spans="2:8" x14ac:dyDescent="0.3">
      <c r="B4371" s="113">
        <v>44119</v>
      </c>
      <c r="C4371">
        <v>165.05</v>
      </c>
      <c r="D4371">
        <f t="shared" si="139"/>
        <v>-0.28472372697724807</v>
      </c>
      <c r="E4371">
        <v>-1.6388557806912989E-2</v>
      </c>
      <c r="G4371">
        <v>4369</v>
      </c>
      <c r="H4371">
        <f t="shared" ca="1" si="140"/>
        <v>-8.0733757577260788E-3</v>
      </c>
    </row>
    <row r="4372" spans="2:8" x14ac:dyDescent="0.3">
      <c r="B4372" s="113">
        <v>43858</v>
      </c>
      <c r="C4372">
        <v>230.75</v>
      </c>
      <c r="D4372">
        <f t="shared" si="139"/>
        <v>-4.9237742068397157E-2</v>
      </c>
      <c r="E4372">
        <v>-1.6410912190963318E-2</v>
      </c>
      <c r="G4372">
        <v>4370</v>
      </c>
      <c r="H4372">
        <f t="shared" ca="1" si="140"/>
        <v>5.0009094895282274E-3</v>
      </c>
    </row>
    <row r="4373" spans="2:8" x14ac:dyDescent="0.3">
      <c r="B4373" s="113">
        <v>42741</v>
      </c>
      <c r="C4373">
        <v>242.7</v>
      </c>
      <c r="D4373">
        <f t="shared" si="139"/>
        <v>9.6634446397188043</v>
      </c>
      <c r="E4373">
        <v>-1.6413373860182417E-2</v>
      </c>
      <c r="G4373">
        <v>4371</v>
      </c>
      <c r="H4373">
        <f t="shared" ca="1" si="140"/>
        <v>1.2845170234145123E-2</v>
      </c>
    </row>
    <row r="4374" spans="2:8" x14ac:dyDescent="0.3">
      <c r="B4374" s="113">
        <v>38114</v>
      </c>
      <c r="C4374">
        <v>22.76</v>
      </c>
      <c r="D4374">
        <f t="shared" si="139"/>
        <v>0.58495821727019515</v>
      </c>
      <c r="E4374">
        <v>-1.6421780466724243E-2</v>
      </c>
      <c r="G4374">
        <v>4372</v>
      </c>
      <c r="H4374">
        <f t="shared" ca="1" si="140"/>
        <v>-1.6665489912541201E-2</v>
      </c>
    </row>
    <row r="4375" spans="2:8" x14ac:dyDescent="0.3">
      <c r="B4375" s="113">
        <v>37601</v>
      </c>
      <c r="C4375">
        <v>14.36</v>
      </c>
      <c r="D4375">
        <f t="shared" si="139"/>
        <v>-0.88509242218132356</v>
      </c>
      <c r="E4375">
        <v>-1.6438356164383577E-2</v>
      </c>
      <c r="G4375">
        <v>4373</v>
      </c>
      <c r="H4375">
        <f t="shared" ca="1" si="140"/>
        <v>-1.8115469849016897E-2</v>
      </c>
    </row>
    <row r="4376" spans="2:8" x14ac:dyDescent="0.3">
      <c r="B4376" s="113">
        <v>40812</v>
      </c>
      <c r="C4376">
        <v>124.97</v>
      </c>
      <c r="D4376">
        <f t="shared" si="139"/>
        <v>-0.36643852978453739</v>
      </c>
      <c r="E4376">
        <v>-1.6448921769242904E-2</v>
      </c>
      <c r="G4376">
        <v>4374</v>
      </c>
      <c r="H4376">
        <f t="shared" ca="1" si="140"/>
        <v>-2.4491485266947693E-2</v>
      </c>
    </row>
    <row r="4377" spans="2:8" x14ac:dyDescent="0.3">
      <c r="B4377" s="113">
        <v>43984</v>
      </c>
      <c r="C4377">
        <v>197.25</v>
      </c>
      <c r="D4377">
        <f t="shared" si="139"/>
        <v>-0.16454891994917406</v>
      </c>
      <c r="E4377">
        <v>-1.6454749439042689E-2</v>
      </c>
      <c r="G4377">
        <v>4375</v>
      </c>
      <c r="H4377">
        <f t="shared" ca="1" si="140"/>
        <v>1.3300783315314639E-2</v>
      </c>
    </row>
    <row r="4378" spans="2:8" x14ac:dyDescent="0.3">
      <c r="B4378" s="113">
        <v>43700</v>
      </c>
      <c r="C4378">
        <v>236.1</v>
      </c>
      <c r="D4378">
        <f t="shared" si="139"/>
        <v>12.631639722863742</v>
      </c>
      <c r="E4378">
        <v>-1.6454905228077556E-2</v>
      </c>
      <c r="G4378">
        <v>4376</v>
      </c>
      <c r="H4378">
        <f t="shared" ca="1" si="140"/>
        <v>9.0092722413756803E-3</v>
      </c>
    </row>
    <row r="4379" spans="2:8" x14ac:dyDescent="0.3">
      <c r="B4379" s="113">
        <v>37881</v>
      </c>
      <c r="C4379">
        <v>17.32</v>
      </c>
      <c r="D4379">
        <f t="shared" si="139"/>
        <v>-0.83793393842986819</v>
      </c>
      <c r="E4379">
        <v>-1.6467915956842657E-2</v>
      </c>
      <c r="G4379">
        <v>4377</v>
      </c>
      <c r="H4379">
        <f t="shared" ca="1" si="140"/>
        <v>4.6803318019150554E-3</v>
      </c>
    </row>
    <row r="4380" spans="2:8" x14ac:dyDescent="0.3">
      <c r="B4380" s="113">
        <v>40417</v>
      </c>
      <c r="C4380">
        <v>106.87</v>
      </c>
      <c r="D4380">
        <f t="shared" si="139"/>
        <v>0.6888432364096081</v>
      </c>
      <c r="E4380">
        <v>-1.6473403276274546E-2</v>
      </c>
      <c r="G4380">
        <v>4378</v>
      </c>
      <c r="H4380">
        <f t="shared" ca="1" si="140"/>
        <v>2.8287111392489999E-2</v>
      </c>
    </row>
    <row r="4381" spans="2:8" x14ac:dyDescent="0.3">
      <c r="B4381" s="113">
        <v>39346</v>
      </c>
      <c r="C4381">
        <v>63.28</v>
      </c>
      <c r="D4381">
        <f t="shared" si="139"/>
        <v>-0.73784074902643138</v>
      </c>
      <c r="E4381">
        <v>-1.6474976686353782E-2</v>
      </c>
      <c r="G4381">
        <v>4379</v>
      </c>
      <c r="H4381">
        <f t="shared" ca="1" si="140"/>
        <v>-1.4141592012616153E-2</v>
      </c>
    </row>
    <row r="4382" spans="2:8" x14ac:dyDescent="0.3">
      <c r="B4382" s="113">
        <v>41913</v>
      </c>
      <c r="C4382">
        <v>241.38</v>
      </c>
      <c r="D4382">
        <f t="shared" si="139"/>
        <v>16.618978102189782</v>
      </c>
      <c r="E4382">
        <v>-1.6501650165016549E-2</v>
      </c>
      <c r="G4382">
        <v>4380</v>
      </c>
      <c r="H4382">
        <f t="shared" ca="1" si="140"/>
        <v>-1.6420146442660901E-2</v>
      </c>
    </row>
    <row r="4383" spans="2:8" x14ac:dyDescent="0.3">
      <c r="B4383" s="113">
        <v>37558</v>
      </c>
      <c r="C4383">
        <v>13.7</v>
      </c>
      <c r="D4383">
        <f t="shared" si="139"/>
        <v>-0.93736856542013358</v>
      </c>
      <c r="E4383">
        <v>-1.6511127063890914E-2</v>
      </c>
      <c r="G4383">
        <v>4381</v>
      </c>
      <c r="H4383">
        <f t="shared" ca="1" si="140"/>
        <v>-3.1931630082017021E-2</v>
      </c>
    </row>
    <row r="4384" spans="2:8" x14ac:dyDescent="0.3">
      <c r="B4384" s="113">
        <v>42481</v>
      </c>
      <c r="C4384">
        <v>218.74</v>
      </c>
      <c r="D4384">
        <f t="shared" si="139"/>
        <v>1.9270707881707478</v>
      </c>
      <c r="E4384">
        <v>-1.6545274705511998E-2</v>
      </c>
      <c r="G4384">
        <v>4382</v>
      </c>
      <c r="H4384">
        <f t="shared" ca="1" si="140"/>
        <v>-3.0448508807146089E-3</v>
      </c>
    </row>
    <row r="4385" spans="2:8" x14ac:dyDescent="0.3">
      <c r="B4385" s="113">
        <v>40014</v>
      </c>
      <c r="C4385">
        <v>74.73</v>
      </c>
      <c r="D4385">
        <f t="shared" si="139"/>
        <v>0.21236210253082419</v>
      </c>
      <c r="E4385">
        <v>-1.6581129095933556E-2</v>
      </c>
      <c r="G4385">
        <v>4383</v>
      </c>
      <c r="H4385">
        <f t="shared" ca="1" si="140"/>
        <v>-1.6768484027179596E-3</v>
      </c>
    </row>
    <row r="4386" spans="2:8" x14ac:dyDescent="0.3">
      <c r="B4386" s="113">
        <v>38967</v>
      </c>
      <c r="C4386">
        <v>61.64</v>
      </c>
      <c r="D4386">
        <f t="shared" si="139"/>
        <v>-0.79582643259357411</v>
      </c>
      <c r="E4386">
        <v>-1.6592214422463291E-2</v>
      </c>
      <c r="G4386">
        <v>4384</v>
      </c>
      <c r="H4386">
        <f t="shared" ca="1" si="140"/>
        <v>1.7394048575003877E-2</v>
      </c>
    </row>
    <row r="4387" spans="2:8" x14ac:dyDescent="0.3">
      <c r="B4387" s="113">
        <v>43592</v>
      </c>
      <c r="C4387">
        <v>301.89999999999998</v>
      </c>
      <c r="D4387">
        <f t="shared" si="139"/>
        <v>21.198529411764703</v>
      </c>
      <c r="E4387">
        <v>-1.6612377850162941E-2</v>
      </c>
      <c r="G4387">
        <v>4385</v>
      </c>
      <c r="H4387">
        <f t="shared" ca="1" si="140"/>
        <v>9.9332263665759934E-3</v>
      </c>
    </row>
    <row r="4388" spans="2:8" x14ac:dyDescent="0.3">
      <c r="B4388" s="113">
        <v>37701</v>
      </c>
      <c r="C4388">
        <v>13.6</v>
      </c>
      <c r="D4388">
        <f t="shared" si="139"/>
        <v>-0.45094872830036337</v>
      </c>
      <c r="E4388">
        <v>-1.6630513376717313E-2</v>
      </c>
      <c r="G4388">
        <v>4386</v>
      </c>
      <c r="H4388">
        <f t="shared" ca="1" si="140"/>
        <v>2.5003531445666083E-2</v>
      </c>
    </row>
    <row r="4389" spans="2:8" x14ac:dyDescent="0.3">
      <c r="B4389" s="113">
        <v>38006</v>
      </c>
      <c r="C4389">
        <v>24.77</v>
      </c>
      <c r="D4389">
        <f t="shared" si="139"/>
        <v>-0.58383736559139787</v>
      </c>
      <c r="E4389">
        <v>-1.6673283048828966E-2</v>
      </c>
      <c r="G4389">
        <v>4387</v>
      </c>
      <c r="H4389">
        <f t="shared" ca="1" si="140"/>
        <v>3.0916697475559345E-2</v>
      </c>
    </row>
    <row r="4390" spans="2:8" x14ac:dyDescent="0.3">
      <c r="B4390" s="113">
        <v>39385</v>
      </c>
      <c r="C4390">
        <v>59.52</v>
      </c>
      <c r="D4390">
        <f t="shared" si="139"/>
        <v>-0.75359138894638789</v>
      </c>
      <c r="E4390">
        <v>-1.6685940855773962E-2</v>
      </c>
      <c r="G4390">
        <v>4388</v>
      </c>
      <c r="H4390">
        <f t="shared" ca="1" si="140"/>
        <v>2.3576277490894162E-2</v>
      </c>
    </row>
    <row r="4391" spans="2:8" x14ac:dyDescent="0.3">
      <c r="B4391" s="113">
        <v>43711</v>
      </c>
      <c r="C4391">
        <v>241.55</v>
      </c>
      <c r="D4391">
        <f t="shared" si="139"/>
        <v>1.3000629062696677E-2</v>
      </c>
      <c r="E4391">
        <v>-1.6690413189497228E-2</v>
      </c>
      <c r="G4391">
        <v>4389</v>
      </c>
      <c r="H4391">
        <f t="shared" ca="1" si="140"/>
        <v>1.6162519858824383E-2</v>
      </c>
    </row>
    <row r="4392" spans="2:8" x14ac:dyDescent="0.3">
      <c r="B4392" s="113">
        <v>44463</v>
      </c>
      <c r="C4392">
        <v>238.45</v>
      </c>
      <c r="D4392">
        <f t="shared" si="139"/>
        <v>0.10245503721854916</v>
      </c>
      <c r="E4392">
        <v>-1.6701030927835099E-2</v>
      </c>
      <c r="G4392">
        <v>4390</v>
      </c>
      <c r="H4392">
        <f t="shared" ca="1" si="140"/>
        <v>1.4133063164695625E-2</v>
      </c>
    </row>
    <row r="4393" spans="2:8" x14ac:dyDescent="0.3">
      <c r="B4393" s="113">
        <v>42222</v>
      </c>
      <c r="C4393">
        <v>216.29</v>
      </c>
      <c r="D4393">
        <f t="shared" si="139"/>
        <v>10.504787234042551</v>
      </c>
      <c r="E4393">
        <v>-1.6729554030095045E-2</v>
      </c>
      <c r="G4393">
        <v>4391</v>
      </c>
      <c r="H4393">
        <f t="shared" ca="1" si="140"/>
        <v>3.2331081954610492E-2</v>
      </c>
    </row>
    <row r="4394" spans="2:8" x14ac:dyDescent="0.3">
      <c r="B4394" s="113">
        <v>37937</v>
      </c>
      <c r="C4394">
        <v>18.8</v>
      </c>
      <c r="D4394">
        <f t="shared" si="139"/>
        <v>-0.6919547763395052</v>
      </c>
      <c r="E4394">
        <v>-1.673640167364018E-2</v>
      </c>
      <c r="G4394">
        <v>4392</v>
      </c>
      <c r="H4394">
        <f t="shared" ca="1" si="140"/>
        <v>8.2649929111310635E-3</v>
      </c>
    </row>
    <row r="4395" spans="2:8" x14ac:dyDescent="0.3">
      <c r="B4395" s="113">
        <v>38979</v>
      </c>
      <c r="C4395">
        <v>61.03</v>
      </c>
      <c r="D4395">
        <f t="shared" si="139"/>
        <v>-0.79791390728476819</v>
      </c>
      <c r="E4395">
        <v>-1.6755276300950524E-2</v>
      </c>
      <c r="G4395">
        <v>4393</v>
      </c>
      <c r="H4395">
        <f t="shared" ca="1" si="140"/>
        <v>-2.4694586843143265E-3</v>
      </c>
    </row>
    <row r="4396" spans="2:8" x14ac:dyDescent="0.3">
      <c r="B4396" s="113">
        <v>43360</v>
      </c>
      <c r="C4396">
        <v>302</v>
      </c>
      <c r="D4396">
        <f t="shared" si="139"/>
        <v>0.35913591359135921</v>
      </c>
      <c r="E4396">
        <v>-1.6767051929024834E-2</v>
      </c>
      <c r="G4396">
        <v>4394</v>
      </c>
      <c r="H4396">
        <f t="shared" ca="1" si="140"/>
        <v>-1.2365724181743672E-2</v>
      </c>
    </row>
    <row r="4397" spans="2:8" x14ac:dyDescent="0.3">
      <c r="B4397" s="113">
        <v>44278</v>
      </c>
      <c r="C4397">
        <v>222.2</v>
      </c>
      <c r="D4397">
        <f t="shared" si="139"/>
        <v>-0.13624878522837711</v>
      </c>
      <c r="E4397">
        <v>-1.681415929203545E-2</v>
      </c>
      <c r="G4397">
        <v>4395</v>
      </c>
      <c r="H4397">
        <f t="shared" ca="1" si="140"/>
        <v>-2.5360990063847927E-2</v>
      </c>
    </row>
    <row r="4398" spans="2:8" x14ac:dyDescent="0.3">
      <c r="B4398" s="113">
        <v>43742</v>
      </c>
      <c r="C4398">
        <v>257.25</v>
      </c>
      <c r="D4398">
        <f t="shared" si="139"/>
        <v>3.2746759720837488</v>
      </c>
      <c r="E4398">
        <v>-1.681635772979162E-2</v>
      </c>
      <c r="G4398">
        <v>4396</v>
      </c>
      <c r="H4398">
        <f t="shared" ca="1" si="140"/>
        <v>9.9785106184414329E-3</v>
      </c>
    </row>
    <row r="4399" spans="2:8" x14ac:dyDescent="0.3">
      <c r="B4399" s="113">
        <v>38904</v>
      </c>
      <c r="C4399">
        <v>60.18</v>
      </c>
      <c r="D4399">
        <f t="shared" si="139"/>
        <v>-0.73570487483530955</v>
      </c>
      <c r="E4399">
        <v>-1.6827315798072229E-2</v>
      </c>
      <c r="G4399">
        <v>4397</v>
      </c>
      <c r="H4399">
        <f t="shared" ca="1" si="140"/>
        <v>1.1062810770609338E-2</v>
      </c>
    </row>
    <row r="4400" spans="2:8" x14ac:dyDescent="0.3">
      <c r="B4400" s="113">
        <v>44524</v>
      </c>
      <c r="C4400">
        <v>227.7</v>
      </c>
      <c r="D4400">
        <f t="shared" si="139"/>
        <v>2.6449495757963821</v>
      </c>
      <c r="E4400">
        <v>-1.6839378238341994E-2</v>
      </c>
      <c r="G4400">
        <v>4398</v>
      </c>
      <c r="H4400">
        <f t="shared" ca="1" si="140"/>
        <v>-1.5081142463721922E-3</v>
      </c>
    </row>
    <row r="4401" spans="2:8" x14ac:dyDescent="0.3">
      <c r="B4401" s="113">
        <v>39920</v>
      </c>
      <c r="C4401">
        <v>62.47</v>
      </c>
      <c r="D4401">
        <f t="shared" si="139"/>
        <v>-0.71815926009474396</v>
      </c>
      <c r="E4401">
        <v>-1.6839785961598998E-2</v>
      </c>
      <c r="G4401">
        <v>4399</v>
      </c>
      <c r="H4401">
        <f t="shared" ca="1" si="140"/>
        <v>-2.7852856975429944E-2</v>
      </c>
    </row>
    <row r="4402" spans="2:8" x14ac:dyDescent="0.3">
      <c r="B4402" s="113">
        <v>44533</v>
      </c>
      <c r="C4402">
        <v>221.65</v>
      </c>
      <c r="D4402">
        <f t="shared" si="139"/>
        <v>2.3111741858380643</v>
      </c>
      <c r="E4402">
        <v>-1.6855178531825162E-2</v>
      </c>
      <c r="G4402">
        <v>4400</v>
      </c>
      <c r="H4402">
        <f t="shared" ca="1" si="140"/>
        <v>-1.8377259045839985E-2</v>
      </c>
    </row>
    <row r="4403" spans="2:8" x14ac:dyDescent="0.3">
      <c r="B4403" s="113">
        <v>39498</v>
      </c>
      <c r="C4403">
        <v>66.94</v>
      </c>
      <c r="D4403">
        <f t="shared" si="139"/>
        <v>0.47509916262670765</v>
      </c>
      <c r="E4403">
        <v>-1.6889411073579171E-2</v>
      </c>
      <c r="G4403">
        <v>4401</v>
      </c>
      <c r="H4403">
        <f t="shared" ca="1" si="140"/>
        <v>3.375224513209648E-2</v>
      </c>
    </row>
    <row r="4404" spans="2:8" x14ac:dyDescent="0.3">
      <c r="B4404" s="113">
        <v>38685</v>
      </c>
      <c r="C4404">
        <v>45.38</v>
      </c>
      <c r="D4404">
        <f t="shared" si="139"/>
        <v>-0.79173932996787522</v>
      </c>
      <c r="E4404">
        <v>-1.6897746967070928E-2</v>
      </c>
      <c r="G4404">
        <v>4402</v>
      </c>
      <c r="H4404">
        <f t="shared" ca="1" si="140"/>
        <v>3.3576435505736198E-2</v>
      </c>
    </row>
    <row r="4405" spans="2:8" x14ac:dyDescent="0.3">
      <c r="B4405" s="113">
        <v>44536</v>
      </c>
      <c r="C4405">
        <v>217.9</v>
      </c>
      <c r="D4405">
        <f t="shared" si="139"/>
        <v>3.0820532034469839</v>
      </c>
      <c r="E4405">
        <v>-1.6918565305662079E-2</v>
      </c>
      <c r="G4405">
        <v>4403</v>
      </c>
      <c r="H4405">
        <f t="shared" ca="1" si="140"/>
        <v>2.0233397379922077E-2</v>
      </c>
    </row>
    <row r="4406" spans="2:8" x14ac:dyDescent="0.3">
      <c r="B4406" s="113">
        <v>39234</v>
      </c>
      <c r="C4406">
        <v>53.38</v>
      </c>
      <c r="D4406">
        <f t="shared" si="139"/>
        <v>-0.61455700772618971</v>
      </c>
      <c r="E4406">
        <v>-1.6942909760589219E-2</v>
      </c>
      <c r="G4406">
        <v>4404</v>
      </c>
      <c r="H4406">
        <f t="shared" ca="1" si="140"/>
        <v>-6.0812362921727056E-3</v>
      </c>
    </row>
    <row r="4407" spans="2:8" x14ac:dyDescent="0.3">
      <c r="B4407" s="113">
        <v>40983</v>
      </c>
      <c r="C4407">
        <v>138.49</v>
      </c>
      <c r="D4407">
        <f t="shared" si="139"/>
        <v>1.322488680194533</v>
      </c>
      <c r="E4407">
        <v>-1.6964792731402514E-2</v>
      </c>
      <c r="G4407">
        <v>4405</v>
      </c>
      <c r="H4407">
        <f t="shared" ca="1" si="140"/>
        <v>-9.5419594386819788E-3</v>
      </c>
    </row>
    <row r="4408" spans="2:8" x14ac:dyDescent="0.3">
      <c r="B4408" s="113">
        <v>39631</v>
      </c>
      <c r="C4408">
        <v>59.63</v>
      </c>
      <c r="D4408">
        <f t="shared" si="139"/>
        <v>-0.71715207285836258</v>
      </c>
      <c r="E4408">
        <v>-1.6979887899769109E-2</v>
      </c>
      <c r="G4408">
        <v>4406</v>
      </c>
      <c r="H4408">
        <f t="shared" ca="1" si="140"/>
        <v>6.8202213248770146E-3</v>
      </c>
    </row>
    <row r="4409" spans="2:8" x14ac:dyDescent="0.3">
      <c r="B4409" s="113">
        <v>42501</v>
      </c>
      <c r="C4409">
        <v>210.82</v>
      </c>
      <c r="D4409">
        <f t="shared" si="139"/>
        <v>9.0354279803465221E-2</v>
      </c>
      <c r="E4409">
        <v>-1.7018697253695182E-2</v>
      </c>
      <c r="G4409">
        <v>4407</v>
      </c>
      <c r="H4409">
        <f t="shared" ca="1" si="140"/>
        <v>2.9374416713404052E-2</v>
      </c>
    </row>
    <row r="4410" spans="2:8" x14ac:dyDescent="0.3">
      <c r="B4410" s="113">
        <v>44042</v>
      </c>
      <c r="C4410">
        <v>193.35</v>
      </c>
      <c r="D4410">
        <f t="shared" si="139"/>
        <v>-0.26672481796116509</v>
      </c>
      <c r="E4410">
        <v>-1.7031011692933373E-2</v>
      </c>
      <c r="G4410">
        <v>4408</v>
      </c>
      <c r="H4410">
        <f t="shared" ca="1" si="140"/>
        <v>4.4008092754088915E-2</v>
      </c>
    </row>
    <row r="4411" spans="2:8" x14ac:dyDescent="0.3">
      <c r="B4411" s="113">
        <v>44734</v>
      </c>
      <c r="C4411">
        <v>263.68</v>
      </c>
      <c r="D4411">
        <f t="shared" si="139"/>
        <v>1.5535541351927176</v>
      </c>
      <c r="E4411">
        <v>-1.7036346691519079E-2</v>
      </c>
      <c r="G4411">
        <v>4409</v>
      </c>
      <c r="H4411">
        <f t="shared" ca="1" si="140"/>
        <v>1.2718932072610212E-2</v>
      </c>
    </row>
    <row r="4412" spans="2:8" x14ac:dyDescent="0.3">
      <c r="B4412" s="113">
        <v>40592</v>
      </c>
      <c r="C4412">
        <v>103.26</v>
      </c>
      <c r="D4412">
        <f t="shared" si="139"/>
        <v>-0.16685492980474417</v>
      </c>
      <c r="E4412">
        <v>-1.7039504997620105E-2</v>
      </c>
      <c r="G4412">
        <v>4410</v>
      </c>
      <c r="H4412">
        <f t="shared" ca="1" si="140"/>
        <v>-3.173684205524102E-3</v>
      </c>
    </row>
    <row r="4413" spans="2:8" x14ac:dyDescent="0.3">
      <c r="B4413" s="113">
        <v>40687</v>
      </c>
      <c r="C4413">
        <v>123.94</v>
      </c>
      <c r="D4413">
        <f t="shared" si="139"/>
        <v>0.99260450160771696</v>
      </c>
      <c r="E4413">
        <v>-1.7051312554524592E-2</v>
      </c>
      <c r="G4413">
        <v>4411</v>
      </c>
      <c r="H4413">
        <f t="shared" ca="1" si="140"/>
        <v>2.0156655042744012E-2</v>
      </c>
    </row>
    <row r="4414" spans="2:8" x14ac:dyDescent="0.3">
      <c r="B4414" s="113">
        <v>39349</v>
      </c>
      <c r="C4414">
        <v>62.2</v>
      </c>
      <c r="D4414">
        <f t="shared" si="139"/>
        <v>-0.73651882916084221</v>
      </c>
      <c r="E4414">
        <v>-1.7067003792667481E-2</v>
      </c>
      <c r="G4414">
        <v>4412</v>
      </c>
      <c r="H4414">
        <f t="shared" ca="1" si="140"/>
        <v>1.2111946128294821E-2</v>
      </c>
    </row>
    <row r="4415" spans="2:8" x14ac:dyDescent="0.3">
      <c r="B4415" s="113">
        <v>42545</v>
      </c>
      <c r="C4415">
        <v>236.07</v>
      </c>
      <c r="D4415">
        <f t="shared" si="139"/>
        <v>0.49175355450236963</v>
      </c>
      <c r="E4415">
        <v>-1.707124120414704E-2</v>
      </c>
      <c r="G4415">
        <v>4413</v>
      </c>
      <c r="H4415">
        <f t="shared" ca="1" si="140"/>
        <v>-1.3258775989422723E-2</v>
      </c>
    </row>
    <row r="4416" spans="2:8" x14ac:dyDescent="0.3">
      <c r="B4416" s="113">
        <v>43959</v>
      </c>
      <c r="C4416">
        <v>158.25</v>
      </c>
      <c r="D4416">
        <f t="shared" si="139"/>
        <v>1.6699848152522352</v>
      </c>
      <c r="E4416">
        <v>-1.7080745341614908E-2</v>
      </c>
      <c r="G4416">
        <v>4414</v>
      </c>
      <c r="H4416">
        <f t="shared" ca="1" si="140"/>
        <v>2.0367061793210555E-2</v>
      </c>
    </row>
    <row r="4417" spans="2:8" x14ac:dyDescent="0.3">
      <c r="B4417" s="113">
        <v>38952</v>
      </c>
      <c r="C4417">
        <v>59.27</v>
      </c>
      <c r="D4417">
        <f t="shared" si="139"/>
        <v>3.2980420594633797</v>
      </c>
      <c r="E4417">
        <v>-1.7081260364842355E-2</v>
      </c>
      <c r="G4417">
        <v>4415</v>
      </c>
      <c r="H4417">
        <f t="shared" ca="1" si="140"/>
        <v>2.3169998606313358E-2</v>
      </c>
    </row>
    <row r="4418" spans="2:8" x14ac:dyDescent="0.3">
      <c r="B4418" s="113">
        <v>37697</v>
      </c>
      <c r="C4418">
        <v>13.79</v>
      </c>
      <c r="D4418">
        <f t="shared" si="139"/>
        <v>0</v>
      </c>
      <c r="E4418">
        <v>-1.710620099786174E-2</v>
      </c>
      <c r="G4418">
        <v>4416</v>
      </c>
      <c r="H4418">
        <f t="shared" ca="1" si="140"/>
        <v>2.7130738434468945E-2</v>
      </c>
    </row>
    <row r="4419" spans="2:8" x14ac:dyDescent="0.3">
      <c r="B4419" s="113">
        <v>37587</v>
      </c>
      <c r="C4419">
        <v>13.79</v>
      </c>
      <c r="D4419">
        <f t="shared" ref="D4419:D4482" si="141">(C4419-C4420)/C4420</f>
        <v>-0.94994555353901988</v>
      </c>
      <c r="E4419">
        <v>-1.710620099786174E-2</v>
      </c>
      <c r="G4419">
        <v>4417</v>
      </c>
      <c r="H4419">
        <f t="shared" ca="1" si="140"/>
        <v>-1.9759445630977774E-2</v>
      </c>
    </row>
    <row r="4420" spans="2:8" x14ac:dyDescent="0.3">
      <c r="B4420" s="113">
        <v>43504</v>
      </c>
      <c r="C4420">
        <v>275.5</v>
      </c>
      <c r="D4420">
        <f t="shared" si="141"/>
        <v>-3.3807953987514856E-2</v>
      </c>
      <c r="E4420">
        <v>-1.7124509454156302E-2</v>
      </c>
      <c r="G4420">
        <v>4418</v>
      </c>
      <c r="H4420">
        <f t="shared" ref="H4420:H4483" ca="1" si="142">_xlfn.NORM.INV(RAND(),$L$4,$L$6)</f>
        <v>9.6612759149422873E-3</v>
      </c>
    </row>
    <row r="4421" spans="2:8" x14ac:dyDescent="0.3">
      <c r="B4421" s="113">
        <v>44747</v>
      </c>
      <c r="C4421">
        <v>285.14</v>
      </c>
      <c r="D4421">
        <f t="shared" si="141"/>
        <v>0.29168742921857299</v>
      </c>
      <c r="E4421">
        <v>-1.7131432904760355E-2</v>
      </c>
      <c r="G4421">
        <v>4419</v>
      </c>
      <c r="H4421">
        <f t="shared" ca="1" si="142"/>
        <v>-2.0158541668092927E-2</v>
      </c>
    </row>
    <row r="4422" spans="2:8" x14ac:dyDescent="0.3">
      <c r="B4422" s="113">
        <v>44579</v>
      </c>
      <c r="C4422">
        <v>220.75</v>
      </c>
      <c r="D4422">
        <f t="shared" si="141"/>
        <v>12.753894080996883</v>
      </c>
      <c r="E4422">
        <v>-1.7141585040071215E-2</v>
      </c>
      <c r="G4422">
        <v>4420</v>
      </c>
      <c r="H4422">
        <f t="shared" ca="1" si="142"/>
        <v>3.5474236860346679E-3</v>
      </c>
    </row>
    <row r="4423" spans="2:8" x14ac:dyDescent="0.3">
      <c r="B4423" s="113">
        <v>37832</v>
      </c>
      <c r="C4423">
        <v>16.05</v>
      </c>
      <c r="D4423">
        <f t="shared" si="141"/>
        <v>-0.87368172516921139</v>
      </c>
      <c r="E4423">
        <v>-1.7146356399265011E-2</v>
      </c>
      <c r="G4423">
        <v>4421</v>
      </c>
      <c r="H4423">
        <f t="shared" ca="1" si="142"/>
        <v>1.1006277272075539E-2</v>
      </c>
    </row>
    <row r="4424" spans="2:8" x14ac:dyDescent="0.3">
      <c r="B4424" s="113">
        <v>40704</v>
      </c>
      <c r="C4424">
        <v>127.06</v>
      </c>
      <c r="D4424">
        <f t="shared" si="141"/>
        <v>-0.52677839851024211</v>
      </c>
      <c r="E4424">
        <v>-1.7172029702970288E-2</v>
      </c>
      <c r="G4424">
        <v>4422</v>
      </c>
      <c r="H4424">
        <f t="shared" ca="1" si="142"/>
        <v>-5.7138762254120064E-3</v>
      </c>
    </row>
    <row r="4425" spans="2:8" x14ac:dyDescent="0.3">
      <c r="B4425" s="113">
        <v>43382</v>
      </c>
      <c r="C4425">
        <v>268.5</v>
      </c>
      <c r="D4425">
        <f t="shared" si="141"/>
        <v>7.4543421543044584E-4</v>
      </c>
      <c r="E4425">
        <v>-1.7203513909223971E-2</v>
      </c>
      <c r="G4425">
        <v>4423</v>
      </c>
      <c r="H4425">
        <f t="shared" ca="1" si="142"/>
        <v>3.9457635898049823E-3</v>
      </c>
    </row>
    <row r="4426" spans="2:8" x14ac:dyDescent="0.3">
      <c r="B4426" s="113">
        <v>43665</v>
      </c>
      <c r="C4426">
        <v>268.3</v>
      </c>
      <c r="D4426">
        <f t="shared" si="141"/>
        <v>4.6663146779303064</v>
      </c>
      <c r="E4426">
        <v>-1.7216117216117176E-2</v>
      </c>
      <c r="G4426">
        <v>4424</v>
      </c>
      <c r="H4426">
        <f t="shared" ca="1" si="142"/>
        <v>1.3112729318348891E-2</v>
      </c>
    </row>
    <row r="4427" spans="2:8" x14ac:dyDescent="0.3">
      <c r="B4427" s="113">
        <v>38727</v>
      </c>
      <c r="C4427">
        <v>47.35</v>
      </c>
      <c r="D4427">
        <f t="shared" si="141"/>
        <v>2.1971640783254558</v>
      </c>
      <c r="E4427">
        <v>-1.7227065172270618E-2</v>
      </c>
      <c r="G4427">
        <v>4425</v>
      </c>
      <c r="H4427">
        <f t="shared" ca="1" si="142"/>
        <v>2.3513846669649237E-2</v>
      </c>
    </row>
    <row r="4428" spans="2:8" x14ac:dyDescent="0.3">
      <c r="B4428" s="113">
        <v>37635</v>
      </c>
      <c r="C4428">
        <v>14.81</v>
      </c>
      <c r="D4428">
        <f t="shared" si="141"/>
        <v>-0.92811028590845102</v>
      </c>
      <c r="E4428">
        <v>-1.7252820172528188E-2</v>
      </c>
      <c r="G4428">
        <v>4426</v>
      </c>
      <c r="H4428">
        <f t="shared" ca="1" si="142"/>
        <v>1.6973267855158222E-2</v>
      </c>
    </row>
    <row r="4429" spans="2:8" x14ac:dyDescent="0.3">
      <c r="B4429" s="113">
        <v>41604</v>
      </c>
      <c r="C4429">
        <v>206.01</v>
      </c>
      <c r="D4429">
        <f t="shared" si="141"/>
        <v>12.412109374999998</v>
      </c>
      <c r="E4429">
        <v>-1.7268520726995203E-2</v>
      </c>
      <c r="G4429">
        <v>4427</v>
      </c>
      <c r="H4429">
        <f t="shared" ca="1" si="142"/>
        <v>-3.9351911024255797E-4</v>
      </c>
    </row>
    <row r="4430" spans="2:8" x14ac:dyDescent="0.3">
      <c r="B4430" s="113">
        <v>37447</v>
      </c>
      <c r="C4430">
        <v>15.36</v>
      </c>
      <c r="D4430">
        <f t="shared" si="141"/>
        <v>-0.93791430881164117</v>
      </c>
      <c r="E4430">
        <v>-1.7274472168906034E-2</v>
      </c>
      <c r="G4430">
        <v>4428</v>
      </c>
      <c r="H4430">
        <f t="shared" ca="1" si="142"/>
        <v>-1.2767160034108355E-2</v>
      </c>
    </row>
    <row r="4431" spans="2:8" x14ac:dyDescent="0.3">
      <c r="B4431" s="113">
        <v>42578</v>
      </c>
      <c r="C4431">
        <v>247.4</v>
      </c>
      <c r="D4431">
        <f t="shared" si="141"/>
        <v>7.5398688298239565</v>
      </c>
      <c r="E4431">
        <v>-1.7279046673286967E-2</v>
      </c>
      <c r="G4431">
        <v>4429</v>
      </c>
      <c r="H4431">
        <f t="shared" ca="1" si="142"/>
        <v>3.535594277617754E-2</v>
      </c>
    </row>
    <row r="4432" spans="2:8" x14ac:dyDescent="0.3">
      <c r="B4432" s="113">
        <v>38429</v>
      </c>
      <c r="C4432">
        <v>28.97</v>
      </c>
      <c r="D4432">
        <f t="shared" si="141"/>
        <v>-0.87273206519351576</v>
      </c>
      <c r="E4432">
        <v>-1.7299864314789741E-2</v>
      </c>
      <c r="G4432">
        <v>4430</v>
      </c>
      <c r="H4432">
        <f t="shared" ca="1" si="142"/>
        <v>1.2443606762946202E-2</v>
      </c>
    </row>
    <row r="4433" spans="2:8" x14ac:dyDescent="0.3">
      <c r="B4433" s="113">
        <v>42341</v>
      </c>
      <c r="C4433">
        <v>227.63</v>
      </c>
      <c r="D4433">
        <f t="shared" si="141"/>
        <v>2.5830316385959389</v>
      </c>
      <c r="E4433">
        <v>-1.7311345190813291E-2</v>
      </c>
      <c r="G4433">
        <v>4431</v>
      </c>
      <c r="H4433">
        <f t="shared" ca="1" si="142"/>
        <v>-2.0842322625348565E-2</v>
      </c>
    </row>
    <row r="4434" spans="2:8" x14ac:dyDescent="0.3">
      <c r="B4434" s="113">
        <v>39702</v>
      </c>
      <c r="C4434">
        <v>63.53</v>
      </c>
      <c r="D4434">
        <f t="shared" si="141"/>
        <v>-0.24780961401847021</v>
      </c>
      <c r="E4434">
        <v>-1.7324052590874005E-2</v>
      </c>
      <c r="G4434">
        <v>4432</v>
      </c>
      <c r="H4434">
        <f t="shared" ca="1" si="142"/>
        <v>2.1598243618806873E-2</v>
      </c>
    </row>
    <row r="4435" spans="2:8" x14ac:dyDescent="0.3">
      <c r="B4435" s="113">
        <v>40116</v>
      </c>
      <c r="C4435">
        <v>84.46</v>
      </c>
      <c r="D4435">
        <f t="shared" si="141"/>
        <v>0.35504572437028714</v>
      </c>
      <c r="E4435">
        <v>-1.7335660267597544E-2</v>
      </c>
      <c r="G4435">
        <v>4433</v>
      </c>
      <c r="H4435">
        <f t="shared" ca="1" si="142"/>
        <v>8.6048470119915697E-3</v>
      </c>
    </row>
    <row r="4436" spans="2:8" x14ac:dyDescent="0.3">
      <c r="B4436" s="113">
        <v>39946</v>
      </c>
      <c r="C4436">
        <v>62.33</v>
      </c>
      <c r="D4436">
        <f t="shared" si="141"/>
        <v>0</v>
      </c>
      <c r="E4436">
        <v>-1.7341951757843314E-2</v>
      </c>
      <c r="G4436">
        <v>4434</v>
      </c>
      <c r="H4436">
        <f t="shared" ca="1" si="142"/>
        <v>2.6650593997583308E-2</v>
      </c>
    </row>
    <row r="4437" spans="2:8" x14ac:dyDescent="0.3">
      <c r="B4437" s="113">
        <v>39721</v>
      </c>
      <c r="C4437">
        <v>62.33</v>
      </c>
      <c r="D4437">
        <f t="shared" si="141"/>
        <v>0.18340611353711783</v>
      </c>
      <c r="E4437">
        <v>-1.7341951757843314E-2</v>
      </c>
      <c r="G4437">
        <v>4435</v>
      </c>
      <c r="H4437">
        <f t="shared" ca="1" si="142"/>
        <v>-1.8096298955892886E-2</v>
      </c>
    </row>
    <row r="4438" spans="2:8" x14ac:dyDescent="0.3">
      <c r="B4438" s="113">
        <v>39738</v>
      </c>
      <c r="C4438">
        <v>52.67</v>
      </c>
      <c r="D4438">
        <f t="shared" si="141"/>
        <v>-0.81746664356264076</v>
      </c>
      <c r="E4438">
        <v>-1.7350746268656712E-2</v>
      </c>
      <c r="G4438">
        <v>4436</v>
      </c>
      <c r="H4438">
        <f t="shared" ca="1" si="142"/>
        <v>3.511863500306181E-2</v>
      </c>
    </row>
    <row r="4439" spans="2:8" x14ac:dyDescent="0.3">
      <c r="B4439" s="113">
        <v>42943</v>
      </c>
      <c r="C4439">
        <v>288.55</v>
      </c>
      <c r="D4439">
        <f t="shared" si="141"/>
        <v>10.593009240658899</v>
      </c>
      <c r="E4439">
        <v>-1.7367614507066122E-2</v>
      </c>
      <c r="G4439">
        <v>4437</v>
      </c>
      <c r="H4439">
        <f t="shared" ca="1" si="142"/>
        <v>-2.2280970501230048E-2</v>
      </c>
    </row>
    <row r="4440" spans="2:8" x14ac:dyDescent="0.3">
      <c r="B4440" s="113">
        <v>38266</v>
      </c>
      <c r="C4440">
        <v>24.89</v>
      </c>
      <c r="D4440">
        <f t="shared" si="141"/>
        <v>-0.8929324213877059</v>
      </c>
      <c r="E4440">
        <v>-1.7370706671930428E-2</v>
      </c>
      <c r="G4440">
        <v>4438</v>
      </c>
      <c r="H4440">
        <f t="shared" ca="1" si="142"/>
        <v>1.1168797600263312E-3</v>
      </c>
    </row>
    <row r="4441" spans="2:8" x14ac:dyDescent="0.3">
      <c r="B4441" s="113">
        <v>41869</v>
      </c>
      <c r="C4441">
        <v>232.47</v>
      </c>
      <c r="D4441">
        <f t="shared" si="141"/>
        <v>-0.1518788763225101</v>
      </c>
      <c r="E4441">
        <v>-1.7372558965254938E-2</v>
      </c>
      <c r="G4441">
        <v>4439</v>
      </c>
      <c r="H4441">
        <f t="shared" ca="1" si="142"/>
        <v>-4.5184206680105865E-3</v>
      </c>
    </row>
    <row r="4442" spans="2:8" x14ac:dyDescent="0.3">
      <c r="B4442" s="113">
        <v>42831</v>
      </c>
      <c r="C4442">
        <v>274.10000000000002</v>
      </c>
      <c r="D4442">
        <f t="shared" si="141"/>
        <v>7.8709169618260647E-2</v>
      </c>
      <c r="E4442">
        <v>-1.7386628428033575E-2</v>
      </c>
      <c r="G4442">
        <v>4440</v>
      </c>
      <c r="H4442">
        <f t="shared" ca="1" si="142"/>
        <v>-3.4253196400081212E-3</v>
      </c>
    </row>
    <row r="4443" spans="2:8" x14ac:dyDescent="0.3">
      <c r="B4443" s="113">
        <v>44697</v>
      </c>
      <c r="C4443">
        <v>254.1</v>
      </c>
      <c r="D4443">
        <f t="shared" si="141"/>
        <v>3.059105431309904</v>
      </c>
      <c r="E4443">
        <v>-1.7401392111369016E-2</v>
      </c>
      <c r="G4443">
        <v>4441</v>
      </c>
      <c r="H4443">
        <f t="shared" ca="1" si="142"/>
        <v>1.0263992083913818E-2</v>
      </c>
    </row>
    <row r="4444" spans="2:8" x14ac:dyDescent="0.3">
      <c r="B4444" s="113">
        <v>38820</v>
      </c>
      <c r="C4444">
        <v>62.6</v>
      </c>
      <c r="D4444">
        <f t="shared" si="141"/>
        <v>3.1211323238973012</v>
      </c>
      <c r="E4444">
        <v>-1.7422696593941286E-2</v>
      </c>
      <c r="G4444">
        <v>4442</v>
      </c>
      <c r="H4444">
        <f t="shared" ca="1" si="142"/>
        <v>7.3164658570706066E-3</v>
      </c>
    </row>
    <row r="4445" spans="2:8" x14ac:dyDescent="0.3">
      <c r="B4445" s="113">
        <v>37501</v>
      </c>
      <c r="C4445">
        <v>15.19</v>
      </c>
      <c r="D4445">
        <f t="shared" si="141"/>
        <v>8.0369843527738197E-2</v>
      </c>
      <c r="E4445">
        <v>-1.746442432082803E-2</v>
      </c>
      <c r="G4445">
        <v>4443</v>
      </c>
      <c r="H4445">
        <f t="shared" ca="1" si="142"/>
        <v>8.8481552622482959E-3</v>
      </c>
    </row>
    <row r="4446" spans="2:8" x14ac:dyDescent="0.3">
      <c r="B4446" s="113">
        <v>37553</v>
      </c>
      <c r="C4446">
        <v>14.06</v>
      </c>
      <c r="D4446">
        <f t="shared" si="141"/>
        <v>-0.93149817295980508</v>
      </c>
      <c r="E4446">
        <v>-1.7470300489168412E-2</v>
      </c>
      <c r="G4446">
        <v>4444</v>
      </c>
      <c r="H4446">
        <f t="shared" ca="1" si="142"/>
        <v>5.0831555832228517E-3</v>
      </c>
    </row>
    <row r="4447" spans="2:8" x14ac:dyDescent="0.3">
      <c r="B4447" s="113">
        <v>42376</v>
      </c>
      <c r="C4447">
        <v>205.25</v>
      </c>
      <c r="D4447">
        <f t="shared" si="141"/>
        <v>-0.10838401390095564</v>
      </c>
      <c r="E4447">
        <v>-1.7472474868358092E-2</v>
      </c>
      <c r="G4447">
        <v>4445</v>
      </c>
      <c r="H4447">
        <f t="shared" ca="1" si="142"/>
        <v>1.0513345678879547E-3</v>
      </c>
    </row>
    <row r="4448" spans="2:8" x14ac:dyDescent="0.3">
      <c r="B4448" s="113">
        <v>44599</v>
      </c>
      <c r="C4448">
        <v>230.2</v>
      </c>
      <c r="D4448">
        <f t="shared" si="141"/>
        <v>-0.19454163750874745</v>
      </c>
      <c r="E4448">
        <v>-1.7498932991890835E-2</v>
      </c>
      <c r="G4448">
        <v>4446</v>
      </c>
      <c r="H4448">
        <f t="shared" ca="1" si="142"/>
        <v>-1.5984068742667144E-2</v>
      </c>
    </row>
    <row r="4449" spans="2:8" x14ac:dyDescent="0.3">
      <c r="B4449" s="113">
        <v>42852</v>
      </c>
      <c r="C4449">
        <v>285.8</v>
      </c>
      <c r="D4449">
        <f t="shared" si="141"/>
        <v>4.0512548603746916</v>
      </c>
      <c r="E4449">
        <v>-1.753179786868328E-2</v>
      </c>
      <c r="G4449">
        <v>4447</v>
      </c>
      <c r="H4449">
        <f t="shared" ca="1" si="142"/>
        <v>-7.1916439398058921E-3</v>
      </c>
    </row>
    <row r="4450" spans="2:8" x14ac:dyDescent="0.3">
      <c r="B4450" s="113">
        <v>39393</v>
      </c>
      <c r="C4450">
        <v>56.58</v>
      </c>
      <c r="D4450">
        <f t="shared" si="141"/>
        <v>-0.74045871559633036</v>
      </c>
      <c r="E4450">
        <v>-1.7537766973432976E-2</v>
      </c>
      <c r="G4450">
        <v>4448</v>
      </c>
      <c r="H4450">
        <f t="shared" ca="1" si="142"/>
        <v>3.3140112930715962E-2</v>
      </c>
    </row>
    <row r="4451" spans="2:8" x14ac:dyDescent="0.3">
      <c r="B4451" s="113">
        <v>44613</v>
      </c>
      <c r="C4451">
        <v>218</v>
      </c>
      <c r="D4451">
        <f t="shared" si="141"/>
        <v>-4.8034934497816595E-2</v>
      </c>
      <c r="E4451">
        <v>-1.7575484452456085E-2</v>
      </c>
      <c r="G4451">
        <v>4449</v>
      </c>
      <c r="H4451">
        <f t="shared" ca="1" si="142"/>
        <v>2.1983351059123146E-2</v>
      </c>
    </row>
    <row r="4452" spans="2:8" x14ac:dyDescent="0.3">
      <c r="B4452" s="113">
        <v>44236</v>
      </c>
      <c r="C4452">
        <v>229</v>
      </c>
      <c r="D4452">
        <f t="shared" si="141"/>
        <v>3.2739828294139608</v>
      </c>
      <c r="E4452">
        <v>-1.7589017589017566E-2</v>
      </c>
      <c r="G4452">
        <v>4450</v>
      </c>
      <c r="H4452">
        <f t="shared" ca="1" si="142"/>
        <v>5.0711030203636149E-3</v>
      </c>
    </row>
    <row r="4453" spans="2:8" x14ac:dyDescent="0.3">
      <c r="B4453" s="113">
        <v>38888</v>
      </c>
      <c r="C4453">
        <v>53.58</v>
      </c>
      <c r="D4453">
        <f t="shared" si="141"/>
        <v>-0.70888345558272214</v>
      </c>
      <c r="E4453">
        <v>-1.7601760176017618E-2</v>
      </c>
      <c r="G4453">
        <v>4451</v>
      </c>
      <c r="H4453">
        <f t="shared" ca="1" si="142"/>
        <v>1.5373940570161746E-3</v>
      </c>
    </row>
    <row r="4454" spans="2:8" x14ac:dyDescent="0.3">
      <c r="B4454" s="113">
        <v>44153</v>
      </c>
      <c r="C4454">
        <v>184.05</v>
      </c>
      <c r="D4454">
        <f t="shared" si="141"/>
        <v>3.1285329744279955</v>
      </c>
      <c r="E4454">
        <v>-1.7614091273018325E-2</v>
      </c>
      <c r="G4454">
        <v>4452</v>
      </c>
      <c r="H4454">
        <f t="shared" ca="1" si="142"/>
        <v>-2.3139171656485134E-2</v>
      </c>
    </row>
    <row r="4455" spans="2:8" x14ac:dyDescent="0.3">
      <c r="B4455" s="113">
        <v>38686</v>
      </c>
      <c r="C4455">
        <v>44.58</v>
      </c>
      <c r="D4455">
        <f t="shared" si="141"/>
        <v>-0.70877972302064285</v>
      </c>
      <c r="E4455">
        <v>-1.7628911414720234E-2</v>
      </c>
      <c r="G4455">
        <v>4453</v>
      </c>
      <c r="H4455">
        <f t="shared" ca="1" si="142"/>
        <v>3.1943698519178713E-2</v>
      </c>
    </row>
    <row r="4456" spans="2:8" x14ac:dyDescent="0.3">
      <c r="B4456" s="113">
        <v>41058</v>
      </c>
      <c r="C4456">
        <v>153.08000000000001</v>
      </c>
      <c r="D4456">
        <f t="shared" si="141"/>
        <v>-0.41471993882622821</v>
      </c>
      <c r="E4456">
        <v>-1.7647436308798049E-2</v>
      </c>
      <c r="G4456">
        <v>4454</v>
      </c>
      <c r="H4456">
        <f t="shared" ca="1" si="142"/>
        <v>-3.6498034977307963E-3</v>
      </c>
    </row>
    <row r="4457" spans="2:8" x14ac:dyDescent="0.3">
      <c r="B4457" s="113">
        <v>43081</v>
      </c>
      <c r="C4457">
        <v>261.55</v>
      </c>
      <c r="D4457">
        <f t="shared" si="141"/>
        <v>1.2942982456140353</v>
      </c>
      <c r="E4457">
        <v>-1.7652582159624369E-2</v>
      </c>
      <c r="G4457">
        <v>4455</v>
      </c>
      <c r="H4457">
        <f t="shared" ca="1" si="142"/>
        <v>-1.3161621679973907E-2</v>
      </c>
    </row>
    <row r="4458" spans="2:8" x14ac:dyDescent="0.3">
      <c r="B4458" s="113">
        <v>40466</v>
      </c>
      <c r="C4458">
        <v>114</v>
      </c>
      <c r="D4458">
        <f t="shared" si="141"/>
        <v>1.0925110132158591</v>
      </c>
      <c r="E4458">
        <v>-1.7664799655320959E-2</v>
      </c>
      <c r="G4458">
        <v>4456</v>
      </c>
      <c r="H4458">
        <f t="shared" ca="1" si="142"/>
        <v>-1.4733599527525849E-2</v>
      </c>
    </row>
    <row r="4459" spans="2:8" x14ac:dyDescent="0.3">
      <c r="B4459" s="113">
        <v>38922</v>
      </c>
      <c r="C4459">
        <v>54.48</v>
      </c>
      <c r="D4459">
        <f t="shared" si="141"/>
        <v>-0.8183091545772887</v>
      </c>
      <c r="E4459">
        <v>-1.7670393076090949E-2</v>
      </c>
      <c r="G4459">
        <v>4457</v>
      </c>
      <c r="H4459">
        <f t="shared" ca="1" si="142"/>
        <v>-7.7595715974859338E-3</v>
      </c>
    </row>
    <row r="4460" spans="2:8" x14ac:dyDescent="0.3">
      <c r="B4460" s="113">
        <v>42900</v>
      </c>
      <c r="C4460">
        <v>299.85000000000002</v>
      </c>
      <c r="D4460">
        <f t="shared" si="141"/>
        <v>0.38122437698650335</v>
      </c>
      <c r="E4460">
        <v>-1.7690417690417615E-2</v>
      </c>
      <c r="G4460">
        <v>4458</v>
      </c>
      <c r="H4460">
        <f t="shared" ca="1" si="142"/>
        <v>-3.9842433024033092E-3</v>
      </c>
    </row>
    <row r="4461" spans="2:8" x14ac:dyDescent="0.3">
      <c r="B4461" s="113">
        <v>42083</v>
      </c>
      <c r="C4461">
        <v>217.09</v>
      </c>
      <c r="D4461">
        <f t="shared" si="141"/>
        <v>0.34838509316770189</v>
      </c>
      <c r="E4461">
        <v>-1.7692307692307677E-2</v>
      </c>
      <c r="G4461">
        <v>4459</v>
      </c>
      <c r="H4461">
        <f t="shared" ca="1" si="142"/>
        <v>-1.9748678107358034E-2</v>
      </c>
    </row>
    <row r="4462" spans="2:8" x14ac:dyDescent="0.3">
      <c r="B4462" s="113">
        <v>43958</v>
      </c>
      <c r="C4462">
        <v>161</v>
      </c>
      <c r="D4462">
        <f t="shared" si="141"/>
        <v>-0.24660739354234903</v>
      </c>
      <c r="E4462">
        <v>-1.7693715680292897E-2</v>
      </c>
      <c r="G4462">
        <v>4460</v>
      </c>
      <c r="H4462">
        <f t="shared" ca="1" si="142"/>
        <v>1.2673980802557318E-3</v>
      </c>
    </row>
    <row r="4463" spans="2:8" x14ac:dyDescent="0.3">
      <c r="B4463" s="113">
        <v>42124</v>
      </c>
      <c r="C4463">
        <v>213.7</v>
      </c>
      <c r="D4463">
        <f t="shared" si="141"/>
        <v>-0.11456391133209035</v>
      </c>
      <c r="E4463">
        <v>-1.7697081130774638E-2</v>
      </c>
      <c r="G4463">
        <v>4461</v>
      </c>
      <c r="H4463">
        <f t="shared" ca="1" si="142"/>
        <v>-5.1127358547296241E-3</v>
      </c>
    </row>
    <row r="4464" spans="2:8" x14ac:dyDescent="0.3">
      <c r="B4464" s="113">
        <v>42643</v>
      </c>
      <c r="C4464">
        <v>241.35</v>
      </c>
      <c r="D4464">
        <f t="shared" si="141"/>
        <v>0.10336472524458254</v>
      </c>
      <c r="E4464">
        <v>-1.7704517704517683E-2</v>
      </c>
      <c r="G4464">
        <v>4462</v>
      </c>
      <c r="H4464">
        <f t="shared" ca="1" si="142"/>
        <v>2.9798779250658738E-2</v>
      </c>
    </row>
    <row r="4465" spans="2:8" x14ac:dyDescent="0.3">
      <c r="B4465" s="113">
        <v>41528</v>
      </c>
      <c r="C4465">
        <v>218.74</v>
      </c>
      <c r="D4465">
        <f t="shared" si="141"/>
        <v>3.2999803420483587</v>
      </c>
      <c r="E4465">
        <v>-1.7737662221024693E-2</v>
      </c>
      <c r="G4465">
        <v>4463</v>
      </c>
      <c r="H4465">
        <f t="shared" ca="1" si="142"/>
        <v>-4.5487509873301394E-3</v>
      </c>
    </row>
    <row r="4466" spans="2:8" x14ac:dyDescent="0.3">
      <c r="B4466" s="113">
        <v>39185</v>
      </c>
      <c r="C4466">
        <v>50.87</v>
      </c>
      <c r="D4466">
        <f t="shared" si="141"/>
        <v>-0.80419553502694374</v>
      </c>
      <c r="E4466">
        <v>-1.7764047113342379E-2</v>
      </c>
      <c r="G4466">
        <v>4464</v>
      </c>
      <c r="H4466">
        <f t="shared" ca="1" si="142"/>
        <v>-1.5874618961060905E-2</v>
      </c>
    </row>
    <row r="4467" spans="2:8" x14ac:dyDescent="0.3">
      <c r="B4467" s="113">
        <v>43682</v>
      </c>
      <c r="C4467">
        <v>259.8</v>
      </c>
      <c r="D4467">
        <f t="shared" si="141"/>
        <v>0.99539170506912467</v>
      </c>
      <c r="E4467">
        <v>-1.7769376181474436E-2</v>
      </c>
      <c r="G4467">
        <v>4465</v>
      </c>
      <c r="H4467">
        <f t="shared" ca="1" si="142"/>
        <v>-2.2197916088899068E-3</v>
      </c>
    </row>
    <row r="4468" spans="2:8" x14ac:dyDescent="0.3">
      <c r="B4468" s="113">
        <v>40760</v>
      </c>
      <c r="C4468">
        <v>130.19999999999999</v>
      </c>
      <c r="D4468">
        <f t="shared" si="141"/>
        <v>-0.38541420816615535</v>
      </c>
      <c r="E4468">
        <v>-1.7803258901629555E-2</v>
      </c>
      <c r="G4468">
        <v>4466</v>
      </c>
      <c r="H4468">
        <f t="shared" ca="1" si="142"/>
        <v>2.8671889441162688E-3</v>
      </c>
    </row>
    <row r="4469" spans="2:8" x14ac:dyDescent="0.3">
      <c r="B4469" s="113">
        <v>42431</v>
      </c>
      <c r="C4469">
        <v>211.85</v>
      </c>
      <c r="D4469">
        <f t="shared" si="141"/>
        <v>8.411372723234118</v>
      </c>
      <c r="E4469">
        <v>-1.7803328851592578E-2</v>
      </c>
      <c r="G4469">
        <v>4467</v>
      </c>
      <c r="H4469">
        <f t="shared" ca="1" si="142"/>
        <v>1.5961806735327856E-2</v>
      </c>
    </row>
    <row r="4470" spans="2:8" x14ac:dyDescent="0.3">
      <c r="B4470" s="113">
        <v>38216</v>
      </c>
      <c r="C4470">
        <v>22.51</v>
      </c>
      <c r="D4470">
        <f t="shared" si="141"/>
        <v>0.46836268754076982</v>
      </c>
      <c r="E4470">
        <v>-1.7888307155322868E-2</v>
      </c>
      <c r="G4470">
        <v>4468</v>
      </c>
      <c r="H4470">
        <f t="shared" ca="1" si="142"/>
        <v>-3.6131536296731388E-2</v>
      </c>
    </row>
    <row r="4471" spans="2:8" x14ac:dyDescent="0.3">
      <c r="B4471" s="113">
        <v>37763</v>
      </c>
      <c r="C4471">
        <v>15.33</v>
      </c>
      <c r="D4471">
        <f t="shared" si="141"/>
        <v>-0.92639362366159306</v>
      </c>
      <c r="E4471">
        <v>-1.7937219730941662E-2</v>
      </c>
      <c r="G4471">
        <v>4469</v>
      </c>
      <c r="H4471">
        <f t="shared" ca="1" si="142"/>
        <v>-2.2330452102833312E-2</v>
      </c>
    </row>
    <row r="4472" spans="2:8" x14ac:dyDescent="0.3">
      <c r="B4472" s="113">
        <v>41591</v>
      </c>
      <c r="C4472">
        <v>208.27</v>
      </c>
      <c r="D4472">
        <f t="shared" si="141"/>
        <v>-0.3193790849673202</v>
      </c>
      <c r="E4472">
        <v>-1.7964918898528866E-2</v>
      </c>
      <c r="G4472">
        <v>4470</v>
      </c>
      <c r="H4472">
        <f t="shared" ca="1" si="142"/>
        <v>6.2164339181223693E-3</v>
      </c>
    </row>
    <row r="4473" spans="2:8" x14ac:dyDescent="0.3">
      <c r="B4473" s="113">
        <v>42895</v>
      </c>
      <c r="C4473">
        <v>306</v>
      </c>
      <c r="D4473">
        <f t="shared" si="141"/>
        <v>0.90927809321769504</v>
      </c>
      <c r="E4473">
        <v>-1.7971758664955144E-2</v>
      </c>
      <c r="G4473">
        <v>4471</v>
      </c>
      <c r="H4473">
        <f t="shared" ca="1" si="142"/>
        <v>-1.2124897929289655E-2</v>
      </c>
    </row>
    <row r="4474" spans="2:8" x14ac:dyDescent="0.3">
      <c r="B4474" s="113">
        <v>41017</v>
      </c>
      <c r="C4474">
        <v>160.27000000000001</v>
      </c>
      <c r="D4474">
        <f t="shared" si="141"/>
        <v>0.41207048458149786</v>
      </c>
      <c r="E4474">
        <v>-1.8073765469917832E-2</v>
      </c>
      <c r="G4474">
        <v>4472</v>
      </c>
      <c r="H4474">
        <f t="shared" ca="1" si="142"/>
        <v>2.9861453629757064E-4</v>
      </c>
    </row>
    <row r="4475" spans="2:8" x14ac:dyDescent="0.3">
      <c r="B4475" s="113">
        <v>40473</v>
      </c>
      <c r="C4475">
        <v>113.5</v>
      </c>
      <c r="D4475">
        <f t="shared" si="141"/>
        <v>2.8750426766814616</v>
      </c>
      <c r="E4475">
        <v>-1.8081148888312165E-2</v>
      </c>
      <c r="G4475">
        <v>4473</v>
      </c>
      <c r="H4475">
        <f t="shared" ca="1" si="142"/>
        <v>1.270074137028381E-2</v>
      </c>
    </row>
    <row r="4476" spans="2:8" x14ac:dyDescent="0.3">
      <c r="B4476" s="113">
        <v>38385</v>
      </c>
      <c r="C4476">
        <v>29.29</v>
      </c>
      <c r="D4476">
        <f t="shared" si="141"/>
        <v>-0.88955505279034697</v>
      </c>
      <c r="E4476">
        <v>-1.8102581293999304E-2</v>
      </c>
      <c r="G4476">
        <v>4474</v>
      </c>
      <c r="H4476">
        <f t="shared" ca="1" si="142"/>
        <v>2.2215755077806966E-2</v>
      </c>
    </row>
    <row r="4477" spans="2:8" x14ac:dyDescent="0.3">
      <c r="B4477" s="113">
        <v>43384</v>
      </c>
      <c r="C4477">
        <v>265.2</v>
      </c>
      <c r="D4477">
        <f t="shared" si="141"/>
        <v>0.24099204492278897</v>
      </c>
      <c r="E4477">
        <v>-1.8141429100333336E-2</v>
      </c>
      <c r="G4477">
        <v>4475</v>
      </c>
      <c r="H4477">
        <f t="shared" ca="1" si="142"/>
        <v>2.0579403608257493E-2</v>
      </c>
    </row>
    <row r="4478" spans="2:8" x14ac:dyDescent="0.3">
      <c r="B4478" s="113">
        <v>44217</v>
      </c>
      <c r="C4478">
        <v>213.7</v>
      </c>
      <c r="D4478">
        <f t="shared" si="141"/>
        <v>-7.7845861741607056E-2</v>
      </c>
      <c r="E4478">
        <v>-1.8148403399954133E-2</v>
      </c>
      <c r="G4478">
        <v>4476</v>
      </c>
      <c r="H4478">
        <f t="shared" ca="1" si="142"/>
        <v>1.180497908905276E-2</v>
      </c>
    </row>
    <row r="4479" spans="2:8" x14ac:dyDescent="0.3">
      <c r="B4479" s="113">
        <v>41852</v>
      </c>
      <c r="C4479">
        <v>231.74</v>
      </c>
      <c r="D4479">
        <f t="shared" si="141"/>
        <v>12.91831831831832</v>
      </c>
      <c r="E4479">
        <v>-1.8258843465367516E-2</v>
      </c>
      <c r="G4479">
        <v>4477</v>
      </c>
      <c r="H4479">
        <f t="shared" ca="1" si="142"/>
        <v>1.1099255186089382E-2</v>
      </c>
    </row>
    <row r="4480" spans="2:8" x14ac:dyDescent="0.3">
      <c r="B4480" s="113">
        <v>37803</v>
      </c>
      <c r="C4480">
        <v>16.649999999999999</v>
      </c>
      <c r="D4480">
        <f t="shared" si="141"/>
        <v>-0.88882211538461531</v>
      </c>
      <c r="E4480">
        <v>-1.8278301886792588E-2</v>
      </c>
      <c r="G4480">
        <v>4478</v>
      </c>
      <c r="H4480">
        <f t="shared" ca="1" si="142"/>
        <v>3.5871194077169632E-3</v>
      </c>
    </row>
    <row r="4481" spans="2:8" x14ac:dyDescent="0.3">
      <c r="B4481" s="113">
        <v>41065</v>
      </c>
      <c r="C4481">
        <v>149.76</v>
      </c>
      <c r="D4481">
        <f t="shared" si="141"/>
        <v>-0.29174745802790258</v>
      </c>
      <c r="E4481">
        <v>-1.8289085545722845E-2</v>
      </c>
      <c r="G4481">
        <v>4479</v>
      </c>
      <c r="H4481">
        <f t="shared" ca="1" si="142"/>
        <v>2.5572338432235327E-2</v>
      </c>
    </row>
    <row r="4482" spans="2:8" x14ac:dyDescent="0.3">
      <c r="B4482" s="113">
        <v>41675</v>
      </c>
      <c r="C4482">
        <v>211.45</v>
      </c>
      <c r="D4482">
        <f t="shared" si="141"/>
        <v>2.4398893769318364</v>
      </c>
      <c r="E4482">
        <v>-1.8292399832861312E-2</v>
      </c>
      <c r="G4482">
        <v>4480</v>
      </c>
      <c r="H4482">
        <f t="shared" ca="1" si="142"/>
        <v>-2.6744824917361303E-3</v>
      </c>
    </row>
    <row r="4483" spans="2:8" x14ac:dyDescent="0.3">
      <c r="B4483" s="113">
        <v>39029</v>
      </c>
      <c r="C4483">
        <v>61.47</v>
      </c>
      <c r="D4483">
        <f t="shared" ref="D4483:D4546" si="143">(C4483-C4484)/C4484</f>
        <v>-0.72465845464725642</v>
      </c>
      <c r="E4483">
        <v>-1.8364739699776408E-2</v>
      </c>
      <c r="G4483">
        <v>4481</v>
      </c>
      <c r="H4483">
        <f t="shared" ca="1" si="142"/>
        <v>1.6106371188495292E-3</v>
      </c>
    </row>
    <row r="4484" spans="2:8" x14ac:dyDescent="0.3">
      <c r="B4484" s="113">
        <v>42318</v>
      </c>
      <c r="C4484">
        <v>223.25</v>
      </c>
      <c r="D4484">
        <f t="shared" si="143"/>
        <v>-0.3256305694003927</v>
      </c>
      <c r="E4484">
        <v>-1.8379281537176304E-2</v>
      </c>
      <c r="G4484">
        <v>4482</v>
      </c>
      <c r="H4484">
        <f t="shared" ref="H4484:H4547" ca="1" si="144">_xlfn.NORM.INV(RAND(),$L$4,$L$6)</f>
        <v>-1.8288604656502144E-3</v>
      </c>
    </row>
    <row r="4485" spans="2:8" x14ac:dyDescent="0.3">
      <c r="B4485" s="113">
        <v>42921</v>
      </c>
      <c r="C4485">
        <v>331.05</v>
      </c>
      <c r="D4485">
        <f t="shared" si="143"/>
        <v>3.2507704160246536</v>
      </c>
      <c r="E4485">
        <v>-1.8383988139362456E-2</v>
      </c>
      <c r="G4485">
        <v>4483</v>
      </c>
      <c r="H4485">
        <f t="shared" ca="1" si="144"/>
        <v>9.123050844394345E-3</v>
      </c>
    </row>
    <row r="4486" spans="2:8" x14ac:dyDescent="0.3">
      <c r="B4486" s="113">
        <v>40039</v>
      </c>
      <c r="C4486">
        <v>77.88</v>
      </c>
      <c r="D4486">
        <f t="shared" si="143"/>
        <v>-0.3009604164796697</v>
      </c>
      <c r="E4486">
        <v>-1.8401814973531737E-2</v>
      </c>
      <c r="G4486">
        <v>4484</v>
      </c>
      <c r="H4486">
        <f t="shared" ca="1" si="144"/>
        <v>-1.8468601476846782E-2</v>
      </c>
    </row>
    <row r="4487" spans="2:8" x14ac:dyDescent="0.3">
      <c r="B4487" s="113">
        <v>40619</v>
      </c>
      <c r="C4487">
        <v>111.41</v>
      </c>
      <c r="D4487">
        <f t="shared" si="143"/>
        <v>3.9781054512958001</v>
      </c>
      <c r="E4487">
        <v>-1.841409691629959E-2</v>
      </c>
      <c r="G4487">
        <v>4485</v>
      </c>
      <c r="H4487">
        <f t="shared" ca="1" si="144"/>
        <v>-1.6871403957928223E-2</v>
      </c>
    </row>
    <row r="4488" spans="2:8" x14ac:dyDescent="0.3">
      <c r="B4488" s="113">
        <v>37972</v>
      </c>
      <c r="C4488">
        <v>22.38</v>
      </c>
      <c r="D4488">
        <f t="shared" si="143"/>
        <v>-0.91842536905412797</v>
      </c>
      <c r="E4488">
        <v>-1.8421052631579022E-2</v>
      </c>
      <c r="G4488">
        <v>4486</v>
      </c>
      <c r="H4488">
        <f t="shared" ca="1" si="144"/>
        <v>-2.6705987250570488E-3</v>
      </c>
    </row>
    <row r="4489" spans="2:8" x14ac:dyDescent="0.3">
      <c r="B4489" s="113">
        <v>42846</v>
      </c>
      <c r="C4489">
        <v>274.35000000000002</v>
      </c>
      <c r="D4489">
        <f t="shared" si="143"/>
        <v>1.1292200232828873</v>
      </c>
      <c r="E4489">
        <v>-1.8425760286225321E-2</v>
      </c>
      <c r="G4489">
        <v>4487</v>
      </c>
      <c r="H4489">
        <f t="shared" ca="1" si="144"/>
        <v>-7.7423021650188245E-3</v>
      </c>
    </row>
    <row r="4490" spans="2:8" x14ac:dyDescent="0.3">
      <c r="B4490" s="113">
        <v>40819</v>
      </c>
      <c r="C4490">
        <v>128.85</v>
      </c>
      <c r="D4490">
        <f t="shared" si="143"/>
        <v>0.21774879500992336</v>
      </c>
      <c r="E4490">
        <v>-1.8435286051649392E-2</v>
      </c>
      <c r="G4490">
        <v>4488</v>
      </c>
      <c r="H4490">
        <f t="shared" ca="1" si="144"/>
        <v>3.0522071649263582E-2</v>
      </c>
    </row>
    <row r="4491" spans="2:8" x14ac:dyDescent="0.3">
      <c r="B4491" s="113">
        <v>40575</v>
      </c>
      <c r="C4491">
        <v>105.81</v>
      </c>
      <c r="D4491">
        <f t="shared" si="143"/>
        <v>-0.49578270192994994</v>
      </c>
      <c r="E4491">
        <v>-1.8460111317254127E-2</v>
      </c>
      <c r="G4491">
        <v>4489</v>
      </c>
      <c r="H4491">
        <f t="shared" ca="1" si="144"/>
        <v>-6.1792423387251622E-3</v>
      </c>
    </row>
    <row r="4492" spans="2:8" x14ac:dyDescent="0.3">
      <c r="B4492" s="113">
        <v>44418</v>
      </c>
      <c r="C4492">
        <v>209.85</v>
      </c>
      <c r="D4492">
        <f t="shared" si="143"/>
        <v>2.9114631873252561</v>
      </c>
      <c r="E4492">
        <v>-1.8475210477081463E-2</v>
      </c>
      <c r="G4492">
        <v>4490</v>
      </c>
      <c r="H4492">
        <f t="shared" ca="1" si="144"/>
        <v>-5.2551481251301982E-3</v>
      </c>
    </row>
    <row r="4493" spans="2:8" x14ac:dyDescent="0.3">
      <c r="B4493" s="113">
        <v>39238</v>
      </c>
      <c r="C4493">
        <v>53.65</v>
      </c>
      <c r="D4493">
        <f t="shared" si="143"/>
        <v>-0.51583792076527391</v>
      </c>
      <c r="E4493">
        <v>-1.847786315404314E-2</v>
      </c>
      <c r="G4493">
        <v>4491</v>
      </c>
      <c r="H4493">
        <f t="shared" ca="1" si="144"/>
        <v>1.9159694774391566E-2</v>
      </c>
    </row>
    <row r="4494" spans="2:8" x14ac:dyDescent="0.3">
      <c r="B4494" s="113">
        <v>40525</v>
      </c>
      <c r="C4494">
        <v>110.81</v>
      </c>
      <c r="D4494">
        <f t="shared" si="143"/>
        <v>-0.23920357020254035</v>
      </c>
      <c r="E4494">
        <v>-1.8511957484499585E-2</v>
      </c>
      <c r="G4494">
        <v>4492</v>
      </c>
      <c r="H4494">
        <f t="shared" ca="1" si="144"/>
        <v>7.1233919362163837E-3</v>
      </c>
    </row>
    <row r="4495" spans="2:8" x14ac:dyDescent="0.3">
      <c r="B4495" s="113">
        <v>40990</v>
      </c>
      <c r="C4495">
        <v>145.65</v>
      </c>
      <c r="D4495">
        <f t="shared" si="143"/>
        <v>1.8364167478091531</v>
      </c>
      <c r="E4495">
        <v>-1.8530997304582211E-2</v>
      </c>
      <c r="G4495">
        <v>4493</v>
      </c>
      <c r="H4495">
        <f t="shared" ca="1" si="144"/>
        <v>4.3680098773701721E-2</v>
      </c>
    </row>
    <row r="4496" spans="2:8" x14ac:dyDescent="0.3">
      <c r="B4496" s="113">
        <v>39240</v>
      </c>
      <c r="C4496">
        <v>51.35</v>
      </c>
      <c r="D4496">
        <f t="shared" si="143"/>
        <v>-0.78092068774265111</v>
      </c>
      <c r="E4496">
        <v>-1.8539755351681935E-2</v>
      </c>
      <c r="G4496">
        <v>4494</v>
      </c>
      <c r="H4496">
        <f t="shared" ca="1" si="144"/>
        <v>1.2187809490265854E-3</v>
      </c>
    </row>
    <row r="4497" spans="2:8" x14ac:dyDescent="0.3">
      <c r="B4497" s="113">
        <v>42011</v>
      </c>
      <c r="C4497">
        <v>234.39</v>
      </c>
      <c r="D4497">
        <f t="shared" si="143"/>
        <v>1.6805809698078682</v>
      </c>
      <c r="E4497">
        <v>-1.8590629317924993E-2</v>
      </c>
      <c r="G4497">
        <v>4495</v>
      </c>
      <c r="H4497">
        <f t="shared" ca="1" si="144"/>
        <v>7.5917913341969259E-3</v>
      </c>
    </row>
    <row r="4498" spans="2:8" x14ac:dyDescent="0.3">
      <c r="B4498" s="113">
        <v>40141</v>
      </c>
      <c r="C4498">
        <v>87.44</v>
      </c>
      <c r="D4498">
        <f t="shared" si="143"/>
        <v>2.8638974812196203</v>
      </c>
      <c r="E4498">
        <v>-1.863075196408526E-2</v>
      </c>
      <c r="G4498">
        <v>4496</v>
      </c>
      <c r="H4498">
        <f t="shared" ca="1" si="144"/>
        <v>3.3318453795176041E-2</v>
      </c>
    </row>
    <row r="4499" spans="2:8" x14ac:dyDescent="0.3">
      <c r="B4499" s="113">
        <v>38226</v>
      </c>
      <c r="C4499">
        <v>22.63</v>
      </c>
      <c r="D4499">
        <f t="shared" si="143"/>
        <v>-0.68362924647001266</v>
      </c>
      <c r="E4499">
        <v>-1.8647007805724185E-2</v>
      </c>
      <c r="G4499">
        <v>4497</v>
      </c>
      <c r="H4499">
        <f t="shared" ca="1" si="144"/>
        <v>2.35746226655895E-2</v>
      </c>
    </row>
    <row r="4500" spans="2:8" x14ac:dyDescent="0.3">
      <c r="B4500" s="113">
        <v>39603</v>
      </c>
      <c r="C4500">
        <v>71.53</v>
      </c>
      <c r="D4500">
        <f t="shared" si="143"/>
        <v>-0.59300142247510668</v>
      </c>
      <c r="E4500">
        <v>-1.8658252160790225E-2</v>
      </c>
      <c r="G4500">
        <v>4498</v>
      </c>
      <c r="H4500">
        <f t="shared" ca="1" si="144"/>
        <v>2.4462568719744008E-2</v>
      </c>
    </row>
    <row r="4501" spans="2:8" x14ac:dyDescent="0.3">
      <c r="B4501" s="113">
        <v>44095</v>
      </c>
      <c r="C4501">
        <v>175.75</v>
      </c>
      <c r="D4501">
        <f t="shared" si="143"/>
        <v>8.8847019122609669</v>
      </c>
      <c r="E4501">
        <v>-1.87046342825237E-2</v>
      </c>
      <c r="G4501">
        <v>4499</v>
      </c>
      <c r="H4501">
        <f t="shared" ca="1" si="144"/>
        <v>-7.0086853529279988E-4</v>
      </c>
    </row>
    <row r="4502" spans="2:8" x14ac:dyDescent="0.3">
      <c r="B4502" s="113">
        <v>37876</v>
      </c>
      <c r="C4502">
        <v>17.78</v>
      </c>
      <c r="D4502">
        <f t="shared" si="143"/>
        <v>3.1322505800464195E-2</v>
      </c>
      <c r="E4502">
        <v>-1.8763796909492265E-2</v>
      </c>
      <c r="G4502">
        <v>4500</v>
      </c>
      <c r="H4502">
        <f t="shared" ca="1" si="144"/>
        <v>1.8131805477894815E-2</v>
      </c>
    </row>
    <row r="4503" spans="2:8" x14ac:dyDescent="0.3">
      <c r="B4503" s="113">
        <v>37886</v>
      </c>
      <c r="C4503">
        <v>17.239999999999998</v>
      </c>
      <c r="D4503">
        <f t="shared" si="143"/>
        <v>6.4854848672019585E-2</v>
      </c>
      <c r="E4503">
        <v>-1.8782014797951156E-2</v>
      </c>
      <c r="G4503">
        <v>4501</v>
      </c>
      <c r="H4503">
        <f t="shared" ca="1" si="144"/>
        <v>1.5866839718473216E-2</v>
      </c>
    </row>
    <row r="4504" spans="2:8" x14ac:dyDescent="0.3">
      <c r="B4504" s="113">
        <v>37796</v>
      </c>
      <c r="C4504">
        <v>16.190000000000001</v>
      </c>
      <c r="D4504">
        <f t="shared" si="143"/>
        <v>-0.73519790644422645</v>
      </c>
      <c r="E4504">
        <v>-1.8787878787878711E-2</v>
      </c>
      <c r="G4504">
        <v>4502</v>
      </c>
      <c r="H4504">
        <f t="shared" ca="1" si="144"/>
        <v>-7.5621660782200818E-3</v>
      </c>
    </row>
    <row r="4505" spans="2:8" x14ac:dyDescent="0.3">
      <c r="B4505" s="113">
        <v>38985</v>
      </c>
      <c r="C4505">
        <v>61.14</v>
      </c>
      <c r="D4505">
        <f t="shared" si="143"/>
        <v>-0.67871781397792963</v>
      </c>
      <c r="E4505">
        <v>-1.8934531450577659E-2</v>
      </c>
      <c r="G4505">
        <v>4503</v>
      </c>
      <c r="H4505">
        <f t="shared" ca="1" si="144"/>
        <v>1.262492844617424E-2</v>
      </c>
    </row>
    <row r="4506" spans="2:8" x14ac:dyDescent="0.3">
      <c r="B4506" s="113">
        <v>41339</v>
      </c>
      <c r="C4506">
        <v>190.3</v>
      </c>
      <c r="D4506">
        <f t="shared" si="143"/>
        <v>-0.30407752788443948</v>
      </c>
      <c r="E4506">
        <v>-1.8971027941024739E-2</v>
      </c>
      <c r="G4506">
        <v>4504</v>
      </c>
      <c r="H4506">
        <f t="shared" ca="1" si="144"/>
        <v>-1.0549206335356869E-2</v>
      </c>
    </row>
    <row r="4507" spans="2:8" x14ac:dyDescent="0.3">
      <c r="B4507" s="113">
        <v>43243</v>
      </c>
      <c r="C4507">
        <v>273.45</v>
      </c>
      <c r="D4507">
        <f t="shared" si="143"/>
        <v>4.9712092130518193E-2</v>
      </c>
      <c r="E4507">
        <v>-1.9013452914798248E-2</v>
      </c>
      <c r="G4507">
        <v>4505</v>
      </c>
      <c r="H4507">
        <f t="shared" ca="1" si="144"/>
        <v>2.7433433270502216E-3</v>
      </c>
    </row>
    <row r="4508" spans="2:8" x14ac:dyDescent="0.3">
      <c r="B4508" s="113">
        <v>43175</v>
      </c>
      <c r="C4508">
        <v>260.5</v>
      </c>
      <c r="D4508">
        <f t="shared" si="143"/>
        <v>0.18017487428079559</v>
      </c>
      <c r="E4508">
        <v>-1.9017134249670536E-2</v>
      </c>
      <c r="G4508">
        <v>4506</v>
      </c>
      <c r="H4508">
        <f t="shared" ca="1" si="144"/>
        <v>-5.4223897142245865E-4</v>
      </c>
    </row>
    <row r="4509" spans="2:8" x14ac:dyDescent="0.3">
      <c r="B4509" s="113">
        <v>41488</v>
      </c>
      <c r="C4509">
        <v>220.73</v>
      </c>
      <c r="D4509">
        <f t="shared" si="143"/>
        <v>0.70040828903782437</v>
      </c>
      <c r="E4509">
        <v>-1.9021376827696553E-2</v>
      </c>
      <c r="G4509">
        <v>4507</v>
      </c>
      <c r="H4509">
        <f t="shared" ca="1" si="144"/>
        <v>1.4970508537845879E-2</v>
      </c>
    </row>
    <row r="4510" spans="2:8" x14ac:dyDescent="0.3">
      <c r="B4510" s="113">
        <v>40893</v>
      </c>
      <c r="C4510">
        <v>129.81</v>
      </c>
      <c r="D4510">
        <f t="shared" si="143"/>
        <v>-0.47466612707405909</v>
      </c>
      <c r="E4510">
        <v>-1.9043300838812137E-2</v>
      </c>
      <c r="G4510">
        <v>4508</v>
      </c>
      <c r="H4510">
        <f t="shared" ca="1" si="144"/>
        <v>-5.9903374780656644E-3</v>
      </c>
    </row>
    <row r="4511" spans="2:8" x14ac:dyDescent="0.3">
      <c r="B4511" s="113">
        <v>43747</v>
      </c>
      <c r="C4511">
        <v>247.1</v>
      </c>
      <c r="D4511">
        <f t="shared" si="143"/>
        <v>2.8120950323974085</v>
      </c>
      <c r="E4511">
        <v>-1.9055180627233072E-2</v>
      </c>
      <c r="G4511">
        <v>4509</v>
      </c>
      <c r="H4511">
        <f t="shared" ca="1" si="144"/>
        <v>1.5030014679852686E-2</v>
      </c>
    </row>
    <row r="4512" spans="2:8" x14ac:dyDescent="0.3">
      <c r="B4512" s="113">
        <v>39478</v>
      </c>
      <c r="C4512">
        <v>64.819999999999993</v>
      </c>
      <c r="D4512">
        <f t="shared" si="143"/>
        <v>-0.44207264589430206</v>
      </c>
      <c r="E4512">
        <v>-1.9067796610169569E-2</v>
      </c>
      <c r="G4512">
        <v>4510</v>
      </c>
      <c r="H4512">
        <f t="shared" ca="1" si="144"/>
        <v>-2.3138181199359275E-3</v>
      </c>
    </row>
    <row r="4513" spans="2:8" x14ac:dyDescent="0.3">
      <c r="B4513" s="113">
        <v>40455</v>
      </c>
      <c r="C4513">
        <v>116.18</v>
      </c>
      <c r="D4513">
        <f t="shared" si="143"/>
        <v>1.515263043948907</v>
      </c>
      <c r="E4513">
        <v>-1.9081391421816876E-2</v>
      </c>
      <c r="G4513">
        <v>4511</v>
      </c>
      <c r="H4513">
        <f t="shared" ca="1" si="144"/>
        <v>-1.7275328983723949E-2</v>
      </c>
    </row>
    <row r="4514" spans="2:8" x14ac:dyDescent="0.3">
      <c r="B4514" s="113">
        <v>38709</v>
      </c>
      <c r="C4514">
        <v>46.19</v>
      </c>
      <c r="D4514">
        <f t="shared" si="143"/>
        <v>-0.45633239171374762</v>
      </c>
      <c r="E4514">
        <v>-1.9112338076024752E-2</v>
      </c>
      <c r="G4514">
        <v>4512</v>
      </c>
      <c r="H4514">
        <f t="shared" ca="1" si="144"/>
        <v>-2.5003351989540327E-3</v>
      </c>
    </row>
    <row r="4515" spans="2:8" x14ac:dyDescent="0.3">
      <c r="B4515" s="113">
        <v>40144</v>
      </c>
      <c r="C4515">
        <v>84.96</v>
      </c>
      <c r="D4515">
        <f t="shared" si="143"/>
        <v>0.11627906976744179</v>
      </c>
      <c r="E4515">
        <v>-1.91641653197877E-2</v>
      </c>
      <c r="G4515">
        <v>4513</v>
      </c>
      <c r="H4515">
        <f t="shared" ca="1" si="144"/>
        <v>-8.333057845566481E-3</v>
      </c>
    </row>
    <row r="4516" spans="2:8" x14ac:dyDescent="0.3">
      <c r="B4516" s="113">
        <v>40032</v>
      </c>
      <c r="C4516">
        <v>76.11</v>
      </c>
      <c r="D4516">
        <f t="shared" si="143"/>
        <v>-0.71852810650887566</v>
      </c>
      <c r="E4516">
        <v>-1.9201030927834987E-2</v>
      </c>
      <c r="G4516">
        <v>4514</v>
      </c>
      <c r="H4516">
        <f t="shared" ca="1" si="144"/>
        <v>-1.0035245579606309E-2</v>
      </c>
    </row>
    <row r="4517" spans="2:8" x14ac:dyDescent="0.3">
      <c r="B4517" s="113">
        <v>42985</v>
      </c>
      <c r="C4517">
        <v>270.39999999999998</v>
      </c>
      <c r="D4517">
        <f t="shared" si="143"/>
        <v>0.30880929332042589</v>
      </c>
      <c r="E4517">
        <v>-1.9223793978962681E-2</v>
      </c>
      <c r="G4517">
        <v>4515</v>
      </c>
      <c r="H4517">
        <f t="shared" ca="1" si="144"/>
        <v>2.4090930115024053E-2</v>
      </c>
    </row>
    <row r="4518" spans="2:8" x14ac:dyDescent="0.3">
      <c r="B4518" s="113">
        <v>44224</v>
      </c>
      <c r="C4518">
        <v>206.6</v>
      </c>
      <c r="D4518">
        <f t="shared" si="143"/>
        <v>2.4963614824843456</v>
      </c>
      <c r="E4518">
        <v>-1.9226204604794735E-2</v>
      </c>
      <c r="G4518">
        <v>4516</v>
      </c>
      <c r="H4518">
        <f t="shared" ca="1" si="144"/>
        <v>-1.8626712974930806E-2</v>
      </c>
    </row>
    <row r="4519" spans="2:8" x14ac:dyDescent="0.3">
      <c r="B4519" s="113">
        <v>39041</v>
      </c>
      <c r="C4519">
        <v>59.09</v>
      </c>
      <c r="D4519">
        <f t="shared" si="143"/>
        <v>-4.9082716446733135E-2</v>
      </c>
      <c r="E4519">
        <v>-1.9253112033194963E-2</v>
      </c>
      <c r="G4519">
        <v>4517</v>
      </c>
      <c r="H4519">
        <f t="shared" ca="1" si="144"/>
        <v>8.4013202015285025E-3</v>
      </c>
    </row>
    <row r="4520" spans="2:8" x14ac:dyDescent="0.3">
      <c r="B4520" s="113">
        <v>39678</v>
      </c>
      <c r="C4520">
        <v>62.14</v>
      </c>
      <c r="D4520">
        <f t="shared" si="143"/>
        <v>-0.77378958864215508</v>
      </c>
      <c r="E4520">
        <v>-1.9255050505050487E-2</v>
      </c>
      <c r="G4520">
        <v>4518</v>
      </c>
      <c r="H4520">
        <f t="shared" ca="1" si="144"/>
        <v>3.0005831703961615E-2</v>
      </c>
    </row>
    <row r="4521" spans="2:8" x14ac:dyDescent="0.3">
      <c r="B4521" s="113">
        <v>43514</v>
      </c>
      <c r="C4521">
        <v>274.7</v>
      </c>
      <c r="D4521">
        <f t="shared" si="143"/>
        <v>1.4020636586218955</v>
      </c>
      <c r="E4521">
        <v>-1.9278828989646675E-2</v>
      </c>
      <c r="G4521">
        <v>4519</v>
      </c>
      <c r="H4521">
        <f t="shared" ca="1" si="144"/>
        <v>2.0646032234320492E-2</v>
      </c>
    </row>
    <row r="4522" spans="2:8" x14ac:dyDescent="0.3">
      <c r="B4522" s="113">
        <v>40505</v>
      </c>
      <c r="C4522">
        <v>114.36</v>
      </c>
      <c r="D4522">
        <f t="shared" si="143"/>
        <v>1.4099494546421952E-2</v>
      </c>
      <c r="E4522">
        <v>-1.9295086184718292E-2</v>
      </c>
      <c r="G4522">
        <v>4520</v>
      </c>
      <c r="H4522">
        <f t="shared" ca="1" si="144"/>
        <v>5.776577886755143E-3</v>
      </c>
    </row>
    <row r="4523" spans="2:8" x14ac:dyDescent="0.3">
      <c r="B4523" s="113">
        <v>40617</v>
      </c>
      <c r="C4523">
        <v>112.77</v>
      </c>
      <c r="D4523">
        <f t="shared" si="143"/>
        <v>-0.46884272997032644</v>
      </c>
      <c r="E4523">
        <v>-1.9306026611009643E-2</v>
      </c>
      <c r="G4523">
        <v>4521</v>
      </c>
      <c r="H4523">
        <f t="shared" ca="1" si="144"/>
        <v>8.5326082194281672E-3</v>
      </c>
    </row>
    <row r="4524" spans="2:8" x14ac:dyDescent="0.3">
      <c r="B4524" s="113">
        <v>42360</v>
      </c>
      <c r="C4524">
        <v>212.31</v>
      </c>
      <c r="D4524">
        <f t="shared" si="143"/>
        <v>-0.11977611940298502</v>
      </c>
      <c r="E4524">
        <v>-1.930805118019311E-2</v>
      </c>
      <c r="G4524">
        <v>4522</v>
      </c>
      <c r="H4524">
        <f t="shared" ca="1" si="144"/>
        <v>3.2597667236077668E-2</v>
      </c>
    </row>
    <row r="4525" spans="2:8" x14ac:dyDescent="0.3">
      <c r="B4525" s="113">
        <v>43706</v>
      </c>
      <c r="C4525">
        <v>241.2</v>
      </c>
      <c r="D4525">
        <f t="shared" si="143"/>
        <v>0.26680672268907552</v>
      </c>
      <c r="E4525">
        <v>-1.9312868469201057E-2</v>
      </c>
      <c r="G4525">
        <v>4523</v>
      </c>
      <c r="H4525">
        <f t="shared" ca="1" si="144"/>
        <v>-1.2350323056268268E-2</v>
      </c>
    </row>
    <row r="4526" spans="2:8" x14ac:dyDescent="0.3">
      <c r="B4526" s="113">
        <v>41373</v>
      </c>
      <c r="C4526">
        <v>190.4</v>
      </c>
      <c r="D4526">
        <f t="shared" si="143"/>
        <v>4.520440707451435</v>
      </c>
      <c r="E4526">
        <v>-1.9314962657738861E-2</v>
      </c>
      <c r="G4526">
        <v>4524</v>
      </c>
      <c r="H4526">
        <f t="shared" ca="1" si="144"/>
        <v>-1.8742904038497973E-2</v>
      </c>
    </row>
    <row r="4527" spans="2:8" x14ac:dyDescent="0.3">
      <c r="B4527" s="113">
        <v>38505</v>
      </c>
      <c r="C4527">
        <v>34.49</v>
      </c>
      <c r="D4527">
        <f t="shared" si="143"/>
        <v>-0.78608199466600504</v>
      </c>
      <c r="E4527">
        <v>-1.9334660221779917E-2</v>
      </c>
      <c r="G4527">
        <v>4525</v>
      </c>
      <c r="H4527">
        <f t="shared" ca="1" si="144"/>
        <v>3.7889564581582533E-2</v>
      </c>
    </row>
    <row r="4528" spans="2:8" x14ac:dyDescent="0.3">
      <c r="B4528" s="113">
        <v>41078</v>
      </c>
      <c r="C4528">
        <v>161.22999999999999</v>
      </c>
      <c r="D4528">
        <f t="shared" si="143"/>
        <v>2.5134016125517538</v>
      </c>
      <c r="E4528">
        <v>-1.934188917949034E-2</v>
      </c>
      <c r="G4528">
        <v>4526</v>
      </c>
      <c r="H4528">
        <f t="shared" ca="1" si="144"/>
        <v>-2.8788338394653266E-3</v>
      </c>
    </row>
    <row r="4529" spans="2:8" x14ac:dyDescent="0.3">
      <c r="B4529" s="113">
        <v>38714</v>
      </c>
      <c r="C4529">
        <v>45.89</v>
      </c>
      <c r="D4529">
        <f t="shared" si="143"/>
        <v>-0.80628957365977205</v>
      </c>
      <c r="E4529">
        <v>-1.9444444444444372E-2</v>
      </c>
      <c r="G4529">
        <v>4527</v>
      </c>
      <c r="H4529">
        <f t="shared" ca="1" si="144"/>
        <v>-9.5967806910292573E-3</v>
      </c>
    </row>
    <row r="4530" spans="2:8" x14ac:dyDescent="0.3">
      <c r="B4530" s="113">
        <v>43815</v>
      </c>
      <c r="C4530">
        <v>236.9</v>
      </c>
      <c r="D4530">
        <f t="shared" si="143"/>
        <v>2.7389520202020203</v>
      </c>
      <c r="E4530">
        <v>-1.9453642384105914E-2</v>
      </c>
      <c r="G4530">
        <v>4528</v>
      </c>
      <c r="H4530">
        <f t="shared" ca="1" si="144"/>
        <v>-1.474917073907521E-2</v>
      </c>
    </row>
    <row r="4531" spans="2:8" x14ac:dyDescent="0.3">
      <c r="B4531" s="113">
        <v>39674</v>
      </c>
      <c r="C4531">
        <v>63.36</v>
      </c>
      <c r="D4531">
        <f t="shared" si="143"/>
        <v>3.3436633501875666E-2</v>
      </c>
      <c r="E4531">
        <v>-1.949860724233991E-2</v>
      </c>
      <c r="G4531">
        <v>4529</v>
      </c>
      <c r="H4531">
        <f t="shared" ca="1" si="144"/>
        <v>1.1001958711057152E-2</v>
      </c>
    </row>
    <row r="4532" spans="2:8" x14ac:dyDescent="0.3">
      <c r="B4532" s="113">
        <v>39013</v>
      </c>
      <c r="C4532">
        <v>61.31</v>
      </c>
      <c r="D4532">
        <f t="shared" si="143"/>
        <v>-3.0365332911592515E-2</v>
      </c>
      <c r="E4532">
        <v>-1.9510634895250262E-2</v>
      </c>
      <c r="G4532">
        <v>4530</v>
      </c>
      <c r="H4532">
        <f t="shared" ca="1" si="144"/>
        <v>1.8104584377930059E-2</v>
      </c>
    </row>
    <row r="4533" spans="2:8" x14ac:dyDescent="0.3">
      <c r="B4533" s="113">
        <v>39514</v>
      </c>
      <c r="C4533">
        <v>63.23</v>
      </c>
      <c r="D4533">
        <f t="shared" si="143"/>
        <v>3.5067712045616535</v>
      </c>
      <c r="E4533">
        <v>-1.9537912854706126E-2</v>
      </c>
      <c r="G4533">
        <v>4531</v>
      </c>
      <c r="H4533">
        <f t="shared" ca="1" si="144"/>
        <v>-4.5029991702335966E-2</v>
      </c>
    </row>
    <row r="4534" spans="2:8" x14ac:dyDescent="0.3">
      <c r="B4534" s="113">
        <v>37533</v>
      </c>
      <c r="C4534">
        <v>14.03</v>
      </c>
      <c r="D4534">
        <f t="shared" si="143"/>
        <v>-0.90989081567116248</v>
      </c>
      <c r="E4534">
        <v>-1.9566736547868703E-2</v>
      </c>
      <c r="G4534">
        <v>4532</v>
      </c>
      <c r="H4534">
        <f t="shared" ca="1" si="144"/>
        <v>-8.6965167445897656E-4</v>
      </c>
    </row>
    <row r="4535" spans="2:8" x14ac:dyDescent="0.3">
      <c r="B4535" s="113">
        <v>41050</v>
      </c>
      <c r="C4535">
        <v>155.69999999999999</v>
      </c>
      <c r="D4535">
        <f t="shared" si="143"/>
        <v>0.47247966710800071</v>
      </c>
      <c r="E4535">
        <v>-1.9583149675713202E-2</v>
      </c>
      <c r="G4535">
        <v>4533</v>
      </c>
      <c r="H4535">
        <f t="shared" ca="1" si="144"/>
        <v>-1.6701952310617052E-2</v>
      </c>
    </row>
    <row r="4536" spans="2:8" x14ac:dyDescent="0.3">
      <c r="B4536" s="113">
        <v>40413</v>
      </c>
      <c r="C4536">
        <v>105.74</v>
      </c>
      <c r="D4536">
        <f t="shared" si="143"/>
        <v>-0.61241844439557214</v>
      </c>
      <c r="E4536">
        <v>-1.9655108473947754E-2</v>
      </c>
      <c r="G4536">
        <v>4534</v>
      </c>
      <c r="H4536">
        <f t="shared" ca="1" si="144"/>
        <v>-4.703359844105871E-3</v>
      </c>
    </row>
    <row r="4537" spans="2:8" x14ac:dyDescent="0.3">
      <c r="B4537" s="113">
        <v>44704</v>
      </c>
      <c r="C4537">
        <v>272.82</v>
      </c>
      <c r="D4537">
        <f t="shared" si="143"/>
        <v>17.236631016042782</v>
      </c>
      <c r="E4537">
        <v>-1.965575478817071E-2</v>
      </c>
      <c r="G4537">
        <v>4535</v>
      </c>
      <c r="H4537">
        <f t="shared" ca="1" si="144"/>
        <v>3.8432075058257268E-3</v>
      </c>
    </row>
    <row r="4538" spans="2:8" x14ac:dyDescent="0.3">
      <c r="B4538" s="113">
        <v>37474</v>
      </c>
      <c r="C4538">
        <v>14.96</v>
      </c>
      <c r="D4538">
        <f t="shared" si="143"/>
        <v>-0.6</v>
      </c>
      <c r="E4538">
        <v>-1.9659239842726012E-2</v>
      </c>
      <c r="G4538">
        <v>4536</v>
      </c>
      <c r="H4538">
        <f t="shared" ca="1" si="144"/>
        <v>1.225325136141202E-3</v>
      </c>
    </row>
    <row r="4539" spans="2:8" x14ac:dyDescent="0.3">
      <c r="B4539" s="113">
        <v>38576</v>
      </c>
      <c r="C4539">
        <v>37.4</v>
      </c>
      <c r="D4539">
        <f t="shared" si="143"/>
        <v>1.0315046170559479</v>
      </c>
      <c r="E4539">
        <v>-1.9659239842726082E-2</v>
      </c>
      <c r="G4539">
        <v>4537</v>
      </c>
      <c r="H4539">
        <f t="shared" ca="1" si="144"/>
        <v>5.3467817173174711E-3</v>
      </c>
    </row>
    <row r="4540" spans="2:8" x14ac:dyDescent="0.3">
      <c r="B4540" s="113">
        <v>37867</v>
      </c>
      <c r="C4540">
        <v>18.41</v>
      </c>
      <c r="D4540">
        <f t="shared" si="143"/>
        <v>-0.89862334801762112</v>
      </c>
      <c r="E4540">
        <v>-1.970181043663477E-2</v>
      </c>
      <c r="G4540">
        <v>4538</v>
      </c>
      <c r="H4540">
        <f t="shared" ca="1" si="144"/>
        <v>1.3010427926922771E-2</v>
      </c>
    </row>
    <row r="4541" spans="2:8" x14ac:dyDescent="0.3">
      <c r="B4541" s="113">
        <v>43934</v>
      </c>
      <c r="C4541">
        <v>181.6</v>
      </c>
      <c r="D4541">
        <f t="shared" si="143"/>
        <v>8.1402965521348097E-2</v>
      </c>
      <c r="E4541">
        <v>-1.9703103913630261E-2</v>
      </c>
      <c r="G4541">
        <v>4539</v>
      </c>
      <c r="H4541">
        <f t="shared" ca="1" si="144"/>
        <v>-2.4697484604955081E-2</v>
      </c>
    </row>
    <row r="4542" spans="2:8" x14ac:dyDescent="0.3">
      <c r="B4542" s="113">
        <v>41101</v>
      </c>
      <c r="C4542">
        <v>167.93</v>
      </c>
      <c r="D4542">
        <f t="shared" si="143"/>
        <v>-0.43638194327907365</v>
      </c>
      <c r="E4542">
        <v>-1.973031346681452E-2</v>
      </c>
      <c r="G4542">
        <v>4540</v>
      </c>
      <c r="H4542">
        <f t="shared" ca="1" si="144"/>
        <v>1.0724267749901263E-2</v>
      </c>
    </row>
    <row r="4543" spans="2:8" x14ac:dyDescent="0.3">
      <c r="B4543" s="113">
        <v>43367</v>
      </c>
      <c r="C4543">
        <v>297.95</v>
      </c>
      <c r="D4543">
        <f t="shared" si="143"/>
        <v>7.6967308814944548</v>
      </c>
      <c r="E4543">
        <v>-1.9740088830399738E-2</v>
      </c>
      <c r="G4543">
        <v>4541</v>
      </c>
      <c r="H4543">
        <f t="shared" ca="1" si="144"/>
        <v>1.0789330723445466E-3</v>
      </c>
    </row>
    <row r="4544" spans="2:8" x14ac:dyDescent="0.3">
      <c r="B4544" s="113">
        <v>38510</v>
      </c>
      <c r="C4544">
        <v>34.26</v>
      </c>
      <c r="D4544">
        <f t="shared" si="143"/>
        <v>-0.58381924198250723</v>
      </c>
      <c r="E4544">
        <v>-1.9742489270386403E-2</v>
      </c>
      <c r="G4544">
        <v>4542</v>
      </c>
      <c r="H4544">
        <f t="shared" ca="1" si="144"/>
        <v>2.1569478483175085E-3</v>
      </c>
    </row>
    <row r="4545" spans="2:8" x14ac:dyDescent="0.3">
      <c r="B4545" s="113">
        <v>40214</v>
      </c>
      <c r="C4545">
        <v>82.32</v>
      </c>
      <c r="D4545">
        <f t="shared" si="143"/>
        <v>-0.61129473982434601</v>
      </c>
      <c r="E4545">
        <v>-1.9766611097880575E-2</v>
      </c>
      <c r="G4545">
        <v>4543</v>
      </c>
      <c r="H4545">
        <f t="shared" ca="1" si="144"/>
        <v>-9.7204718272066101E-3</v>
      </c>
    </row>
    <row r="4546" spans="2:8" x14ac:dyDescent="0.3">
      <c r="B4546" s="113">
        <v>42467</v>
      </c>
      <c r="C4546">
        <v>211.78</v>
      </c>
      <c r="D4546">
        <f t="shared" si="143"/>
        <v>1.9643716899374157E-2</v>
      </c>
      <c r="E4546">
        <v>-1.9809312228084797E-2</v>
      </c>
      <c r="G4546">
        <v>4544</v>
      </c>
      <c r="H4546">
        <f t="shared" ca="1" si="144"/>
        <v>-2.0433325678678661E-2</v>
      </c>
    </row>
    <row r="4547" spans="2:8" x14ac:dyDescent="0.3">
      <c r="B4547" s="113">
        <v>43875</v>
      </c>
      <c r="C4547">
        <v>207.7</v>
      </c>
      <c r="D4547">
        <f t="shared" ref="D4547:D4610" si="145">(C4547-C4548)/C4548</f>
        <v>5.6698779704560049</v>
      </c>
      <c r="E4547">
        <v>-1.9820670127418675E-2</v>
      </c>
      <c r="G4547">
        <v>4545</v>
      </c>
      <c r="H4547">
        <f t="shared" ca="1" si="144"/>
        <v>8.008709134908816E-3</v>
      </c>
    </row>
    <row r="4548" spans="2:8" x14ac:dyDescent="0.3">
      <c r="B4548" s="113">
        <v>38474</v>
      </c>
      <c r="C4548">
        <v>31.14</v>
      </c>
      <c r="D4548">
        <f t="shared" si="145"/>
        <v>0.10582386363636365</v>
      </c>
      <c r="E4548">
        <v>-1.9830028328611866E-2</v>
      </c>
      <c r="G4548">
        <v>4546</v>
      </c>
      <c r="H4548">
        <f t="shared" ref="H4548:H4611" ca="1" si="146">_xlfn.NORM.INV(RAND(),$L$4,$L$6)</f>
        <v>2.9865083380160008E-2</v>
      </c>
    </row>
    <row r="4549" spans="2:8" x14ac:dyDescent="0.3">
      <c r="B4549" s="113">
        <v>38362</v>
      </c>
      <c r="C4549">
        <v>28.16</v>
      </c>
      <c r="D4549">
        <f t="shared" si="145"/>
        <v>-0.53261410788381747</v>
      </c>
      <c r="E4549">
        <v>-1.9839888618169172E-2</v>
      </c>
      <c r="G4549">
        <v>4547</v>
      </c>
      <c r="H4549">
        <f t="shared" ca="1" si="146"/>
        <v>-9.7938086109729955E-3</v>
      </c>
    </row>
    <row r="4550" spans="2:8" x14ac:dyDescent="0.3">
      <c r="B4550" s="113">
        <v>39038</v>
      </c>
      <c r="C4550">
        <v>60.25</v>
      </c>
      <c r="D4550">
        <f t="shared" si="145"/>
        <v>-0.55613673198762348</v>
      </c>
      <c r="E4550">
        <v>-1.9847079876362434E-2</v>
      </c>
      <c r="G4550">
        <v>4548</v>
      </c>
      <c r="H4550">
        <f t="shared" ca="1" si="146"/>
        <v>-2.0645382762390304E-2</v>
      </c>
    </row>
    <row r="4551" spans="2:8" x14ac:dyDescent="0.3">
      <c r="B4551" s="113">
        <v>40757</v>
      </c>
      <c r="C4551">
        <v>135.74</v>
      </c>
      <c r="D4551">
        <f t="shared" si="145"/>
        <v>-0.34554746637095601</v>
      </c>
      <c r="E4551">
        <v>-1.9857029388403495E-2</v>
      </c>
      <c r="G4551">
        <v>4549</v>
      </c>
      <c r="H4551">
        <f t="shared" ca="1" si="146"/>
        <v>-1.0989312448157327E-2</v>
      </c>
    </row>
    <row r="4552" spans="2:8" x14ac:dyDescent="0.3">
      <c r="B4552" s="113">
        <v>41612</v>
      </c>
      <c r="C4552">
        <v>207.41</v>
      </c>
      <c r="D4552">
        <f t="shared" si="145"/>
        <v>-7.4269136353492582E-2</v>
      </c>
      <c r="E4552">
        <v>-1.9894149891314657E-2</v>
      </c>
      <c r="G4552">
        <v>4550</v>
      </c>
      <c r="H4552">
        <f t="shared" ca="1" si="146"/>
        <v>7.902291035688425E-3</v>
      </c>
    </row>
    <row r="4553" spans="2:8" x14ac:dyDescent="0.3">
      <c r="B4553" s="113">
        <v>44545</v>
      </c>
      <c r="C4553">
        <v>224.05</v>
      </c>
      <c r="D4553">
        <f t="shared" si="145"/>
        <v>-0.18719390531471058</v>
      </c>
      <c r="E4553">
        <v>-1.9903762029746207E-2</v>
      </c>
      <c r="G4553">
        <v>4551</v>
      </c>
      <c r="H4553">
        <f t="shared" ca="1" si="146"/>
        <v>3.7570302215574385E-2</v>
      </c>
    </row>
    <row r="4554" spans="2:8" x14ac:dyDescent="0.3">
      <c r="B4554" s="113">
        <v>43129</v>
      </c>
      <c r="C4554">
        <v>275.64999999999998</v>
      </c>
      <c r="D4554">
        <f t="shared" si="145"/>
        <v>5.4756256217953637E-2</v>
      </c>
      <c r="E4554">
        <v>-1.9911111111111192E-2</v>
      </c>
      <c r="G4554">
        <v>4552</v>
      </c>
      <c r="H4554">
        <f t="shared" ca="1" si="146"/>
        <v>2.9075118211986155E-2</v>
      </c>
    </row>
    <row r="4555" spans="2:8" x14ac:dyDescent="0.3">
      <c r="B4555" s="113">
        <v>44690</v>
      </c>
      <c r="C4555">
        <v>261.33999999999997</v>
      </c>
      <c r="D4555">
        <f t="shared" si="145"/>
        <v>3.116887208569628</v>
      </c>
      <c r="E4555">
        <v>-1.9913744609038074E-2</v>
      </c>
      <c r="G4555">
        <v>4553</v>
      </c>
      <c r="H4555">
        <f t="shared" ca="1" si="146"/>
        <v>1.484680130136309E-2</v>
      </c>
    </row>
    <row r="4556" spans="2:8" x14ac:dyDescent="0.3">
      <c r="B4556" s="113">
        <v>39623</v>
      </c>
      <c r="C4556">
        <v>63.48</v>
      </c>
      <c r="D4556">
        <f t="shared" si="145"/>
        <v>-0.74163614163614167</v>
      </c>
      <c r="E4556">
        <v>-1.9916628068550244E-2</v>
      </c>
      <c r="G4556">
        <v>4554</v>
      </c>
      <c r="H4556">
        <f t="shared" ca="1" si="146"/>
        <v>5.0834678441618319E-3</v>
      </c>
    </row>
    <row r="4557" spans="2:8" x14ac:dyDescent="0.3">
      <c r="B4557" s="113">
        <v>43790</v>
      </c>
      <c r="C4557">
        <v>245.7</v>
      </c>
      <c r="D4557">
        <f t="shared" si="145"/>
        <v>5.5729815666222662E-2</v>
      </c>
      <c r="E4557">
        <v>-1.994415636218588E-2</v>
      </c>
      <c r="G4557">
        <v>4555</v>
      </c>
      <c r="H4557">
        <f t="shared" ca="1" si="146"/>
        <v>-2.5486734097993038E-2</v>
      </c>
    </row>
    <row r="4558" spans="2:8" x14ac:dyDescent="0.3">
      <c r="B4558" s="113">
        <v>41892</v>
      </c>
      <c r="C4558">
        <v>232.73</v>
      </c>
      <c r="D4558">
        <f t="shared" si="145"/>
        <v>2.8015354459327018</v>
      </c>
      <c r="E4558">
        <v>-1.9960416052554046E-2</v>
      </c>
      <c r="G4558">
        <v>4556</v>
      </c>
      <c r="H4558">
        <f t="shared" ca="1" si="146"/>
        <v>5.0198328043351143E-3</v>
      </c>
    </row>
    <row r="4559" spans="2:8" x14ac:dyDescent="0.3">
      <c r="B4559" s="113">
        <v>39923</v>
      </c>
      <c r="C4559">
        <v>61.22</v>
      </c>
      <c r="D4559">
        <f t="shared" si="145"/>
        <v>-0.75164300202839762</v>
      </c>
      <c r="E4559">
        <v>-2.0009604610212901E-2</v>
      </c>
      <c r="G4559">
        <v>4557</v>
      </c>
      <c r="H4559">
        <f t="shared" ca="1" si="146"/>
        <v>2.6366827236371068E-3</v>
      </c>
    </row>
    <row r="4560" spans="2:8" x14ac:dyDescent="0.3">
      <c r="B4560" s="113">
        <v>43697</v>
      </c>
      <c r="C4560">
        <v>246.5</v>
      </c>
      <c r="D4560">
        <f t="shared" si="145"/>
        <v>8.7162002364998017</v>
      </c>
      <c r="E4560">
        <v>-2.0075531703438725E-2</v>
      </c>
      <c r="G4560">
        <v>4558</v>
      </c>
      <c r="H4560">
        <f t="shared" ca="1" si="146"/>
        <v>5.1442650747816517E-3</v>
      </c>
    </row>
    <row r="4561" spans="2:8" x14ac:dyDescent="0.3">
      <c r="B4561" s="113">
        <v>38057</v>
      </c>
      <c r="C4561">
        <v>25.37</v>
      </c>
      <c r="D4561">
        <f t="shared" si="145"/>
        <v>-0.91536280233527934</v>
      </c>
      <c r="E4561">
        <v>-2.0084974893781367E-2</v>
      </c>
      <c r="G4561">
        <v>4559</v>
      </c>
      <c r="H4561">
        <f t="shared" ca="1" si="146"/>
        <v>1.2302088339058014E-2</v>
      </c>
    </row>
    <row r="4562" spans="2:8" x14ac:dyDescent="0.3">
      <c r="B4562" s="113">
        <v>43607</v>
      </c>
      <c r="C4562">
        <v>299.75</v>
      </c>
      <c r="D4562">
        <f t="shared" si="145"/>
        <v>0.15067178502879078</v>
      </c>
      <c r="E4562">
        <v>-2.0104609349460536E-2</v>
      </c>
      <c r="G4562">
        <v>4560</v>
      </c>
      <c r="H4562">
        <f t="shared" ca="1" si="146"/>
        <v>1.4985230330435959E-3</v>
      </c>
    </row>
    <row r="4563" spans="2:8" x14ac:dyDescent="0.3">
      <c r="B4563" s="113">
        <v>43777</v>
      </c>
      <c r="C4563">
        <v>260.5</v>
      </c>
      <c r="D4563">
        <f t="shared" si="145"/>
        <v>10.639857015192137</v>
      </c>
      <c r="E4563">
        <v>-2.0124130148580111E-2</v>
      </c>
      <c r="G4563">
        <v>4561</v>
      </c>
      <c r="H4563">
        <f t="shared" ca="1" si="146"/>
        <v>-2.7013053051659679E-2</v>
      </c>
    </row>
    <row r="4564" spans="2:8" x14ac:dyDescent="0.3">
      <c r="B4564" s="113">
        <v>38202</v>
      </c>
      <c r="C4564">
        <v>22.38</v>
      </c>
      <c r="D4564">
        <f t="shared" si="145"/>
        <v>-0.89423440453686198</v>
      </c>
      <c r="E4564">
        <v>-2.0140105078809145E-2</v>
      </c>
      <c r="G4564">
        <v>4562</v>
      </c>
      <c r="H4564">
        <f t="shared" ca="1" si="146"/>
        <v>1.2039677516990839E-2</v>
      </c>
    </row>
    <row r="4565" spans="2:8" x14ac:dyDescent="0.3">
      <c r="B4565" s="113">
        <v>44280</v>
      </c>
      <c r="C4565">
        <v>211.6</v>
      </c>
      <c r="D4565">
        <f t="shared" si="145"/>
        <v>-0.18631032493751207</v>
      </c>
      <c r="E4565">
        <v>-2.0143551748089811E-2</v>
      </c>
      <c r="G4565">
        <v>4563</v>
      </c>
      <c r="H4565">
        <f t="shared" ca="1" si="146"/>
        <v>-2.2473416846124044E-3</v>
      </c>
    </row>
    <row r="4566" spans="2:8" x14ac:dyDescent="0.3">
      <c r="B4566" s="113">
        <v>43048</v>
      </c>
      <c r="C4566">
        <v>260.05</v>
      </c>
      <c r="D4566">
        <f t="shared" si="145"/>
        <v>-0.16396077800996622</v>
      </c>
      <c r="E4566">
        <v>-2.0158251695553756E-2</v>
      </c>
      <c r="G4566">
        <v>4564</v>
      </c>
      <c r="H4566">
        <f t="shared" ca="1" si="146"/>
        <v>1.5031858310080302E-3</v>
      </c>
    </row>
    <row r="4567" spans="2:8" x14ac:dyDescent="0.3">
      <c r="B4567" s="113">
        <v>42892</v>
      </c>
      <c r="C4567">
        <v>311.05</v>
      </c>
      <c r="D4567">
        <f t="shared" si="145"/>
        <v>0.59692986959646788</v>
      </c>
      <c r="E4567">
        <v>-2.0160655221294621E-2</v>
      </c>
      <c r="G4567">
        <v>4565</v>
      </c>
      <c r="H4567">
        <f t="shared" ca="1" si="146"/>
        <v>1.8468725713478889E-2</v>
      </c>
    </row>
    <row r="4568" spans="2:8" x14ac:dyDescent="0.3">
      <c r="B4568" s="113">
        <v>42423</v>
      </c>
      <c r="C4568">
        <v>194.78</v>
      </c>
      <c r="D4568">
        <f t="shared" si="145"/>
        <v>11.968042609853528</v>
      </c>
      <c r="E4568">
        <v>-2.0172040847125063E-2</v>
      </c>
      <c r="G4568">
        <v>4566</v>
      </c>
      <c r="H4568">
        <f t="shared" ca="1" si="146"/>
        <v>-2.6509963547177634E-2</v>
      </c>
    </row>
    <row r="4569" spans="2:8" x14ac:dyDescent="0.3">
      <c r="B4569" s="113">
        <v>37764</v>
      </c>
      <c r="C4569">
        <v>15.02</v>
      </c>
      <c r="D4569">
        <f t="shared" si="145"/>
        <v>-0.94078454563374725</v>
      </c>
      <c r="E4569">
        <v>-2.022178734507505E-2</v>
      </c>
      <c r="G4569">
        <v>4567</v>
      </c>
      <c r="H4569">
        <f t="shared" ca="1" si="146"/>
        <v>-4.7202024331173117E-3</v>
      </c>
    </row>
    <row r="4570" spans="2:8" x14ac:dyDescent="0.3">
      <c r="B4570" s="113">
        <v>43684</v>
      </c>
      <c r="C4570">
        <v>253.65</v>
      </c>
      <c r="D4570">
        <f t="shared" si="145"/>
        <v>0.21888515136953393</v>
      </c>
      <c r="E4570">
        <v>-2.0278099652375328E-2</v>
      </c>
      <c r="G4570">
        <v>4568</v>
      </c>
      <c r="H4570">
        <f t="shared" ca="1" si="146"/>
        <v>5.4306190202157902E-6</v>
      </c>
    </row>
    <row r="4571" spans="2:8" x14ac:dyDescent="0.3">
      <c r="B4571" s="113">
        <v>41505</v>
      </c>
      <c r="C4571">
        <v>208.1</v>
      </c>
      <c r="D4571">
        <f t="shared" si="145"/>
        <v>2.2927215189873413</v>
      </c>
      <c r="E4571">
        <v>-2.0290946753919317E-2</v>
      </c>
      <c r="G4571">
        <v>4569</v>
      </c>
      <c r="H4571">
        <f t="shared" ca="1" si="146"/>
        <v>3.0019766988916924E-2</v>
      </c>
    </row>
    <row r="4572" spans="2:8" x14ac:dyDescent="0.3">
      <c r="B4572" s="113">
        <v>39009</v>
      </c>
      <c r="C4572">
        <v>63.2</v>
      </c>
      <c r="D4572">
        <f t="shared" si="145"/>
        <v>0.13059033989266555</v>
      </c>
      <c r="E4572">
        <v>-2.0306929158270069E-2</v>
      </c>
      <c r="G4572">
        <v>4570</v>
      </c>
      <c r="H4572">
        <f t="shared" ca="1" si="146"/>
        <v>2.8377840482838892E-2</v>
      </c>
    </row>
    <row r="4573" spans="2:8" x14ac:dyDescent="0.3">
      <c r="B4573" s="113">
        <v>39777</v>
      </c>
      <c r="C4573">
        <v>55.9</v>
      </c>
      <c r="D4573">
        <f t="shared" si="145"/>
        <v>-0.79609702717490416</v>
      </c>
      <c r="E4573">
        <v>-2.0329477742727017E-2</v>
      </c>
      <c r="G4573">
        <v>4571</v>
      </c>
      <c r="H4573">
        <f t="shared" ca="1" si="146"/>
        <v>-3.8558459180157612E-3</v>
      </c>
    </row>
    <row r="4574" spans="2:8" x14ac:dyDescent="0.3">
      <c r="B4574" s="113">
        <v>42955</v>
      </c>
      <c r="C4574">
        <v>274.14999999999998</v>
      </c>
      <c r="D4574">
        <f t="shared" si="145"/>
        <v>4.2276546401551172E-2</v>
      </c>
      <c r="E4574">
        <v>-2.0368054314811666E-2</v>
      </c>
      <c r="G4574">
        <v>4572</v>
      </c>
      <c r="H4574">
        <f t="shared" ca="1" si="146"/>
        <v>2.6620697028707659E-3</v>
      </c>
    </row>
    <row r="4575" spans="2:8" x14ac:dyDescent="0.3">
      <c r="B4575" s="113">
        <v>44725</v>
      </c>
      <c r="C4575">
        <v>263.02999999999997</v>
      </c>
      <c r="D4575">
        <f t="shared" si="145"/>
        <v>8.969260087828311E-2</v>
      </c>
      <c r="E4575">
        <v>-2.0372439478584831E-2</v>
      </c>
      <c r="G4575">
        <v>4573</v>
      </c>
      <c r="H4575">
        <f t="shared" ca="1" si="146"/>
        <v>-1.1782251321642618E-2</v>
      </c>
    </row>
    <row r="4576" spans="2:8" x14ac:dyDescent="0.3">
      <c r="B4576" s="113">
        <v>41954</v>
      </c>
      <c r="C4576">
        <v>241.38</v>
      </c>
      <c r="D4576">
        <f t="shared" si="145"/>
        <v>9.9718181818181808</v>
      </c>
      <c r="E4576">
        <v>-2.0452885317750153E-2</v>
      </c>
      <c r="G4576">
        <v>4574</v>
      </c>
      <c r="H4576">
        <f t="shared" ca="1" si="146"/>
        <v>7.0759020005268279E-3</v>
      </c>
    </row>
    <row r="4577" spans="2:8" x14ac:dyDescent="0.3">
      <c r="B4577" s="113">
        <v>38188</v>
      </c>
      <c r="C4577">
        <v>22</v>
      </c>
      <c r="D4577">
        <f t="shared" si="145"/>
        <v>-0.90888382687927105</v>
      </c>
      <c r="E4577">
        <v>-2.0480854853072165E-2</v>
      </c>
      <c r="G4577">
        <v>4575</v>
      </c>
      <c r="H4577">
        <f t="shared" ca="1" si="146"/>
        <v>-2.9876728683425943E-2</v>
      </c>
    </row>
    <row r="4578" spans="2:8" x14ac:dyDescent="0.3">
      <c r="B4578" s="113">
        <v>43698</v>
      </c>
      <c r="C4578">
        <v>241.45</v>
      </c>
      <c r="D4578">
        <f t="shared" si="145"/>
        <v>2.918370658876988</v>
      </c>
      <c r="E4578">
        <v>-2.0486815415821546E-2</v>
      </c>
      <c r="G4578">
        <v>4576</v>
      </c>
      <c r="H4578">
        <f t="shared" ca="1" si="146"/>
        <v>-2.0766996462279023E-2</v>
      </c>
    </row>
    <row r="4579" spans="2:8" x14ac:dyDescent="0.3">
      <c r="B4579" s="113">
        <v>39356</v>
      </c>
      <c r="C4579">
        <v>61.62</v>
      </c>
      <c r="D4579">
        <f t="shared" si="145"/>
        <v>0.50182793078235433</v>
      </c>
      <c r="E4579">
        <v>-2.0505484024797318E-2</v>
      </c>
      <c r="G4579">
        <v>4577</v>
      </c>
      <c r="H4579">
        <f t="shared" ca="1" si="146"/>
        <v>2.8648996504861718E-2</v>
      </c>
    </row>
    <row r="4580" spans="2:8" x14ac:dyDescent="0.3">
      <c r="B4580" s="113">
        <v>38609</v>
      </c>
      <c r="C4580">
        <v>41.03</v>
      </c>
      <c r="D4580">
        <f t="shared" si="145"/>
        <v>-0.77356512141280354</v>
      </c>
      <c r="E4580">
        <v>-2.0529959417522069E-2</v>
      </c>
      <c r="G4580">
        <v>4578</v>
      </c>
      <c r="H4580">
        <f t="shared" ca="1" si="146"/>
        <v>-2.2190224096659897E-2</v>
      </c>
    </row>
    <row r="4581" spans="2:8" x14ac:dyDescent="0.3">
      <c r="B4581" s="113">
        <v>43999</v>
      </c>
      <c r="C4581">
        <v>181.2</v>
      </c>
      <c r="D4581">
        <f t="shared" si="145"/>
        <v>2.3339466421343142</v>
      </c>
      <c r="E4581">
        <v>-2.0540540540540601E-2</v>
      </c>
      <c r="G4581">
        <v>4579</v>
      </c>
      <c r="H4581">
        <f t="shared" ca="1" si="146"/>
        <v>-4.1246958966481085E-3</v>
      </c>
    </row>
    <row r="4582" spans="2:8" x14ac:dyDescent="0.3">
      <c r="B4582" s="113">
        <v>39303</v>
      </c>
      <c r="C4582">
        <v>54.35</v>
      </c>
      <c r="D4582">
        <f t="shared" si="145"/>
        <v>-0.76616615755281159</v>
      </c>
      <c r="E4582">
        <v>-2.0544242205802858E-2</v>
      </c>
      <c r="G4582">
        <v>4580</v>
      </c>
      <c r="H4582">
        <f t="shared" ca="1" si="146"/>
        <v>-4.1179767110609035E-2</v>
      </c>
    </row>
    <row r="4583" spans="2:8" x14ac:dyDescent="0.3">
      <c r="B4583" s="113">
        <v>41485</v>
      </c>
      <c r="C4583">
        <v>232.43</v>
      </c>
      <c r="D4583">
        <f t="shared" si="145"/>
        <v>-0.15016453382084091</v>
      </c>
      <c r="E4583">
        <v>-2.056381947663392E-2</v>
      </c>
      <c r="G4583">
        <v>4581</v>
      </c>
      <c r="H4583">
        <f t="shared" ca="1" si="146"/>
        <v>3.9484697824155437E-2</v>
      </c>
    </row>
    <row r="4584" spans="2:8" x14ac:dyDescent="0.3">
      <c r="B4584" s="113">
        <v>43137</v>
      </c>
      <c r="C4584">
        <v>273.5</v>
      </c>
      <c r="D4584">
        <f t="shared" si="145"/>
        <v>1.0444012557930931</v>
      </c>
      <c r="E4584">
        <v>-2.0590868397493287E-2</v>
      </c>
      <c r="G4584">
        <v>4582</v>
      </c>
      <c r="H4584">
        <f t="shared" ca="1" si="146"/>
        <v>-1.6995571920591243E-2</v>
      </c>
    </row>
    <row r="4585" spans="2:8" x14ac:dyDescent="0.3">
      <c r="B4585" s="113">
        <v>40935</v>
      </c>
      <c r="C4585">
        <v>133.78</v>
      </c>
      <c r="D4585">
        <f t="shared" si="145"/>
        <v>8.1442241968557756</v>
      </c>
      <c r="E4585">
        <v>-2.0644216691068765E-2</v>
      </c>
      <c r="G4585">
        <v>4583</v>
      </c>
      <c r="H4585">
        <f t="shared" ca="1" si="146"/>
        <v>-1.0672373317361938E-2</v>
      </c>
    </row>
    <row r="4586" spans="2:8" x14ac:dyDescent="0.3">
      <c r="B4586" s="113">
        <v>37749</v>
      </c>
      <c r="C4586">
        <v>14.63</v>
      </c>
      <c r="D4586">
        <f t="shared" si="145"/>
        <v>-0.93272944638587463</v>
      </c>
      <c r="E4586">
        <v>-2.0749665327978496E-2</v>
      </c>
      <c r="G4586">
        <v>4584</v>
      </c>
      <c r="H4586">
        <f t="shared" ca="1" si="146"/>
        <v>7.1593679899547109E-3</v>
      </c>
    </row>
    <row r="4587" spans="2:8" x14ac:dyDescent="0.3">
      <c r="B4587" s="113">
        <v>41579</v>
      </c>
      <c r="C4587">
        <v>217.48</v>
      </c>
      <c r="D4587">
        <f t="shared" si="145"/>
        <v>-0.30561941251596425</v>
      </c>
      <c r="E4587">
        <v>-2.0757350623621117E-2</v>
      </c>
      <c r="G4587">
        <v>4585</v>
      </c>
      <c r="H4587">
        <f t="shared" ca="1" si="146"/>
        <v>1.8186991865871719E-3</v>
      </c>
    </row>
    <row r="4588" spans="2:8" x14ac:dyDescent="0.3">
      <c r="B4588" s="113">
        <v>43346</v>
      </c>
      <c r="C4588">
        <v>313.2</v>
      </c>
      <c r="D4588">
        <f t="shared" si="145"/>
        <v>0.24335053592695507</v>
      </c>
      <c r="E4588">
        <v>-2.079099577927164E-2</v>
      </c>
      <c r="G4588">
        <v>4586</v>
      </c>
      <c r="H4588">
        <f t="shared" ca="1" si="146"/>
        <v>2.1294786471919423E-2</v>
      </c>
    </row>
    <row r="4589" spans="2:8" x14ac:dyDescent="0.3">
      <c r="B4589" s="113">
        <v>43745</v>
      </c>
      <c r="C4589">
        <v>251.9</v>
      </c>
      <c r="D4589">
        <f t="shared" si="145"/>
        <v>0.52325089193928764</v>
      </c>
      <c r="E4589">
        <v>-2.0796890184645266E-2</v>
      </c>
      <c r="G4589">
        <v>4587</v>
      </c>
      <c r="H4589">
        <f t="shared" ca="1" si="146"/>
        <v>1.3481053287329584E-2</v>
      </c>
    </row>
    <row r="4590" spans="2:8" x14ac:dyDescent="0.3">
      <c r="B4590" s="113">
        <v>41116</v>
      </c>
      <c r="C4590">
        <v>165.37</v>
      </c>
      <c r="D4590">
        <f t="shared" si="145"/>
        <v>1.4286973123806725</v>
      </c>
      <c r="E4590">
        <v>-2.0841968144946307E-2</v>
      </c>
      <c r="G4590">
        <v>4588</v>
      </c>
      <c r="H4590">
        <f t="shared" ca="1" si="146"/>
        <v>1.2932780085673733E-2</v>
      </c>
    </row>
    <row r="4591" spans="2:8" x14ac:dyDescent="0.3">
      <c r="B4591" s="113">
        <v>39497</v>
      </c>
      <c r="C4591">
        <v>68.09</v>
      </c>
      <c r="D4591">
        <f t="shared" si="145"/>
        <v>-0.56155827430779137</v>
      </c>
      <c r="E4591">
        <v>-2.0851308599367308E-2</v>
      </c>
      <c r="G4591">
        <v>4589</v>
      </c>
      <c r="H4591">
        <f t="shared" ca="1" si="146"/>
        <v>-2.9215773756030093E-2</v>
      </c>
    </row>
    <row r="4592" spans="2:8" x14ac:dyDescent="0.3">
      <c r="B4592" s="113">
        <v>41040</v>
      </c>
      <c r="C4592">
        <v>155.30000000000001</v>
      </c>
      <c r="D4592">
        <f t="shared" si="145"/>
        <v>-0.43884372177055098</v>
      </c>
      <c r="E4592">
        <v>-2.0868797679843655E-2</v>
      </c>
      <c r="G4592">
        <v>4590</v>
      </c>
      <c r="H4592">
        <f t="shared" ca="1" si="146"/>
        <v>7.7559845986927113E-3</v>
      </c>
    </row>
    <row r="4593" spans="2:8" x14ac:dyDescent="0.3">
      <c r="B4593" s="113">
        <v>43455</v>
      </c>
      <c r="C4593">
        <v>276.75</v>
      </c>
      <c r="D4593">
        <f t="shared" si="145"/>
        <v>0.22994533576285503</v>
      </c>
      <c r="E4593">
        <v>-2.0873872280205121E-2</v>
      </c>
      <c r="G4593">
        <v>4591</v>
      </c>
      <c r="H4593">
        <f t="shared" ca="1" si="146"/>
        <v>2.6425326016504352E-2</v>
      </c>
    </row>
    <row r="4594" spans="2:8" x14ac:dyDescent="0.3">
      <c r="B4594" s="113">
        <v>42076</v>
      </c>
      <c r="C4594">
        <v>225.01</v>
      </c>
      <c r="D4594">
        <f t="shared" si="145"/>
        <v>3.4529982188798729</v>
      </c>
      <c r="E4594">
        <v>-2.088681954658201E-2</v>
      </c>
      <c r="G4594">
        <v>4592</v>
      </c>
      <c r="H4594">
        <f t="shared" ca="1" si="146"/>
        <v>2.6277774546497438E-2</v>
      </c>
    </row>
    <row r="4595" spans="2:8" x14ac:dyDescent="0.3">
      <c r="B4595" s="113">
        <v>38751</v>
      </c>
      <c r="C4595">
        <v>50.53</v>
      </c>
      <c r="D4595">
        <f t="shared" si="145"/>
        <v>-0.77399588514178375</v>
      </c>
      <c r="E4595">
        <v>-2.0926177097461699E-2</v>
      </c>
      <c r="G4595">
        <v>4593</v>
      </c>
      <c r="H4595">
        <f t="shared" ca="1" si="146"/>
        <v>8.9765122667953851E-3</v>
      </c>
    </row>
    <row r="4596" spans="2:8" x14ac:dyDescent="0.3">
      <c r="B4596" s="113">
        <v>42331</v>
      </c>
      <c r="C4596">
        <v>223.58</v>
      </c>
      <c r="D4596">
        <f t="shared" si="145"/>
        <v>0.70320713034204307</v>
      </c>
      <c r="E4596">
        <v>-2.0931861972324405E-2</v>
      </c>
      <c r="G4596">
        <v>4594</v>
      </c>
      <c r="H4596">
        <f t="shared" ca="1" si="146"/>
        <v>-1.5269393623469144E-3</v>
      </c>
    </row>
    <row r="4597" spans="2:8" x14ac:dyDescent="0.3">
      <c r="B4597" s="113">
        <v>40816</v>
      </c>
      <c r="C4597">
        <v>131.27000000000001</v>
      </c>
      <c r="D4597">
        <f t="shared" si="145"/>
        <v>3.7734545454545456</v>
      </c>
      <c r="E4597">
        <v>-2.0957637231503595E-2</v>
      </c>
      <c r="G4597">
        <v>4595</v>
      </c>
      <c r="H4597">
        <f t="shared" ca="1" si="146"/>
        <v>-3.4932860331530441E-3</v>
      </c>
    </row>
    <row r="4598" spans="2:8" x14ac:dyDescent="0.3">
      <c r="B4598" s="113">
        <v>38365</v>
      </c>
      <c r="C4598">
        <v>27.5</v>
      </c>
      <c r="D4598">
        <f t="shared" si="145"/>
        <v>-0.41576375610792438</v>
      </c>
      <c r="E4598">
        <v>-2.1003915984336059E-2</v>
      </c>
      <c r="G4598">
        <v>4596</v>
      </c>
      <c r="H4598">
        <f t="shared" ca="1" si="146"/>
        <v>2.1192840183190724E-2</v>
      </c>
    </row>
    <row r="4599" spans="2:8" x14ac:dyDescent="0.3">
      <c r="B4599" s="113">
        <v>39160</v>
      </c>
      <c r="C4599">
        <v>47.07</v>
      </c>
      <c r="D4599">
        <f t="shared" si="145"/>
        <v>-0.36434841323430112</v>
      </c>
      <c r="E4599">
        <v>-2.1006655574043222E-2</v>
      </c>
      <c r="G4599">
        <v>4597</v>
      </c>
      <c r="H4599">
        <f t="shared" ca="1" si="146"/>
        <v>-4.8999353643758382E-2</v>
      </c>
    </row>
    <row r="4600" spans="2:8" x14ac:dyDescent="0.3">
      <c r="B4600" s="113">
        <v>39590</v>
      </c>
      <c r="C4600">
        <v>74.05</v>
      </c>
      <c r="D4600">
        <f t="shared" si="145"/>
        <v>0.1982200647249191</v>
      </c>
      <c r="E4600">
        <v>-2.1020624008461178E-2</v>
      </c>
      <c r="G4600">
        <v>4598</v>
      </c>
      <c r="H4600">
        <f t="shared" ca="1" si="146"/>
        <v>-5.429657582385122E-3</v>
      </c>
    </row>
    <row r="4601" spans="2:8" x14ac:dyDescent="0.3">
      <c r="B4601" s="113">
        <v>39953</v>
      </c>
      <c r="C4601">
        <v>61.8</v>
      </c>
      <c r="D4601">
        <f t="shared" si="145"/>
        <v>1.5946079237218459E-2</v>
      </c>
      <c r="E4601">
        <v>-2.1067638206874788E-2</v>
      </c>
      <c r="G4601">
        <v>4599</v>
      </c>
      <c r="H4601">
        <f t="shared" ca="1" si="146"/>
        <v>3.4231402771584874E-3</v>
      </c>
    </row>
    <row r="4602" spans="2:8" x14ac:dyDescent="0.3">
      <c r="B4602" s="113">
        <v>39679</v>
      </c>
      <c r="C4602">
        <v>60.83</v>
      </c>
      <c r="D4602">
        <f t="shared" si="145"/>
        <v>-0.68096711595951109</v>
      </c>
      <c r="E4602">
        <v>-2.1081429031219862E-2</v>
      </c>
      <c r="G4602">
        <v>4600</v>
      </c>
      <c r="H4602">
        <f t="shared" ca="1" si="146"/>
        <v>-1.391821013785295E-2</v>
      </c>
    </row>
    <row r="4603" spans="2:8" x14ac:dyDescent="0.3">
      <c r="B4603" s="113">
        <v>42424</v>
      </c>
      <c r="C4603">
        <v>190.67</v>
      </c>
      <c r="D4603">
        <f t="shared" si="145"/>
        <v>-0.14795781571185992</v>
      </c>
      <c r="E4603">
        <v>-2.1100729027620977E-2</v>
      </c>
      <c r="G4603">
        <v>4601</v>
      </c>
      <c r="H4603">
        <f t="shared" ca="1" si="146"/>
        <v>1.1664501085082801E-2</v>
      </c>
    </row>
    <row r="4604" spans="2:8" x14ac:dyDescent="0.3">
      <c r="B4604" s="113">
        <v>42122</v>
      </c>
      <c r="C4604">
        <v>223.78</v>
      </c>
      <c r="D4604">
        <f t="shared" si="145"/>
        <v>-0.10200642054574634</v>
      </c>
      <c r="E4604">
        <v>-2.1170501268480461E-2</v>
      </c>
      <c r="G4604">
        <v>4602</v>
      </c>
      <c r="H4604">
        <f t="shared" ca="1" si="146"/>
        <v>2.1567388563325466E-2</v>
      </c>
    </row>
    <row r="4605" spans="2:8" x14ac:dyDescent="0.3">
      <c r="B4605" s="113">
        <v>44650</v>
      </c>
      <c r="C4605">
        <v>249.2</v>
      </c>
      <c r="D4605">
        <f t="shared" si="145"/>
        <v>7.7132867132867124</v>
      </c>
      <c r="E4605">
        <v>-2.1209740769835058E-2</v>
      </c>
      <c r="G4605">
        <v>4603</v>
      </c>
      <c r="H4605">
        <f t="shared" ca="1" si="146"/>
        <v>-1.2616148905021959E-2</v>
      </c>
    </row>
    <row r="4606" spans="2:8" x14ac:dyDescent="0.3">
      <c r="B4606" s="113">
        <v>38351</v>
      </c>
      <c r="C4606">
        <v>28.6</v>
      </c>
      <c r="D4606">
        <f t="shared" si="145"/>
        <v>-0.84908448103002487</v>
      </c>
      <c r="E4606">
        <v>-2.1218343600273699E-2</v>
      </c>
      <c r="G4606">
        <v>4604</v>
      </c>
      <c r="H4606">
        <f t="shared" ca="1" si="146"/>
        <v>-6.1461013728507079E-3</v>
      </c>
    </row>
    <row r="4607" spans="2:8" x14ac:dyDescent="0.3">
      <c r="B4607" s="113">
        <v>41208</v>
      </c>
      <c r="C4607">
        <v>189.51</v>
      </c>
      <c r="D4607">
        <f t="shared" si="145"/>
        <v>7.4151865008880984</v>
      </c>
      <c r="E4607">
        <v>-2.1227145955996351E-2</v>
      </c>
      <c r="G4607">
        <v>4605</v>
      </c>
      <c r="H4607">
        <f t="shared" ca="1" si="146"/>
        <v>5.7378990630011437E-3</v>
      </c>
    </row>
    <row r="4608" spans="2:8" x14ac:dyDescent="0.3">
      <c r="B4608" s="113">
        <v>38212</v>
      </c>
      <c r="C4608">
        <v>22.52</v>
      </c>
      <c r="D4608">
        <f t="shared" si="145"/>
        <v>-0.90921185244910296</v>
      </c>
      <c r="E4608">
        <v>-2.1295089091699346E-2</v>
      </c>
      <c r="G4608">
        <v>4606</v>
      </c>
      <c r="H4608">
        <f t="shared" ca="1" si="146"/>
        <v>4.6432554783697923E-3</v>
      </c>
    </row>
    <row r="4609" spans="2:8" x14ac:dyDescent="0.3">
      <c r="B4609" s="113">
        <v>42639</v>
      </c>
      <c r="C4609">
        <v>248.05</v>
      </c>
      <c r="D4609">
        <f t="shared" si="145"/>
        <v>3.7432036804684307E-2</v>
      </c>
      <c r="E4609">
        <v>-2.1305977510356983E-2</v>
      </c>
      <c r="G4609">
        <v>4607</v>
      </c>
      <c r="H4609">
        <f t="shared" ca="1" si="146"/>
        <v>1.2632657777016193E-2</v>
      </c>
    </row>
    <row r="4610" spans="2:8" x14ac:dyDescent="0.3">
      <c r="B4610" s="113">
        <v>42037</v>
      </c>
      <c r="C4610">
        <v>239.1</v>
      </c>
      <c r="D4610">
        <f t="shared" si="145"/>
        <v>4.6389496717724264E-2</v>
      </c>
      <c r="E4610">
        <v>-2.1405476200221086E-2</v>
      </c>
      <c r="G4610">
        <v>4608</v>
      </c>
      <c r="H4610">
        <f t="shared" ca="1" si="146"/>
        <v>-1.9648488077454049E-2</v>
      </c>
    </row>
    <row r="4611" spans="2:8" x14ac:dyDescent="0.3">
      <c r="B4611" s="113">
        <v>42706</v>
      </c>
      <c r="C4611">
        <v>228.5</v>
      </c>
      <c r="D4611">
        <f t="shared" ref="D4611:D4674" si="147">(C4611-C4612)/C4612</f>
        <v>1.7496991576413961</v>
      </c>
      <c r="E4611">
        <v>-2.1413276231263382E-2</v>
      </c>
      <c r="G4611">
        <v>4609</v>
      </c>
      <c r="H4611">
        <f t="shared" ca="1" si="146"/>
        <v>-1.1722298093028503E-3</v>
      </c>
    </row>
    <row r="4612" spans="2:8" x14ac:dyDescent="0.3">
      <c r="B4612" s="113">
        <v>40177</v>
      </c>
      <c r="C4612">
        <v>83.1</v>
      </c>
      <c r="D4612">
        <f t="shared" si="147"/>
        <v>-0.59064039408866997</v>
      </c>
      <c r="E4612">
        <v>-2.1431935939708047E-2</v>
      </c>
      <c r="G4612">
        <v>4610</v>
      </c>
      <c r="H4612">
        <f t="shared" ref="H4612:H4675" ca="1" si="148">_xlfn.NORM.INV(RAND(),$L$4,$L$6)</f>
        <v>1.0085882052050679E-2</v>
      </c>
    </row>
    <row r="4613" spans="2:8" x14ac:dyDescent="0.3">
      <c r="B4613" s="113">
        <v>43885</v>
      </c>
      <c r="C4613">
        <v>203</v>
      </c>
      <c r="D4613">
        <f t="shared" si="147"/>
        <v>2.4043266812007378</v>
      </c>
      <c r="E4613">
        <v>-2.145095203663528E-2</v>
      </c>
      <c r="G4613">
        <v>4611</v>
      </c>
      <c r="H4613">
        <f t="shared" ca="1" si="148"/>
        <v>-2.1780106733784391E-2</v>
      </c>
    </row>
    <row r="4614" spans="2:8" x14ac:dyDescent="0.3">
      <c r="B4614" s="113">
        <v>39337</v>
      </c>
      <c r="C4614">
        <v>59.63</v>
      </c>
      <c r="D4614">
        <f t="shared" si="147"/>
        <v>-0.3161697247706422</v>
      </c>
      <c r="E4614">
        <v>-2.1496553987528637E-2</v>
      </c>
      <c r="G4614">
        <v>4612</v>
      </c>
      <c r="H4614">
        <f t="shared" ca="1" si="148"/>
        <v>4.0206883848966979E-2</v>
      </c>
    </row>
    <row r="4615" spans="2:8" x14ac:dyDescent="0.3">
      <c r="B4615" s="113">
        <v>40268</v>
      </c>
      <c r="C4615">
        <v>87.2</v>
      </c>
      <c r="D4615">
        <f t="shared" si="147"/>
        <v>-0.61359507245092382</v>
      </c>
      <c r="E4615">
        <v>-2.1543985637342927E-2</v>
      </c>
      <c r="G4615">
        <v>4613</v>
      </c>
      <c r="H4615">
        <f t="shared" ca="1" si="148"/>
        <v>4.5930232569408496E-3</v>
      </c>
    </row>
    <row r="4616" spans="2:8" x14ac:dyDescent="0.3">
      <c r="B4616" s="113">
        <v>41547</v>
      </c>
      <c r="C4616">
        <v>225.67</v>
      </c>
      <c r="D4616">
        <f t="shared" si="147"/>
        <v>-1.177964617270987E-2</v>
      </c>
      <c r="E4616">
        <v>-2.1548733957682965E-2</v>
      </c>
      <c r="G4616">
        <v>4614</v>
      </c>
      <c r="H4616">
        <f t="shared" ca="1" si="148"/>
        <v>-9.5410847111197065E-3</v>
      </c>
    </row>
    <row r="4617" spans="2:8" x14ac:dyDescent="0.3">
      <c r="B4617" s="113">
        <v>42328</v>
      </c>
      <c r="C4617">
        <v>228.36</v>
      </c>
      <c r="D4617">
        <f t="shared" si="147"/>
        <v>2.5323275862069033E-2</v>
      </c>
      <c r="E4617">
        <v>-2.1551908822143077E-2</v>
      </c>
      <c r="G4617">
        <v>4615</v>
      </c>
      <c r="H4617">
        <f t="shared" ca="1" si="148"/>
        <v>-6.4785030189808586E-3</v>
      </c>
    </row>
    <row r="4618" spans="2:8" x14ac:dyDescent="0.3">
      <c r="B4618" s="113">
        <v>42342</v>
      </c>
      <c r="C4618">
        <v>222.72</v>
      </c>
      <c r="D4618">
        <f t="shared" si="147"/>
        <v>-0.12263147528067755</v>
      </c>
      <c r="E4618">
        <v>-2.157009181566576E-2</v>
      </c>
      <c r="G4618">
        <v>4616</v>
      </c>
      <c r="H4618">
        <f t="shared" ca="1" si="148"/>
        <v>-2.6006157657414663E-2</v>
      </c>
    </row>
    <row r="4619" spans="2:8" x14ac:dyDescent="0.3">
      <c r="B4619" s="113">
        <v>43782</v>
      </c>
      <c r="C4619">
        <v>253.85</v>
      </c>
      <c r="D4619">
        <f t="shared" si="147"/>
        <v>0.11196285426431295</v>
      </c>
      <c r="E4619">
        <v>-2.1584120254384255E-2</v>
      </c>
      <c r="G4619">
        <v>4617</v>
      </c>
      <c r="H4619">
        <f t="shared" ca="1" si="148"/>
        <v>2.7710284572069295E-3</v>
      </c>
    </row>
    <row r="4620" spans="2:8" x14ac:dyDescent="0.3">
      <c r="B4620" s="113">
        <v>41731</v>
      </c>
      <c r="C4620">
        <v>228.29</v>
      </c>
      <c r="D4620">
        <f t="shared" si="147"/>
        <v>3.1666362474904179</v>
      </c>
      <c r="E4620">
        <v>-2.1600308575836884E-2</v>
      </c>
      <c r="G4620">
        <v>4618</v>
      </c>
      <c r="H4620">
        <f t="shared" ca="1" si="148"/>
        <v>-1.9174103460300979E-2</v>
      </c>
    </row>
    <row r="4621" spans="2:8" x14ac:dyDescent="0.3">
      <c r="B4621" s="113">
        <v>39087</v>
      </c>
      <c r="C4621">
        <v>54.79</v>
      </c>
      <c r="D4621">
        <f t="shared" si="147"/>
        <v>-0.80792287467134094</v>
      </c>
      <c r="E4621">
        <v>-2.1607142857142873E-2</v>
      </c>
      <c r="G4621">
        <v>4619</v>
      </c>
      <c r="H4621">
        <f t="shared" ca="1" si="148"/>
        <v>-1.9004387230941767E-2</v>
      </c>
    </row>
    <row r="4622" spans="2:8" x14ac:dyDescent="0.3">
      <c r="B4622" s="113">
        <v>42947</v>
      </c>
      <c r="C4622">
        <v>285.25</v>
      </c>
      <c r="D4622">
        <f t="shared" si="147"/>
        <v>1.5065905096660808</v>
      </c>
      <c r="E4622">
        <v>-2.1608643457382993E-2</v>
      </c>
      <c r="G4622">
        <v>4620</v>
      </c>
      <c r="H4622">
        <f t="shared" ca="1" si="148"/>
        <v>-1.8940967518909987E-2</v>
      </c>
    </row>
    <row r="4623" spans="2:8" x14ac:dyDescent="0.3">
      <c r="B4623" s="113">
        <v>40563</v>
      </c>
      <c r="C4623">
        <v>113.8</v>
      </c>
      <c r="D4623">
        <f t="shared" si="147"/>
        <v>-0.38586076632487865</v>
      </c>
      <c r="E4623">
        <v>-2.1664374140302582E-2</v>
      </c>
      <c r="G4623">
        <v>4621</v>
      </c>
      <c r="H4623">
        <f t="shared" ca="1" si="148"/>
        <v>-3.1320159752589228E-3</v>
      </c>
    </row>
    <row r="4624" spans="2:8" x14ac:dyDescent="0.3">
      <c r="B4624" s="113">
        <v>41283</v>
      </c>
      <c r="C4624">
        <v>185.3</v>
      </c>
      <c r="D4624">
        <f t="shared" si="147"/>
        <v>6.9323630136986303</v>
      </c>
      <c r="E4624">
        <v>-2.1698959928198012E-2</v>
      </c>
      <c r="G4624">
        <v>4622</v>
      </c>
      <c r="H4624">
        <f t="shared" ca="1" si="148"/>
        <v>1.0620843135033387E-2</v>
      </c>
    </row>
    <row r="4625" spans="2:8" x14ac:dyDescent="0.3">
      <c r="B4625" s="113">
        <v>38104</v>
      </c>
      <c r="C4625">
        <v>23.36</v>
      </c>
      <c r="D4625">
        <f t="shared" si="147"/>
        <v>-0.73180252583237659</v>
      </c>
      <c r="E4625">
        <v>-2.1775544388609697E-2</v>
      </c>
      <c r="G4625">
        <v>4623</v>
      </c>
      <c r="H4625">
        <f t="shared" ca="1" si="148"/>
        <v>-2.4605983995844142E-3</v>
      </c>
    </row>
    <row r="4626" spans="2:8" x14ac:dyDescent="0.3">
      <c r="B4626" s="113">
        <v>40283</v>
      </c>
      <c r="C4626">
        <v>87.1</v>
      </c>
      <c r="D4626">
        <f t="shared" si="147"/>
        <v>-0.65720807587862573</v>
      </c>
      <c r="E4626">
        <v>-2.1787960467205884E-2</v>
      </c>
      <c r="G4626">
        <v>4624</v>
      </c>
      <c r="H4626">
        <f t="shared" ca="1" si="148"/>
        <v>2.0329609248451737E-2</v>
      </c>
    </row>
    <row r="4627" spans="2:8" x14ac:dyDescent="0.3">
      <c r="B4627" s="113">
        <v>44692</v>
      </c>
      <c r="C4627">
        <v>254.09</v>
      </c>
      <c r="D4627">
        <f t="shared" si="147"/>
        <v>3.1342336479010737</v>
      </c>
      <c r="E4627">
        <v>-2.1790182868142431E-2</v>
      </c>
      <c r="G4627">
        <v>4625</v>
      </c>
      <c r="H4627">
        <f t="shared" ca="1" si="148"/>
        <v>3.7404514712064468E-3</v>
      </c>
    </row>
    <row r="4628" spans="2:8" x14ac:dyDescent="0.3">
      <c r="B4628" s="113">
        <v>39367</v>
      </c>
      <c r="C4628">
        <v>61.46</v>
      </c>
      <c r="D4628">
        <f t="shared" si="147"/>
        <v>-0.71272319341871548</v>
      </c>
      <c r="E4628">
        <v>-2.1804870284895712E-2</v>
      </c>
      <c r="G4628">
        <v>4626</v>
      </c>
      <c r="H4628">
        <f t="shared" ca="1" si="148"/>
        <v>2.6539119307651435E-2</v>
      </c>
    </row>
    <row r="4629" spans="2:8" x14ac:dyDescent="0.3">
      <c r="B4629" s="113">
        <v>41445</v>
      </c>
      <c r="C4629">
        <v>213.94</v>
      </c>
      <c r="D4629">
        <f t="shared" si="147"/>
        <v>2.7071564720152486</v>
      </c>
      <c r="E4629">
        <v>-2.1809702345571808E-2</v>
      </c>
      <c r="G4629">
        <v>4627</v>
      </c>
      <c r="H4629">
        <f t="shared" ca="1" si="148"/>
        <v>2.9643518947183038E-2</v>
      </c>
    </row>
    <row r="4630" spans="2:8" x14ac:dyDescent="0.3">
      <c r="B4630" s="113">
        <v>38861</v>
      </c>
      <c r="C4630">
        <v>57.71</v>
      </c>
      <c r="D4630">
        <f t="shared" si="147"/>
        <v>-0.5667092124033335</v>
      </c>
      <c r="E4630">
        <v>-2.1864406779661002E-2</v>
      </c>
      <c r="G4630">
        <v>4628</v>
      </c>
      <c r="H4630">
        <f t="shared" ca="1" si="148"/>
        <v>-1.6460791851274088E-2</v>
      </c>
    </row>
    <row r="4631" spans="2:8" x14ac:dyDescent="0.3">
      <c r="B4631" s="113">
        <v>40750</v>
      </c>
      <c r="C4631">
        <v>133.19</v>
      </c>
      <c r="D4631">
        <f t="shared" si="147"/>
        <v>-0.49977465635093515</v>
      </c>
      <c r="E4631">
        <v>-2.1884409194389293E-2</v>
      </c>
      <c r="G4631">
        <v>4629</v>
      </c>
      <c r="H4631">
        <f t="shared" ca="1" si="148"/>
        <v>2.6233620726858701E-2</v>
      </c>
    </row>
    <row r="4632" spans="2:8" x14ac:dyDescent="0.3">
      <c r="B4632" s="113">
        <v>44720</v>
      </c>
      <c r="C4632">
        <v>266.26</v>
      </c>
      <c r="D4632">
        <f t="shared" si="147"/>
        <v>3.7360369975097831</v>
      </c>
      <c r="E4632">
        <v>-2.1894056278010565E-2</v>
      </c>
      <c r="G4632">
        <v>4630</v>
      </c>
      <c r="H4632">
        <f t="shared" ca="1" si="148"/>
        <v>9.0250322779495268E-3</v>
      </c>
    </row>
    <row r="4633" spans="2:8" x14ac:dyDescent="0.3">
      <c r="B4633" s="113">
        <v>39890</v>
      </c>
      <c r="C4633">
        <v>56.22</v>
      </c>
      <c r="D4633">
        <f t="shared" si="147"/>
        <v>8.4304932735425799E-3</v>
      </c>
      <c r="E4633">
        <v>-2.1920668058455082E-2</v>
      </c>
      <c r="G4633">
        <v>4631</v>
      </c>
      <c r="H4633">
        <f t="shared" ca="1" si="148"/>
        <v>-9.9238561964638781E-3</v>
      </c>
    </row>
    <row r="4634" spans="2:8" x14ac:dyDescent="0.3">
      <c r="B4634" s="113">
        <v>38933</v>
      </c>
      <c r="C4634">
        <v>55.75</v>
      </c>
      <c r="D4634">
        <f t="shared" si="147"/>
        <v>-0.67132413630468102</v>
      </c>
      <c r="E4634">
        <v>-2.1929824561403508E-2</v>
      </c>
      <c r="G4634">
        <v>4632</v>
      </c>
      <c r="H4634">
        <f t="shared" ca="1" si="148"/>
        <v>3.3045475113575036E-2</v>
      </c>
    </row>
    <row r="4635" spans="2:8" x14ac:dyDescent="0.3">
      <c r="B4635" s="113">
        <v>41176</v>
      </c>
      <c r="C4635">
        <v>169.62</v>
      </c>
      <c r="D4635">
        <f t="shared" si="147"/>
        <v>-0.36009356019164745</v>
      </c>
      <c r="E4635">
        <v>-2.1968517557516012E-2</v>
      </c>
      <c r="G4635">
        <v>4633</v>
      </c>
      <c r="H4635">
        <f t="shared" ca="1" si="148"/>
        <v>1.9447094290891982E-2</v>
      </c>
    </row>
    <row r="4636" spans="2:8" x14ac:dyDescent="0.3">
      <c r="B4636" s="113">
        <v>44707</v>
      </c>
      <c r="C4636">
        <v>265.07</v>
      </c>
      <c r="D4636">
        <f t="shared" si="147"/>
        <v>1.287734046618267E-2</v>
      </c>
      <c r="E4636">
        <v>-2.1990185588311183E-2</v>
      </c>
      <c r="G4636">
        <v>4634</v>
      </c>
      <c r="H4636">
        <f t="shared" ca="1" si="148"/>
        <v>-1.0680058162330806E-2</v>
      </c>
    </row>
    <row r="4637" spans="2:8" x14ac:dyDescent="0.3">
      <c r="B4637" s="113">
        <v>43116</v>
      </c>
      <c r="C4637">
        <v>261.7</v>
      </c>
      <c r="D4637">
        <f t="shared" si="147"/>
        <v>-3.6095764272559894E-2</v>
      </c>
      <c r="E4637">
        <v>-2.2047832585949303E-2</v>
      </c>
      <c r="G4637">
        <v>4635</v>
      </c>
      <c r="H4637">
        <f t="shared" ca="1" si="148"/>
        <v>1.5041004595857223E-3</v>
      </c>
    </row>
    <row r="4638" spans="2:8" x14ac:dyDescent="0.3">
      <c r="B4638" s="113">
        <v>42991</v>
      </c>
      <c r="C4638">
        <v>271.5</v>
      </c>
      <c r="D4638">
        <f t="shared" si="147"/>
        <v>0.30673340713288727</v>
      </c>
      <c r="E4638">
        <v>-2.2150189086979931E-2</v>
      </c>
      <c r="G4638">
        <v>4636</v>
      </c>
      <c r="H4638">
        <f t="shared" ca="1" si="148"/>
        <v>4.0529504638381481E-3</v>
      </c>
    </row>
    <row r="4639" spans="2:8" x14ac:dyDescent="0.3">
      <c r="B4639" s="113">
        <v>42206</v>
      </c>
      <c r="C4639">
        <v>207.77</v>
      </c>
      <c r="D4639">
        <f t="shared" si="147"/>
        <v>-4.670796054140848E-2</v>
      </c>
      <c r="E4639">
        <v>-2.2166792168674603E-2</v>
      </c>
      <c r="G4639">
        <v>4637</v>
      </c>
      <c r="H4639">
        <f t="shared" ca="1" si="148"/>
        <v>-3.9194126429650332E-2</v>
      </c>
    </row>
    <row r="4640" spans="2:8" x14ac:dyDescent="0.3">
      <c r="B4640" s="113">
        <v>44547</v>
      </c>
      <c r="C4640">
        <v>217.95</v>
      </c>
      <c r="D4640">
        <f t="shared" si="147"/>
        <v>2.8405286343612333</v>
      </c>
      <c r="E4640">
        <v>-2.2207267833109095E-2</v>
      </c>
      <c r="G4640">
        <v>4638</v>
      </c>
      <c r="H4640">
        <f t="shared" ca="1" si="148"/>
        <v>3.6460767081558494E-2</v>
      </c>
    </row>
    <row r="4641" spans="2:8" x14ac:dyDescent="0.3">
      <c r="B4641" s="113">
        <v>39391</v>
      </c>
      <c r="C4641">
        <v>56.75</v>
      </c>
      <c r="D4641">
        <f t="shared" si="147"/>
        <v>-1.5269824744056958E-2</v>
      </c>
      <c r="E4641">
        <v>-2.2226050999310805E-2</v>
      </c>
      <c r="G4641">
        <v>4639</v>
      </c>
      <c r="H4641">
        <f t="shared" ca="1" si="148"/>
        <v>1.369321622715001E-2</v>
      </c>
    </row>
    <row r="4642" spans="2:8" x14ac:dyDescent="0.3">
      <c r="B4642" s="113">
        <v>38784</v>
      </c>
      <c r="C4642">
        <v>57.63</v>
      </c>
      <c r="D4642">
        <f t="shared" si="147"/>
        <v>-0.77422135161606265</v>
      </c>
      <c r="E4642">
        <v>-2.2391857506361326E-2</v>
      </c>
      <c r="G4642">
        <v>4640</v>
      </c>
      <c r="H4642">
        <f t="shared" ca="1" si="148"/>
        <v>1.1531606626249613E-2</v>
      </c>
    </row>
    <row r="4643" spans="2:8" x14ac:dyDescent="0.3">
      <c r="B4643" s="113">
        <v>44676</v>
      </c>
      <c r="C4643">
        <v>255.25</v>
      </c>
      <c r="D4643">
        <f t="shared" si="147"/>
        <v>17.284383954154727</v>
      </c>
      <c r="E4643">
        <v>-2.2405208732286564E-2</v>
      </c>
      <c r="G4643">
        <v>4641</v>
      </c>
      <c r="H4643">
        <f t="shared" ca="1" si="148"/>
        <v>1.704187785735383E-3</v>
      </c>
    </row>
    <row r="4644" spans="2:8" x14ac:dyDescent="0.3">
      <c r="B4644" s="113">
        <v>37650</v>
      </c>
      <c r="C4644">
        <v>13.96</v>
      </c>
      <c r="D4644">
        <f t="shared" si="147"/>
        <v>-0.76466621712744431</v>
      </c>
      <c r="E4644">
        <v>-2.240896358543407E-2</v>
      </c>
      <c r="G4644">
        <v>4642</v>
      </c>
      <c r="H4644">
        <f t="shared" ca="1" si="148"/>
        <v>-1.0747390329581347E-2</v>
      </c>
    </row>
    <row r="4645" spans="2:8" x14ac:dyDescent="0.3">
      <c r="B4645" s="113">
        <v>39874</v>
      </c>
      <c r="C4645">
        <v>59.32</v>
      </c>
      <c r="D4645">
        <f t="shared" si="147"/>
        <v>-0.75023157894736847</v>
      </c>
      <c r="E4645">
        <v>-2.2412656558998014E-2</v>
      </c>
      <c r="G4645">
        <v>4643</v>
      </c>
      <c r="H4645">
        <f t="shared" ca="1" si="148"/>
        <v>-1.0236406171148356E-2</v>
      </c>
    </row>
    <row r="4646" spans="2:8" x14ac:dyDescent="0.3">
      <c r="B4646" s="113">
        <v>42689</v>
      </c>
      <c r="C4646">
        <v>237.5</v>
      </c>
      <c r="D4646">
        <f t="shared" si="147"/>
        <v>0.91733268749495434</v>
      </c>
      <c r="E4646">
        <v>-2.2432599300267499E-2</v>
      </c>
      <c r="G4646">
        <v>4644</v>
      </c>
      <c r="H4646">
        <f t="shared" ca="1" si="148"/>
        <v>-5.8472681516298095E-3</v>
      </c>
    </row>
    <row r="4647" spans="2:8" x14ac:dyDescent="0.3">
      <c r="B4647" s="113">
        <v>40666</v>
      </c>
      <c r="C4647">
        <v>123.87</v>
      </c>
      <c r="D4647">
        <f t="shared" si="147"/>
        <v>-0.26877213695395513</v>
      </c>
      <c r="E4647">
        <v>-2.2490530303030259E-2</v>
      </c>
      <c r="G4647">
        <v>4645</v>
      </c>
      <c r="H4647">
        <f t="shared" ca="1" si="148"/>
        <v>8.5080210917208385E-3</v>
      </c>
    </row>
    <row r="4648" spans="2:8" x14ac:dyDescent="0.3">
      <c r="B4648" s="113">
        <v>44103</v>
      </c>
      <c r="C4648">
        <v>169.4</v>
      </c>
      <c r="D4648">
        <f t="shared" si="147"/>
        <v>6.1236333052985703</v>
      </c>
      <c r="E4648">
        <v>-2.2504327755337596E-2</v>
      </c>
      <c r="G4648">
        <v>4646</v>
      </c>
      <c r="H4648">
        <f t="shared" ca="1" si="148"/>
        <v>2.6969919124659146E-2</v>
      </c>
    </row>
    <row r="4649" spans="2:8" x14ac:dyDescent="0.3">
      <c r="B4649" s="113">
        <v>38062</v>
      </c>
      <c r="C4649">
        <v>23.78</v>
      </c>
      <c r="D4649">
        <f t="shared" si="147"/>
        <v>-0.61502347417840375</v>
      </c>
      <c r="E4649">
        <v>-2.2605836415947274E-2</v>
      </c>
      <c r="G4649">
        <v>4647</v>
      </c>
      <c r="H4649">
        <f t="shared" ca="1" si="148"/>
        <v>-1.8634194459564091E-2</v>
      </c>
    </row>
    <row r="4650" spans="2:8" x14ac:dyDescent="0.3">
      <c r="B4650" s="113">
        <v>39010</v>
      </c>
      <c r="C4650">
        <v>61.77</v>
      </c>
      <c r="D4650">
        <f t="shared" si="147"/>
        <v>-0.46033548838022009</v>
      </c>
      <c r="E4650">
        <v>-2.2626582278481008E-2</v>
      </c>
      <c r="G4650">
        <v>4648</v>
      </c>
      <c r="H4650">
        <f t="shared" ca="1" si="148"/>
        <v>-1.2169526651082245E-2</v>
      </c>
    </row>
    <row r="4651" spans="2:8" x14ac:dyDescent="0.3">
      <c r="B4651" s="113">
        <v>40442</v>
      </c>
      <c r="C4651">
        <v>114.46</v>
      </c>
      <c r="D4651">
        <f t="shared" si="147"/>
        <v>2.8576563623292528E-2</v>
      </c>
      <c r="E4651">
        <v>-2.2628298181197215E-2</v>
      </c>
      <c r="G4651">
        <v>4649</v>
      </c>
      <c r="H4651">
        <f t="shared" ca="1" si="148"/>
        <v>2.0696275677531271E-2</v>
      </c>
    </row>
    <row r="4652" spans="2:8" x14ac:dyDescent="0.3">
      <c r="B4652" s="113">
        <v>40478</v>
      </c>
      <c r="C4652">
        <v>111.28</v>
      </c>
      <c r="D4652">
        <f t="shared" si="147"/>
        <v>2.079136690647482</v>
      </c>
      <c r="E4652">
        <v>-2.2659406288424364E-2</v>
      </c>
      <c r="G4652">
        <v>4650</v>
      </c>
      <c r="H4652">
        <f t="shared" ca="1" si="148"/>
        <v>2.4051616486890377E-2</v>
      </c>
    </row>
    <row r="4653" spans="2:8" x14ac:dyDescent="0.3">
      <c r="B4653" s="113">
        <v>38554</v>
      </c>
      <c r="C4653">
        <v>36.14</v>
      </c>
      <c r="D4653">
        <f t="shared" si="147"/>
        <v>-0.81088435374149648</v>
      </c>
      <c r="E4653">
        <v>-2.2714981070849009E-2</v>
      </c>
      <c r="G4653">
        <v>4651</v>
      </c>
      <c r="H4653">
        <f t="shared" ca="1" si="148"/>
        <v>-9.4036029877365302E-3</v>
      </c>
    </row>
    <row r="4654" spans="2:8" x14ac:dyDescent="0.3">
      <c r="B4654" s="113">
        <v>44074</v>
      </c>
      <c r="C4654">
        <v>191.1</v>
      </c>
      <c r="D4654">
        <f t="shared" si="147"/>
        <v>0.38749727728163808</v>
      </c>
      <c r="E4654">
        <v>-2.275632830478147E-2</v>
      </c>
      <c r="G4654">
        <v>4652</v>
      </c>
      <c r="H4654">
        <f t="shared" ca="1" si="148"/>
        <v>-2.0396316605580247E-2</v>
      </c>
    </row>
    <row r="4655" spans="2:8" x14ac:dyDescent="0.3">
      <c r="B4655" s="113">
        <v>40864</v>
      </c>
      <c r="C4655">
        <v>137.72999999999999</v>
      </c>
      <c r="D4655">
        <f t="shared" si="147"/>
        <v>-2.6069954377580828E-3</v>
      </c>
      <c r="E4655">
        <v>-2.2775649212430877E-2</v>
      </c>
      <c r="G4655">
        <v>4653</v>
      </c>
      <c r="H4655">
        <f t="shared" ca="1" si="148"/>
        <v>2.3697372134697151E-2</v>
      </c>
    </row>
    <row r="4656" spans="2:8" x14ac:dyDescent="0.3">
      <c r="B4656" s="113">
        <v>40848</v>
      </c>
      <c r="C4656">
        <v>138.09</v>
      </c>
      <c r="D4656">
        <f t="shared" si="147"/>
        <v>4.5661063153112233E-2</v>
      </c>
      <c r="E4656">
        <v>-2.2786780836458839E-2</v>
      </c>
      <c r="G4656">
        <v>4654</v>
      </c>
      <c r="H4656">
        <f t="shared" ca="1" si="148"/>
        <v>-2.1262796225431963E-3</v>
      </c>
    </row>
    <row r="4657" spans="2:8" x14ac:dyDescent="0.3">
      <c r="B4657" s="113">
        <v>40774</v>
      </c>
      <c r="C4657">
        <v>132.06</v>
      </c>
      <c r="D4657">
        <f t="shared" si="147"/>
        <v>-0.41126120101645042</v>
      </c>
      <c r="E4657">
        <v>-2.2791179517537254E-2</v>
      </c>
      <c r="G4657">
        <v>4655</v>
      </c>
      <c r="H4657">
        <f t="shared" ca="1" si="148"/>
        <v>-2.1488349231759553E-2</v>
      </c>
    </row>
    <row r="4658" spans="2:8" x14ac:dyDescent="0.3">
      <c r="B4658" s="113">
        <v>42072</v>
      </c>
      <c r="C4658">
        <v>224.31</v>
      </c>
      <c r="D4658">
        <f t="shared" si="147"/>
        <v>2.0161355385235979</v>
      </c>
      <c r="E4658">
        <v>-2.2827270747113958E-2</v>
      </c>
      <c r="G4658">
        <v>4656</v>
      </c>
      <c r="H4658">
        <f t="shared" ca="1" si="148"/>
        <v>2.6881999658268901E-2</v>
      </c>
    </row>
    <row r="4659" spans="2:8" x14ac:dyDescent="0.3">
      <c r="B4659" s="113">
        <v>40035</v>
      </c>
      <c r="C4659">
        <v>74.37</v>
      </c>
      <c r="D4659">
        <f t="shared" si="147"/>
        <v>0.98108684070325003</v>
      </c>
      <c r="E4659">
        <v>-2.2861647615293586E-2</v>
      </c>
      <c r="G4659">
        <v>4657</v>
      </c>
      <c r="H4659">
        <f t="shared" ca="1" si="148"/>
        <v>8.3455551204654945E-3</v>
      </c>
    </row>
    <row r="4660" spans="2:8" x14ac:dyDescent="0.3">
      <c r="B4660" s="113">
        <v>38552</v>
      </c>
      <c r="C4660">
        <v>37.54</v>
      </c>
      <c r="D4660">
        <f t="shared" si="147"/>
        <v>1.5194630872483221</v>
      </c>
      <c r="E4660">
        <v>-2.2904737116085438E-2</v>
      </c>
      <c r="G4660">
        <v>4658</v>
      </c>
      <c r="H4660">
        <f t="shared" ca="1" si="148"/>
        <v>-1.6364892995555165E-2</v>
      </c>
    </row>
    <row r="4661" spans="2:8" x14ac:dyDescent="0.3">
      <c r="B4661" s="113">
        <v>37456</v>
      </c>
      <c r="C4661">
        <v>14.9</v>
      </c>
      <c r="D4661">
        <f t="shared" si="147"/>
        <v>-0.7532295462073535</v>
      </c>
      <c r="E4661">
        <v>-2.2950819672131126E-2</v>
      </c>
      <c r="G4661">
        <v>4659</v>
      </c>
      <c r="H4661">
        <f t="shared" ca="1" si="148"/>
        <v>2.7491030200488837E-3</v>
      </c>
    </row>
    <row r="4662" spans="2:8" x14ac:dyDescent="0.3">
      <c r="B4662" s="113">
        <v>39954</v>
      </c>
      <c r="C4662">
        <v>60.38</v>
      </c>
      <c r="D4662">
        <f t="shared" si="147"/>
        <v>-0.50095049177617978</v>
      </c>
      <c r="E4662">
        <v>-2.2977346278317066E-2</v>
      </c>
      <c r="G4662">
        <v>4660</v>
      </c>
      <c r="H4662">
        <f t="shared" ca="1" si="148"/>
        <v>-2.0278626556234414E-2</v>
      </c>
    </row>
    <row r="4663" spans="2:8" x14ac:dyDescent="0.3">
      <c r="B4663" s="113">
        <v>40668</v>
      </c>
      <c r="C4663">
        <v>120.99</v>
      </c>
      <c r="D4663">
        <f t="shared" si="147"/>
        <v>-0.5605956055928818</v>
      </c>
      <c r="E4663">
        <v>-2.3013565891472937E-2</v>
      </c>
      <c r="G4663">
        <v>4661</v>
      </c>
      <c r="H4663">
        <f t="shared" ca="1" si="148"/>
        <v>2.9934809107970334E-2</v>
      </c>
    </row>
    <row r="4664" spans="2:8" x14ac:dyDescent="0.3">
      <c r="B4664" s="113">
        <v>43439</v>
      </c>
      <c r="C4664">
        <v>275.35000000000002</v>
      </c>
      <c r="D4664">
        <f t="shared" si="147"/>
        <v>4.995233555767406E-2</v>
      </c>
      <c r="E4664">
        <v>-2.3061912364733012E-2</v>
      </c>
      <c r="G4664">
        <v>4662</v>
      </c>
      <c r="H4664">
        <f t="shared" ca="1" si="148"/>
        <v>-3.9280800710368428E-2</v>
      </c>
    </row>
    <row r="4665" spans="2:8" x14ac:dyDescent="0.3">
      <c r="B4665" s="113">
        <v>43003</v>
      </c>
      <c r="C4665">
        <v>262.25</v>
      </c>
      <c r="D4665">
        <f t="shared" si="147"/>
        <v>1.3311111111111111</v>
      </c>
      <c r="E4665">
        <v>-2.3095548519277292E-2</v>
      </c>
      <c r="G4665">
        <v>4663</v>
      </c>
      <c r="H4665">
        <f t="shared" ca="1" si="148"/>
        <v>2.3178046810839133E-2</v>
      </c>
    </row>
    <row r="4666" spans="2:8" x14ac:dyDescent="0.3">
      <c r="B4666" s="113">
        <v>40507</v>
      </c>
      <c r="C4666">
        <v>112.5</v>
      </c>
      <c r="D4666">
        <f t="shared" si="147"/>
        <v>-0.54359203213112095</v>
      </c>
      <c r="E4666">
        <v>-2.3098298020145853E-2</v>
      </c>
      <c r="G4666">
        <v>4664</v>
      </c>
      <c r="H4666">
        <f t="shared" ca="1" si="148"/>
        <v>1.1077400283595728E-2</v>
      </c>
    </row>
    <row r="4667" spans="2:8" x14ac:dyDescent="0.3">
      <c r="B4667" s="113">
        <v>41990</v>
      </c>
      <c r="C4667">
        <v>246.49</v>
      </c>
      <c r="D4667">
        <f t="shared" si="147"/>
        <v>0.18050766283524902</v>
      </c>
      <c r="E4667">
        <v>-2.3105580215599178E-2</v>
      </c>
      <c r="G4667">
        <v>4665</v>
      </c>
      <c r="H4667">
        <f t="shared" ca="1" si="148"/>
        <v>1.2672975265310294E-2</v>
      </c>
    </row>
    <row r="4668" spans="2:8" x14ac:dyDescent="0.3">
      <c r="B4668" s="113">
        <v>41641</v>
      </c>
      <c r="C4668">
        <v>208.8</v>
      </c>
      <c r="D4668">
        <f t="shared" si="147"/>
        <v>2.7709951237132024</v>
      </c>
      <c r="E4668">
        <v>-2.3112192383269382E-2</v>
      </c>
      <c r="G4668">
        <v>4666</v>
      </c>
      <c r="H4668">
        <f t="shared" ca="1" si="148"/>
        <v>6.3730039295886165E-3</v>
      </c>
    </row>
    <row r="4669" spans="2:8" x14ac:dyDescent="0.3">
      <c r="B4669" s="113">
        <v>39295</v>
      </c>
      <c r="C4669">
        <v>55.37</v>
      </c>
      <c r="D4669">
        <f t="shared" si="147"/>
        <v>-0.69874863982589774</v>
      </c>
      <c r="E4669">
        <v>-2.3112208892025445E-2</v>
      </c>
      <c r="G4669">
        <v>4667</v>
      </c>
      <c r="H4669">
        <f t="shared" ca="1" si="148"/>
        <v>-1.0937203401817546E-2</v>
      </c>
    </row>
    <row r="4670" spans="2:8" x14ac:dyDescent="0.3">
      <c r="B4670" s="113">
        <v>44083</v>
      </c>
      <c r="C4670">
        <v>183.8</v>
      </c>
      <c r="D4670">
        <f t="shared" si="147"/>
        <v>-8.8022228837947705E-2</v>
      </c>
      <c r="E4670">
        <v>-2.3119851182567069E-2</v>
      </c>
      <c r="G4670">
        <v>4668</v>
      </c>
      <c r="H4670">
        <f t="shared" ca="1" si="148"/>
        <v>7.0990838452337441E-3</v>
      </c>
    </row>
    <row r="4671" spans="2:8" x14ac:dyDescent="0.3">
      <c r="B4671" s="113">
        <v>42214</v>
      </c>
      <c r="C4671">
        <v>201.54</v>
      </c>
      <c r="D4671">
        <f t="shared" si="147"/>
        <v>-0.2825204699181203</v>
      </c>
      <c r="E4671">
        <v>-2.3120546750036403E-2</v>
      </c>
      <c r="G4671">
        <v>4669</v>
      </c>
      <c r="H4671">
        <f t="shared" ca="1" si="148"/>
        <v>2.8470036932646176E-2</v>
      </c>
    </row>
    <row r="4672" spans="2:8" x14ac:dyDescent="0.3">
      <c r="B4672" s="113">
        <v>43399</v>
      </c>
      <c r="C4672">
        <v>280.89999999999998</v>
      </c>
      <c r="D4672">
        <f t="shared" si="147"/>
        <v>8.4388440860215042</v>
      </c>
      <c r="E4672">
        <v>-2.3126412797774418E-2</v>
      </c>
      <c r="G4672">
        <v>4670</v>
      </c>
      <c r="H4672">
        <f t="shared" ca="1" si="148"/>
        <v>-6.2030020189336411E-3</v>
      </c>
    </row>
    <row r="4673" spans="2:8" x14ac:dyDescent="0.3">
      <c r="B4673" s="113">
        <v>38376</v>
      </c>
      <c r="C4673">
        <v>29.76</v>
      </c>
      <c r="D4673">
        <f t="shared" si="147"/>
        <v>-0.57781245566747041</v>
      </c>
      <c r="E4673">
        <v>-2.3301608139153177E-2</v>
      </c>
      <c r="G4673">
        <v>4671</v>
      </c>
      <c r="H4673">
        <f t="shared" ca="1" si="148"/>
        <v>3.3400459683283652E-2</v>
      </c>
    </row>
    <row r="4674" spans="2:8" x14ac:dyDescent="0.3">
      <c r="B4674" s="113">
        <v>39465</v>
      </c>
      <c r="C4674">
        <v>70.489999999999995</v>
      </c>
      <c r="D4674">
        <f t="shared" si="147"/>
        <v>-0.72055500495540137</v>
      </c>
      <c r="E4674">
        <v>-2.3413688002216843E-2</v>
      </c>
      <c r="G4674">
        <v>4672</v>
      </c>
      <c r="H4674">
        <f t="shared" ca="1" si="148"/>
        <v>2.1203410828133977E-2</v>
      </c>
    </row>
    <row r="4675" spans="2:8" x14ac:dyDescent="0.3">
      <c r="B4675" s="113">
        <v>42625</v>
      </c>
      <c r="C4675">
        <v>252.25</v>
      </c>
      <c r="D4675">
        <f t="shared" ref="D4675:D4738" si="149">(C4675-C4676)/C4676</f>
        <v>0.12205862728526309</v>
      </c>
      <c r="E4675">
        <v>-2.3422377080913711E-2</v>
      </c>
      <c r="G4675">
        <v>4673</v>
      </c>
      <c r="H4675">
        <f t="shared" ca="1" si="148"/>
        <v>9.895579063165726E-3</v>
      </c>
    </row>
    <row r="4676" spans="2:8" x14ac:dyDescent="0.3">
      <c r="B4676" s="113">
        <v>42285</v>
      </c>
      <c r="C4676">
        <v>224.81</v>
      </c>
      <c r="D4676">
        <f t="shared" si="149"/>
        <v>1.3277075999171672</v>
      </c>
      <c r="E4676">
        <v>-2.3456843751357481E-2</v>
      </c>
      <c r="G4676">
        <v>4674</v>
      </c>
      <c r="H4676">
        <f t="shared" ref="H4676:H4739" ca="1" si="150">_xlfn.NORM.INV(RAND(),$L$4,$L$6)</f>
        <v>3.2234371892016708E-2</v>
      </c>
    </row>
    <row r="4677" spans="2:8" x14ac:dyDescent="0.3">
      <c r="B4677" s="113">
        <v>40378</v>
      </c>
      <c r="C4677">
        <v>96.58</v>
      </c>
      <c r="D4677">
        <f t="shared" si="149"/>
        <v>-0.55154160475482916</v>
      </c>
      <c r="E4677">
        <v>-2.3458038422649215E-2</v>
      </c>
      <c r="G4677">
        <v>4675</v>
      </c>
      <c r="H4677">
        <f t="shared" ca="1" si="150"/>
        <v>2.9911382647100502E-2</v>
      </c>
    </row>
    <row r="4678" spans="2:8" x14ac:dyDescent="0.3">
      <c r="B4678" s="113">
        <v>42509</v>
      </c>
      <c r="C4678">
        <v>215.36</v>
      </c>
      <c r="D4678">
        <f t="shared" si="149"/>
        <v>8.0259849119865887</v>
      </c>
      <c r="E4678">
        <v>-2.3620619304529081E-2</v>
      </c>
      <c r="G4678">
        <v>4676</v>
      </c>
      <c r="H4678">
        <f t="shared" ca="1" si="150"/>
        <v>3.3741088487955068E-2</v>
      </c>
    </row>
    <row r="4679" spans="2:8" x14ac:dyDescent="0.3">
      <c r="B4679" s="113">
        <v>38008</v>
      </c>
      <c r="C4679">
        <v>23.86</v>
      </c>
      <c r="D4679">
        <f t="shared" si="149"/>
        <v>-0.58235603010677406</v>
      </c>
      <c r="E4679">
        <v>-2.3731587561374869E-2</v>
      </c>
      <c r="G4679">
        <v>4677</v>
      </c>
      <c r="H4679">
        <f t="shared" ca="1" si="150"/>
        <v>5.1097687739556112E-3</v>
      </c>
    </row>
    <row r="4680" spans="2:8" x14ac:dyDescent="0.3">
      <c r="B4680" s="113">
        <v>39799</v>
      </c>
      <c r="C4680">
        <v>57.13</v>
      </c>
      <c r="D4680">
        <f t="shared" si="149"/>
        <v>2.8679756262694651</v>
      </c>
      <c r="E4680">
        <v>-2.3752563226247445E-2</v>
      </c>
      <c r="G4680">
        <v>4678</v>
      </c>
      <c r="H4680">
        <f t="shared" ca="1" si="150"/>
        <v>-4.4004030883645255E-3</v>
      </c>
    </row>
    <row r="4681" spans="2:8" x14ac:dyDescent="0.3">
      <c r="B4681" s="113">
        <v>37515</v>
      </c>
      <c r="C4681">
        <v>14.77</v>
      </c>
      <c r="D4681">
        <f t="shared" si="149"/>
        <v>-0.71834477498093063</v>
      </c>
      <c r="E4681">
        <v>-2.3793787177792545E-2</v>
      </c>
      <c r="G4681">
        <v>4679</v>
      </c>
      <c r="H4681">
        <f t="shared" ca="1" si="150"/>
        <v>-2.0175542552760897E-2</v>
      </c>
    </row>
    <row r="4682" spans="2:8" x14ac:dyDescent="0.3">
      <c r="B4682" s="113">
        <v>39148</v>
      </c>
      <c r="C4682">
        <v>52.44</v>
      </c>
      <c r="D4682">
        <f t="shared" si="149"/>
        <v>-0.31495754408883081</v>
      </c>
      <c r="E4682">
        <v>-2.3827252419955345E-2</v>
      </c>
      <c r="G4682">
        <v>4680</v>
      </c>
      <c r="H4682">
        <f t="shared" ca="1" si="150"/>
        <v>-1.1401396049095413E-2</v>
      </c>
    </row>
    <row r="4683" spans="2:8" x14ac:dyDescent="0.3">
      <c r="B4683" s="113">
        <v>40056</v>
      </c>
      <c r="C4683">
        <v>76.55</v>
      </c>
      <c r="D4683">
        <f t="shared" si="149"/>
        <v>-0.67573177447367305</v>
      </c>
      <c r="E4683">
        <v>-2.3970419482341063E-2</v>
      </c>
      <c r="G4683">
        <v>4681</v>
      </c>
      <c r="H4683">
        <f t="shared" ca="1" si="150"/>
        <v>-2.7709212087914527E-2</v>
      </c>
    </row>
    <row r="4684" spans="2:8" x14ac:dyDescent="0.3">
      <c r="B4684" s="113">
        <v>42530</v>
      </c>
      <c r="C4684">
        <v>236.07</v>
      </c>
      <c r="D4684">
        <f t="shared" si="149"/>
        <v>0.21528957528957526</v>
      </c>
      <c r="E4684">
        <v>-2.3979823872328158E-2</v>
      </c>
      <c r="G4684">
        <v>4682</v>
      </c>
      <c r="H4684">
        <f t="shared" ca="1" si="150"/>
        <v>-3.5551860905734048E-2</v>
      </c>
    </row>
    <row r="4685" spans="2:8" x14ac:dyDescent="0.3">
      <c r="B4685" s="113">
        <v>43993</v>
      </c>
      <c r="C4685">
        <v>194.25</v>
      </c>
      <c r="D4685">
        <f t="shared" si="149"/>
        <v>3.3671312949640293</v>
      </c>
      <c r="E4685">
        <v>-2.411454408440096E-2</v>
      </c>
      <c r="G4685">
        <v>4683</v>
      </c>
      <c r="H4685">
        <f t="shared" ca="1" si="150"/>
        <v>-1.2834205734371423E-2</v>
      </c>
    </row>
    <row r="4686" spans="2:8" x14ac:dyDescent="0.3">
      <c r="B4686" s="113">
        <v>38691</v>
      </c>
      <c r="C4686">
        <v>44.48</v>
      </c>
      <c r="D4686">
        <f t="shared" si="149"/>
        <v>-0.84054490051980646</v>
      </c>
      <c r="E4686">
        <v>-2.4133391838525701E-2</v>
      </c>
      <c r="G4686">
        <v>4684</v>
      </c>
      <c r="H4686">
        <f t="shared" ca="1" si="150"/>
        <v>-1.5476986527895182E-2</v>
      </c>
    </row>
    <row r="4687" spans="2:8" x14ac:dyDescent="0.3">
      <c r="B4687" s="113">
        <v>43237</v>
      </c>
      <c r="C4687">
        <v>278.95</v>
      </c>
      <c r="D4687">
        <f t="shared" si="149"/>
        <v>0.31704438149197345</v>
      </c>
      <c r="E4687">
        <v>-2.4138534196256896E-2</v>
      </c>
      <c r="G4687">
        <v>4685</v>
      </c>
      <c r="H4687">
        <f t="shared" ca="1" si="150"/>
        <v>-5.6468111198179401E-3</v>
      </c>
    </row>
    <row r="4688" spans="2:8" x14ac:dyDescent="0.3">
      <c r="B4688" s="113">
        <v>44585</v>
      </c>
      <c r="C4688">
        <v>211.8</v>
      </c>
      <c r="D4688">
        <f t="shared" si="149"/>
        <v>3.5536602700781805E-3</v>
      </c>
      <c r="E4688">
        <v>-2.4187975120939873E-2</v>
      </c>
      <c r="G4688">
        <v>4686</v>
      </c>
      <c r="H4688">
        <f t="shared" ca="1" si="150"/>
        <v>8.7897234572088759E-3</v>
      </c>
    </row>
    <row r="4689" spans="2:8" x14ac:dyDescent="0.3">
      <c r="B4689" s="113">
        <v>42130</v>
      </c>
      <c r="C4689">
        <v>211.05</v>
      </c>
      <c r="D4689">
        <f t="shared" si="149"/>
        <v>-0.10420203735144305</v>
      </c>
      <c r="E4689">
        <v>-2.4226732627490779E-2</v>
      </c>
      <c r="G4689">
        <v>4687</v>
      </c>
      <c r="H4689">
        <f t="shared" ca="1" si="150"/>
        <v>1.3558404911769148E-2</v>
      </c>
    </row>
    <row r="4690" spans="2:8" x14ac:dyDescent="0.3">
      <c r="B4690" s="113">
        <v>43809</v>
      </c>
      <c r="C4690">
        <v>235.6</v>
      </c>
      <c r="D4690">
        <f t="shared" si="149"/>
        <v>13.669987546699875</v>
      </c>
      <c r="E4690">
        <v>-2.4228618761648352E-2</v>
      </c>
      <c r="G4690">
        <v>4688</v>
      </c>
      <c r="H4690">
        <f t="shared" ca="1" si="150"/>
        <v>-6.6105209928157462E-3</v>
      </c>
    </row>
    <row r="4691" spans="2:8" x14ac:dyDescent="0.3">
      <c r="B4691" s="113">
        <v>37823</v>
      </c>
      <c r="C4691">
        <v>16.059999999999999</v>
      </c>
      <c r="D4691">
        <f t="shared" si="149"/>
        <v>-0.92259121800742272</v>
      </c>
      <c r="E4691">
        <v>-2.4301336573511672E-2</v>
      </c>
      <c r="G4691">
        <v>4689</v>
      </c>
      <c r="H4691">
        <f t="shared" ca="1" si="150"/>
        <v>-1.0075362001770494E-2</v>
      </c>
    </row>
    <row r="4692" spans="2:8" x14ac:dyDescent="0.3">
      <c r="B4692" s="113">
        <v>41599</v>
      </c>
      <c r="C4692">
        <v>207.47</v>
      </c>
      <c r="D4692">
        <f t="shared" si="149"/>
        <v>7.026051070415272E-2</v>
      </c>
      <c r="E4692">
        <v>-2.4313393528969093E-2</v>
      </c>
      <c r="G4692">
        <v>4690</v>
      </c>
      <c r="H4692">
        <f t="shared" ca="1" si="150"/>
        <v>3.3066365757196632E-2</v>
      </c>
    </row>
    <row r="4693" spans="2:8" x14ac:dyDescent="0.3">
      <c r="B4693" s="113">
        <v>44028</v>
      </c>
      <c r="C4693">
        <v>193.85</v>
      </c>
      <c r="D4693">
        <f t="shared" si="149"/>
        <v>1.3528340818060443</v>
      </c>
      <c r="E4693">
        <v>-2.4408656265727201E-2</v>
      </c>
      <c r="G4693">
        <v>4691</v>
      </c>
      <c r="H4693">
        <f t="shared" ca="1" si="150"/>
        <v>3.3440027869262763E-2</v>
      </c>
    </row>
    <row r="4694" spans="2:8" x14ac:dyDescent="0.3">
      <c r="B4694" s="113">
        <v>40120</v>
      </c>
      <c r="C4694">
        <v>82.39</v>
      </c>
      <c r="D4694">
        <f t="shared" si="149"/>
        <v>-0.48247487437185926</v>
      </c>
      <c r="E4694">
        <v>-2.4508643144683796E-2</v>
      </c>
      <c r="G4694">
        <v>4692</v>
      </c>
      <c r="H4694">
        <f t="shared" ca="1" si="150"/>
        <v>-2.6038385813889663E-3</v>
      </c>
    </row>
    <row r="4695" spans="2:8" x14ac:dyDescent="0.3">
      <c r="B4695" s="113">
        <v>43920</v>
      </c>
      <c r="C4695">
        <v>159.19999999999999</v>
      </c>
      <c r="D4695">
        <f t="shared" si="149"/>
        <v>-0.41124260355029585</v>
      </c>
      <c r="E4695">
        <v>-2.4509803921568631E-2</v>
      </c>
      <c r="G4695">
        <v>4693</v>
      </c>
      <c r="H4695">
        <f t="shared" ca="1" si="150"/>
        <v>-5.801280051428168E-3</v>
      </c>
    </row>
    <row r="4696" spans="2:8" x14ac:dyDescent="0.3">
      <c r="B4696" s="113">
        <v>43294</v>
      </c>
      <c r="C4696">
        <v>270.39999999999998</v>
      </c>
      <c r="D4696">
        <f t="shared" si="149"/>
        <v>15.59914057704113</v>
      </c>
      <c r="E4696">
        <v>-2.4531024531024574E-2</v>
      </c>
      <c r="G4696">
        <v>4694</v>
      </c>
      <c r="H4696">
        <f t="shared" ca="1" si="150"/>
        <v>2.3408796215387353E-2</v>
      </c>
    </row>
    <row r="4697" spans="2:8" x14ac:dyDescent="0.3">
      <c r="B4697" s="113">
        <v>37817</v>
      </c>
      <c r="C4697">
        <v>16.29</v>
      </c>
      <c r="D4697">
        <f t="shared" si="149"/>
        <v>5.1646223369916006E-2</v>
      </c>
      <c r="E4697">
        <v>-2.4550898203592825E-2</v>
      </c>
      <c r="G4697">
        <v>4695</v>
      </c>
      <c r="H4697">
        <f t="shared" ca="1" si="150"/>
        <v>-1.0385203309611745E-3</v>
      </c>
    </row>
    <row r="4698" spans="2:8" x14ac:dyDescent="0.3">
      <c r="B4698" s="113">
        <v>37445</v>
      </c>
      <c r="C4698">
        <v>15.49</v>
      </c>
      <c r="D4698">
        <f t="shared" si="149"/>
        <v>-0.2904260192395785</v>
      </c>
      <c r="E4698">
        <v>-2.4559193954659983E-2</v>
      </c>
      <c r="G4698">
        <v>4696</v>
      </c>
      <c r="H4698">
        <f t="shared" ca="1" si="150"/>
        <v>2.8864055154784684E-3</v>
      </c>
    </row>
    <row r="4699" spans="2:8" x14ac:dyDescent="0.3">
      <c r="B4699" s="113">
        <v>37973</v>
      </c>
      <c r="C4699">
        <v>21.83</v>
      </c>
      <c r="D4699">
        <f t="shared" si="149"/>
        <v>-0.66018057285180576</v>
      </c>
      <c r="E4699">
        <v>-2.4575513851653293E-2</v>
      </c>
      <c r="G4699">
        <v>4697</v>
      </c>
      <c r="H4699">
        <f t="shared" ca="1" si="150"/>
        <v>2.4440920328596332E-2</v>
      </c>
    </row>
    <row r="4700" spans="2:8" x14ac:dyDescent="0.3">
      <c r="B4700" s="113">
        <v>39981</v>
      </c>
      <c r="C4700">
        <v>64.239999999999995</v>
      </c>
      <c r="D4700">
        <f t="shared" si="149"/>
        <v>-0.69179100897183698</v>
      </c>
      <c r="E4700">
        <v>-2.4597631339204441E-2</v>
      </c>
      <c r="G4700">
        <v>4698</v>
      </c>
      <c r="H4700">
        <f t="shared" ca="1" si="150"/>
        <v>-1.08930464808452E-2</v>
      </c>
    </row>
    <row r="4701" spans="2:8" x14ac:dyDescent="0.3">
      <c r="B4701" s="113">
        <v>41449</v>
      </c>
      <c r="C4701">
        <v>208.43</v>
      </c>
      <c r="D4701">
        <f t="shared" si="149"/>
        <v>-2.3929942867846703E-2</v>
      </c>
      <c r="E4701">
        <v>-2.4660739354234826E-2</v>
      </c>
      <c r="G4701">
        <v>4699</v>
      </c>
      <c r="H4701">
        <f t="shared" ca="1" si="150"/>
        <v>5.8186995991048153E-3</v>
      </c>
    </row>
    <row r="4702" spans="2:8" x14ac:dyDescent="0.3">
      <c r="B4702" s="113">
        <v>41493</v>
      </c>
      <c r="C4702">
        <v>213.54</v>
      </c>
      <c r="D4702">
        <f t="shared" si="149"/>
        <v>4.1455421686746989</v>
      </c>
      <c r="E4702">
        <v>-2.4664291586736119E-2</v>
      </c>
      <c r="G4702">
        <v>4700</v>
      </c>
      <c r="H4702">
        <f t="shared" ca="1" si="150"/>
        <v>7.9307718826651507E-3</v>
      </c>
    </row>
    <row r="4703" spans="2:8" x14ac:dyDescent="0.3">
      <c r="B4703" s="113">
        <v>38639</v>
      </c>
      <c r="C4703">
        <v>41.5</v>
      </c>
      <c r="D4703">
        <f t="shared" si="149"/>
        <v>-0.84436527282955187</v>
      </c>
      <c r="E4703">
        <v>-2.4676850763807219E-2</v>
      </c>
      <c r="G4703">
        <v>4701</v>
      </c>
      <c r="H4703">
        <f t="shared" ca="1" si="150"/>
        <v>5.143232283386449E-3</v>
      </c>
    </row>
    <row r="4704" spans="2:8" x14ac:dyDescent="0.3">
      <c r="B4704" s="113">
        <v>42782</v>
      </c>
      <c r="C4704">
        <v>266.64999999999998</v>
      </c>
      <c r="D4704">
        <f t="shared" si="149"/>
        <v>13.71578366445916</v>
      </c>
      <c r="E4704">
        <v>-2.4689100219458672E-2</v>
      </c>
      <c r="G4704">
        <v>4702</v>
      </c>
      <c r="H4704">
        <f t="shared" ca="1" si="150"/>
        <v>1.0453437867628085E-2</v>
      </c>
    </row>
    <row r="4705" spans="2:8" x14ac:dyDescent="0.3">
      <c r="B4705" s="113">
        <v>37875</v>
      </c>
      <c r="C4705">
        <v>18.12</v>
      </c>
      <c r="D4705">
        <f t="shared" si="149"/>
        <v>-0.65366972477064222</v>
      </c>
      <c r="E4705">
        <v>-2.4757804090419663E-2</v>
      </c>
      <c r="G4705">
        <v>4703</v>
      </c>
      <c r="H4705">
        <f t="shared" ca="1" si="150"/>
        <v>-6.5852487486935821E-3</v>
      </c>
    </row>
    <row r="4706" spans="2:8" x14ac:dyDescent="0.3">
      <c r="B4706" s="113">
        <v>39239</v>
      </c>
      <c r="C4706">
        <v>52.32</v>
      </c>
      <c r="D4706">
        <f t="shared" si="149"/>
        <v>-0.79744483159117308</v>
      </c>
      <c r="E4706">
        <v>-2.4790307548928206E-2</v>
      </c>
      <c r="G4706">
        <v>4704</v>
      </c>
      <c r="H4706">
        <f t="shared" ca="1" si="150"/>
        <v>-1.3466027140193435E-2</v>
      </c>
    </row>
    <row r="4707" spans="2:8" x14ac:dyDescent="0.3">
      <c r="B4707" s="113">
        <v>42622</v>
      </c>
      <c r="C4707">
        <v>258.3</v>
      </c>
      <c r="D4707">
        <f t="shared" si="149"/>
        <v>0.45767494356659155</v>
      </c>
      <c r="E4707">
        <v>-2.4915062287655592E-2</v>
      </c>
      <c r="G4707">
        <v>4705</v>
      </c>
      <c r="H4707">
        <f t="shared" ca="1" si="150"/>
        <v>8.5178658830403209E-3</v>
      </c>
    </row>
    <row r="4708" spans="2:8" x14ac:dyDescent="0.3">
      <c r="B4708" s="113">
        <v>43899</v>
      </c>
      <c r="C4708">
        <v>177.2</v>
      </c>
      <c r="D4708">
        <f t="shared" si="149"/>
        <v>10.981068289384719</v>
      </c>
      <c r="E4708">
        <v>-2.503438789546086E-2</v>
      </c>
      <c r="G4708">
        <v>4706</v>
      </c>
      <c r="H4708">
        <f t="shared" ca="1" si="150"/>
        <v>-1.0651644917007782E-2</v>
      </c>
    </row>
    <row r="4709" spans="2:8" x14ac:dyDescent="0.3">
      <c r="B4709" s="113">
        <v>37440</v>
      </c>
      <c r="C4709">
        <v>14.79</v>
      </c>
      <c r="D4709">
        <f t="shared" si="149"/>
        <v>-0.92469450101832995</v>
      </c>
      <c r="E4709">
        <v>-2.5049439683586076E-2</v>
      </c>
      <c r="G4709">
        <v>4707</v>
      </c>
      <c r="H4709">
        <f t="shared" ca="1" si="150"/>
        <v>3.1929229096005637E-2</v>
      </c>
    </row>
    <row r="4710" spans="2:8" x14ac:dyDescent="0.3">
      <c r="B4710" s="113">
        <v>44057</v>
      </c>
      <c r="C4710">
        <v>196.4</v>
      </c>
      <c r="D4710">
        <f t="shared" si="149"/>
        <v>-8.322830602623342E-2</v>
      </c>
      <c r="E4710">
        <v>-2.5068255150161246E-2</v>
      </c>
      <c r="G4710">
        <v>4708</v>
      </c>
      <c r="H4710">
        <f t="shared" ca="1" si="150"/>
        <v>-1.035949864982141E-3</v>
      </c>
    </row>
    <row r="4711" spans="2:8" x14ac:dyDescent="0.3">
      <c r="B4711" s="113">
        <v>42451</v>
      </c>
      <c r="C4711">
        <v>214.23</v>
      </c>
      <c r="D4711">
        <f t="shared" si="149"/>
        <v>2.75512708150745</v>
      </c>
      <c r="E4711">
        <v>-2.5075088741239735E-2</v>
      </c>
      <c r="G4711">
        <v>4709</v>
      </c>
      <c r="H4711">
        <f t="shared" ca="1" si="150"/>
        <v>1.3651340570892475E-2</v>
      </c>
    </row>
    <row r="4712" spans="2:8" x14ac:dyDescent="0.3">
      <c r="B4712" s="113">
        <v>38915</v>
      </c>
      <c r="C4712">
        <v>57.05</v>
      </c>
      <c r="D4712">
        <f t="shared" si="149"/>
        <v>0.25938189845474613</v>
      </c>
      <c r="E4712">
        <v>-2.5119617224880483E-2</v>
      </c>
      <c r="G4712">
        <v>4710</v>
      </c>
      <c r="H4712">
        <f t="shared" ca="1" si="150"/>
        <v>4.6042347817930726E-3</v>
      </c>
    </row>
    <row r="4713" spans="2:8" x14ac:dyDescent="0.3">
      <c r="B4713" s="113">
        <v>38617</v>
      </c>
      <c r="C4713">
        <v>45.3</v>
      </c>
      <c r="D4713">
        <f t="shared" si="149"/>
        <v>-0.83569096844396074</v>
      </c>
      <c r="E4713">
        <v>-2.5177533892834125E-2</v>
      </c>
      <c r="G4713">
        <v>4711</v>
      </c>
      <c r="H4713">
        <f t="shared" ca="1" si="150"/>
        <v>-1.9937657896995056E-2</v>
      </c>
    </row>
    <row r="4714" spans="2:8" x14ac:dyDescent="0.3">
      <c r="B4714" s="113">
        <v>42984</v>
      </c>
      <c r="C4714">
        <v>275.7</v>
      </c>
      <c r="D4714">
        <f t="shared" si="149"/>
        <v>0.35246504782928623</v>
      </c>
      <c r="E4714">
        <v>-2.5278416121619351E-2</v>
      </c>
      <c r="G4714">
        <v>4712</v>
      </c>
      <c r="H4714">
        <f t="shared" ca="1" si="150"/>
        <v>2.7877268132787403E-2</v>
      </c>
    </row>
    <row r="4715" spans="2:8" x14ac:dyDescent="0.3">
      <c r="B4715" s="113">
        <v>44253</v>
      </c>
      <c r="C4715">
        <v>203.85</v>
      </c>
      <c r="D4715">
        <f t="shared" si="149"/>
        <v>-0.10011918951132304</v>
      </c>
      <c r="E4715">
        <v>-2.5340664594788485E-2</v>
      </c>
      <c r="G4715">
        <v>4713</v>
      </c>
      <c r="H4715">
        <f t="shared" ca="1" si="150"/>
        <v>-1.2242912470650149E-2</v>
      </c>
    </row>
    <row r="4716" spans="2:8" x14ac:dyDescent="0.3">
      <c r="B4716" s="113">
        <v>41486</v>
      </c>
      <c r="C4716">
        <v>226.53</v>
      </c>
      <c r="D4716">
        <f t="shared" si="149"/>
        <v>6.6525423728813537E-2</v>
      </c>
      <c r="E4716">
        <v>-2.5383986576603731E-2</v>
      </c>
      <c r="G4716">
        <v>4714</v>
      </c>
      <c r="H4716">
        <f t="shared" ca="1" si="150"/>
        <v>-9.2523275309347747E-3</v>
      </c>
    </row>
    <row r="4717" spans="2:8" x14ac:dyDescent="0.3">
      <c r="B4717" s="113">
        <v>44550</v>
      </c>
      <c r="C4717">
        <v>212.4</v>
      </c>
      <c r="D4717">
        <f t="shared" si="149"/>
        <v>2.6295283663704714</v>
      </c>
      <c r="E4717">
        <v>-2.5464556090846448E-2</v>
      </c>
      <c r="G4717">
        <v>4715</v>
      </c>
      <c r="H4717">
        <f t="shared" ca="1" si="150"/>
        <v>-5.7781738011397884E-3</v>
      </c>
    </row>
    <row r="4718" spans="2:8" x14ac:dyDescent="0.3">
      <c r="B4718" s="113">
        <v>38912</v>
      </c>
      <c r="C4718">
        <v>58.52</v>
      </c>
      <c r="D4718">
        <f t="shared" si="149"/>
        <v>-0.29400410182169134</v>
      </c>
      <c r="E4718">
        <v>-2.5478767693588578E-2</v>
      </c>
      <c r="G4718">
        <v>4716</v>
      </c>
      <c r="H4718">
        <f t="shared" ca="1" si="150"/>
        <v>3.25719764001908E-2</v>
      </c>
    </row>
    <row r="4719" spans="2:8" x14ac:dyDescent="0.3">
      <c r="B4719" s="113">
        <v>40190</v>
      </c>
      <c r="C4719">
        <v>82.89</v>
      </c>
      <c r="D4719">
        <f t="shared" si="149"/>
        <v>0.36646884272997043</v>
      </c>
      <c r="E4719">
        <v>-2.5511403715024708E-2</v>
      </c>
      <c r="G4719">
        <v>4717</v>
      </c>
      <c r="H4719">
        <f t="shared" ca="1" si="150"/>
        <v>-7.3754273805726482E-4</v>
      </c>
    </row>
    <row r="4720" spans="2:8" x14ac:dyDescent="0.3">
      <c r="B4720" s="113">
        <v>39630</v>
      </c>
      <c r="C4720">
        <v>60.66</v>
      </c>
      <c r="D4720">
        <f t="shared" si="149"/>
        <v>1.0396772024209819</v>
      </c>
      <c r="E4720">
        <v>-2.5542168674698849E-2</v>
      </c>
      <c r="G4720">
        <v>4718</v>
      </c>
      <c r="H4720">
        <f t="shared" ca="1" si="150"/>
        <v>1.4223379202998243E-2</v>
      </c>
    </row>
    <row r="4721" spans="2:8" x14ac:dyDescent="0.3">
      <c r="B4721" s="113">
        <v>38422</v>
      </c>
      <c r="C4721">
        <v>29.74</v>
      </c>
      <c r="D4721">
        <f t="shared" si="149"/>
        <v>-0.84070701660417779</v>
      </c>
      <c r="E4721">
        <v>-2.5557011795543944E-2</v>
      </c>
      <c r="G4721">
        <v>4719</v>
      </c>
      <c r="H4721">
        <f t="shared" ca="1" si="150"/>
        <v>-1.2710633856597122E-2</v>
      </c>
    </row>
    <row r="4722" spans="2:8" x14ac:dyDescent="0.3">
      <c r="B4722" s="113">
        <v>44078</v>
      </c>
      <c r="C4722">
        <v>186.7</v>
      </c>
      <c r="D4722">
        <f t="shared" si="149"/>
        <v>-0.18328958880139987</v>
      </c>
      <c r="E4722">
        <v>-2.5574112734864332E-2</v>
      </c>
      <c r="G4722">
        <v>4720</v>
      </c>
      <c r="H4722">
        <f t="shared" ca="1" si="150"/>
        <v>1.7368156218168802E-3</v>
      </c>
    </row>
    <row r="4723" spans="2:8" x14ac:dyDescent="0.3">
      <c r="B4723" s="113">
        <v>44544</v>
      </c>
      <c r="C4723">
        <v>228.6</v>
      </c>
      <c r="D4723">
        <f t="shared" si="149"/>
        <v>3.412275622466705</v>
      </c>
      <c r="E4723">
        <v>-2.557544757033248E-2</v>
      </c>
      <c r="G4723">
        <v>4721</v>
      </c>
      <c r="H4723">
        <f t="shared" ca="1" si="150"/>
        <v>3.9841734117368709E-3</v>
      </c>
    </row>
    <row r="4724" spans="2:8" x14ac:dyDescent="0.3">
      <c r="B4724" s="113">
        <v>39195</v>
      </c>
      <c r="C4724">
        <v>51.81</v>
      </c>
      <c r="D4724">
        <f t="shared" si="149"/>
        <v>1.2673960612691466</v>
      </c>
      <c r="E4724">
        <v>-2.5578333646793294E-2</v>
      </c>
      <c r="G4724">
        <v>4722</v>
      </c>
      <c r="H4724">
        <f t="shared" ca="1" si="150"/>
        <v>3.4340180400312739E-3</v>
      </c>
    </row>
    <row r="4725" spans="2:8" x14ac:dyDescent="0.3">
      <c r="B4725" s="113">
        <v>37992</v>
      </c>
      <c r="C4725">
        <v>22.85</v>
      </c>
      <c r="D4725">
        <f t="shared" si="149"/>
        <v>-0.60508123055651575</v>
      </c>
      <c r="E4725">
        <v>-2.5586353944562809E-2</v>
      </c>
      <c r="G4725">
        <v>4723</v>
      </c>
      <c r="H4725">
        <f t="shared" ca="1" si="150"/>
        <v>-1.6907922236687994E-2</v>
      </c>
    </row>
    <row r="4726" spans="2:8" x14ac:dyDescent="0.3">
      <c r="B4726" s="113">
        <v>39640</v>
      </c>
      <c r="C4726">
        <v>57.86</v>
      </c>
      <c r="D4726">
        <f t="shared" si="149"/>
        <v>-2.5597844392051247E-2</v>
      </c>
      <c r="E4726">
        <v>-2.5597844392051247E-2</v>
      </c>
      <c r="G4726">
        <v>4724</v>
      </c>
      <c r="H4726">
        <f t="shared" ca="1" si="150"/>
        <v>-1.5940242215333345E-2</v>
      </c>
    </row>
    <row r="4727" spans="2:8" x14ac:dyDescent="0.3">
      <c r="B4727" s="113">
        <v>39639</v>
      </c>
      <c r="C4727">
        <v>59.38</v>
      </c>
      <c r="D4727">
        <f t="shared" si="149"/>
        <v>-4.793971460638119E-2</v>
      </c>
      <c r="E4727">
        <v>-2.5598949786675339E-2</v>
      </c>
      <c r="G4727">
        <v>4725</v>
      </c>
      <c r="H4727">
        <f t="shared" ca="1" si="150"/>
        <v>2.9072244273264415E-2</v>
      </c>
    </row>
    <row r="4728" spans="2:8" x14ac:dyDescent="0.3">
      <c r="B4728" s="113">
        <v>39423</v>
      </c>
      <c r="C4728">
        <v>62.37</v>
      </c>
      <c r="D4728">
        <f t="shared" si="149"/>
        <v>0.13897005113221328</v>
      </c>
      <c r="E4728">
        <v>-2.5620996719262733E-2</v>
      </c>
      <c r="G4728">
        <v>4726</v>
      </c>
      <c r="H4728">
        <f t="shared" ca="1" si="150"/>
        <v>-3.2539027214709082E-2</v>
      </c>
    </row>
    <row r="4729" spans="2:8" x14ac:dyDescent="0.3">
      <c r="B4729" s="113">
        <v>39769</v>
      </c>
      <c r="C4729">
        <v>54.76</v>
      </c>
      <c r="D4729">
        <f t="shared" si="149"/>
        <v>7.5834970530451851E-2</v>
      </c>
      <c r="E4729">
        <v>-2.5622775800711827E-2</v>
      </c>
      <c r="G4729">
        <v>4727</v>
      </c>
      <c r="H4729">
        <f t="shared" ca="1" si="150"/>
        <v>1.0390490096133154E-2</v>
      </c>
    </row>
    <row r="4730" spans="2:8" x14ac:dyDescent="0.3">
      <c r="B4730" s="113">
        <v>39311</v>
      </c>
      <c r="C4730">
        <v>50.9</v>
      </c>
      <c r="D4730">
        <f t="shared" si="149"/>
        <v>-0.30092020326878183</v>
      </c>
      <c r="E4730">
        <v>-2.5650842266462547E-2</v>
      </c>
      <c r="G4730">
        <v>4728</v>
      </c>
      <c r="H4730">
        <f t="shared" ca="1" si="150"/>
        <v>2.3089169103057808E-2</v>
      </c>
    </row>
    <row r="4731" spans="2:8" x14ac:dyDescent="0.3">
      <c r="B4731" s="113">
        <v>40015</v>
      </c>
      <c r="C4731">
        <v>72.81</v>
      </c>
      <c r="D4731">
        <f t="shared" si="149"/>
        <v>-0.69513880165808317</v>
      </c>
      <c r="E4731">
        <v>-2.5692492974708974E-2</v>
      </c>
      <c r="G4731">
        <v>4729</v>
      </c>
      <c r="H4731">
        <f t="shared" ca="1" si="150"/>
        <v>5.6295491567860245E-4</v>
      </c>
    </row>
    <row r="4732" spans="2:8" x14ac:dyDescent="0.3">
      <c r="B4732" s="113">
        <v>42010</v>
      </c>
      <c r="C4732">
        <v>238.83</v>
      </c>
      <c r="D4732">
        <f t="shared" si="149"/>
        <v>-8.6866755878417121E-2</v>
      </c>
      <c r="E4732">
        <v>-2.5700648635417874E-2</v>
      </c>
      <c r="G4732">
        <v>4730</v>
      </c>
      <c r="H4732">
        <f t="shared" ca="1" si="150"/>
        <v>2.7853883997452276E-2</v>
      </c>
    </row>
    <row r="4733" spans="2:8" x14ac:dyDescent="0.3">
      <c r="B4733" s="113">
        <v>44670</v>
      </c>
      <c r="C4733">
        <v>261.55</v>
      </c>
      <c r="D4733">
        <f t="shared" si="149"/>
        <v>3.1962137012674479</v>
      </c>
      <c r="E4733">
        <v>-2.5703110448873079E-2</v>
      </c>
      <c r="G4733">
        <v>4731</v>
      </c>
      <c r="H4733">
        <f t="shared" ca="1" si="150"/>
        <v>5.3507382339957341E-4</v>
      </c>
    </row>
    <row r="4734" spans="2:8" x14ac:dyDescent="0.3">
      <c r="B4734" s="113">
        <v>39716</v>
      </c>
      <c r="C4734">
        <v>62.33</v>
      </c>
      <c r="D4734">
        <f t="shared" si="149"/>
        <v>1.3166449934980414E-2</v>
      </c>
      <c r="E4734">
        <v>-2.5789309159112202E-2</v>
      </c>
      <c r="G4734">
        <v>4732</v>
      </c>
      <c r="H4734">
        <f t="shared" ca="1" si="150"/>
        <v>-3.7167753840954922E-3</v>
      </c>
    </row>
    <row r="4735" spans="2:8" x14ac:dyDescent="0.3">
      <c r="B4735" s="113">
        <v>39520</v>
      </c>
      <c r="C4735">
        <v>61.52</v>
      </c>
      <c r="D4735">
        <f t="shared" si="149"/>
        <v>0.11631282888767926</v>
      </c>
      <c r="E4735">
        <v>-2.581155977830555E-2</v>
      </c>
      <c r="G4735">
        <v>4733</v>
      </c>
      <c r="H4735">
        <f t="shared" ca="1" si="150"/>
        <v>-1.8409236429630407E-2</v>
      </c>
    </row>
    <row r="4736" spans="2:8" x14ac:dyDescent="0.3">
      <c r="B4736" s="113">
        <v>39225</v>
      </c>
      <c r="C4736">
        <v>55.11</v>
      </c>
      <c r="D4736">
        <f t="shared" si="149"/>
        <v>1.8421866941722536</v>
      </c>
      <c r="E4736">
        <v>-2.5980911983032855E-2</v>
      </c>
      <c r="G4736">
        <v>4734</v>
      </c>
      <c r="H4736">
        <f t="shared" ca="1" si="150"/>
        <v>1.8458755039539469E-2</v>
      </c>
    </row>
    <row r="4737" spans="2:8" x14ac:dyDescent="0.3">
      <c r="B4737" s="113">
        <v>38141</v>
      </c>
      <c r="C4737">
        <v>19.39</v>
      </c>
      <c r="D4737">
        <f t="shared" si="149"/>
        <v>-0.58319002579535684</v>
      </c>
      <c r="E4737">
        <v>-2.6117528879959797E-2</v>
      </c>
      <c r="G4737">
        <v>4735</v>
      </c>
      <c r="H4737">
        <f t="shared" ca="1" si="150"/>
        <v>1.1665813035780682E-3</v>
      </c>
    </row>
    <row r="4738" spans="2:8" x14ac:dyDescent="0.3">
      <c r="B4738" s="113">
        <v>38701</v>
      </c>
      <c r="C4738">
        <v>46.52</v>
      </c>
      <c r="D4738">
        <f t="shared" si="149"/>
        <v>-0.76574852711616892</v>
      </c>
      <c r="E4738">
        <v>-2.6167050450073268E-2</v>
      </c>
      <c r="G4738">
        <v>4736</v>
      </c>
      <c r="H4738">
        <f t="shared" ca="1" si="150"/>
        <v>-5.8448858800886341E-3</v>
      </c>
    </row>
    <row r="4739" spans="2:8" x14ac:dyDescent="0.3">
      <c r="B4739" s="113">
        <v>41368</v>
      </c>
      <c r="C4739">
        <v>198.59</v>
      </c>
      <c r="D4739">
        <f t="shared" ref="D4739:D4802" si="151">(C4739-C4740)/C4740</f>
        <v>8.3592513777486721E-2</v>
      </c>
      <c r="E4739">
        <v>-2.6185455793654701E-2</v>
      </c>
      <c r="G4739">
        <v>4737</v>
      </c>
      <c r="H4739">
        <f t="shared" ca="1" si="150"/>
        <v>1.1634729101928885E-2</v>
      </c>
    </row>
    <row r="4740" spans="2:8" x14ac:dyDescent="0.3">
      <c r="B4740" s="113">
        <v>41228</v>
      </c>
      <c r="C4740">
        <v>183.27</v>
      </c>
      <c r="D4740">
        <f t="shared" si="151"/>
        <v>2.6327056491575815</v>
      </c>
      <c r="E4740">
        <v>-2.6247276977843886E-2</v>
      </c>
      <c r="G4740">
        <v>4738</v>
      </c>
      <c r="H4740">
        <f t="shared" ref="H4740:H4803" ca="1" si="152">_xlfn.NORM.INV(RAND(),$L$4,$L$6)</f>
        <v>1.0791906838051825E-3</v>
      </c>
    </row>
    <row r="4741" spans="2:8" x14ac:dyDescent="0.3">
      <c r="B4741" s="113">
        <v>39315</v>
      </c>
      <c r="C4741">
        <v>50.45</v>
      </c>
      <c r="D4741">
        <f t="shared" si="151"/>
        <v>-0.75956726874136193</v>
      </c>
      <c r="E4741">
        <v>-2.6249758733835154E-2</v>
      </c>
      <c r="G4741">
        <v>4739</v>
      </c>
      <c r="H4741">
        <f t="shared" ca="1" si="152"/>
        <v>1.2774845162644323E-2</v>
      </c>
    </row>
    <row r="4742" spans="2:8" x14ac:dyDescent="0.3">
      <c r="B4742" s="113">
        <v>42444</v>
      </c>
      <c r="C4742">
        <v>209.83</v>
      </c>
      <c r="D4742">
        <f t="shared" si="151"/>
        <v>-0.12370014616830227</v>
      </c>
      <c r="E4742">
        <v>-2.6265719987006341E-2</v>
      </c>
      <c r="G4742">
        <v>4740</v>
      </c>
      <c r="H4742">
        <f t="shared" ca="1" si="152"/>
        <v>1.1083985343745731E-2</v>
      </c>
    </row>
    <row r="4743" spans="2:8" x14ac:dyDescent="0.3">
      <c r="B4743" s="113">
        <v>42662</v>
      </c>
      <c r="C4743">
        <v>239.45</v>
      </c>
      <c r="D4743">
        <f t="shared" si="151"/>
        <v>2.874595469255663</v>
      </c>
      <c r="E4743">
        <v>-2.6428135799959344E-2</v>
      </c>
      <c r="G4743">
        <v>4741</v>
      </c>
      <c r="H4743">
        <f t="shared" ca="1" si="152"/>
        <v>3.1225450863185102E-2</v>
      </c>
    </row>
    <row r="4744" spans="2:8" x14ac:dyDescent="0.3">
      <c r="B4744" s="113">
        <v>39624</v>
      </c>
      <c r="C4744">
        <v>61.8</v>
      </c>
      <c r="D4744">
        <f t="shared" si="151"/>
        <v>0.19328055609190961</v>
      </c>
      <c r="E4744">
        <v>-2.646502835538752E-2</v>
      </c>
      <c r="G4744">
        <v>4742</v>
      </c>
      <c r="H4744">
        <f t="shared" ca="1" si="152"/>
        <v>1.0660157787887174E-2</v>
      </c>
    </row>
    <row r="4745" spans="2:8" x14ac:dyDescent="0.3">
      <c r="B4745" s="113">
        <v>39184</v>
      </c>
      <c r="C4745">
        <v>51.79</v>
      </c>
      <c r="D4745">
        <f t="shared" si="151"/>
        <v>-0.18862603791320695</v>
      </c>
      <c r="E4745">
        <v>-2.6503759398496307E-2</v>
      </c>
      <c r="G4745">
        <v>4743</v>
      </c>
      <c r="H4745">
        <f t="shared" ca="1" si="152"/>
        <v>3.3436620703954818E-2</v>
      </c>
    </row>
    <row r="4746" spans="2:8" x14ac:dyDescent="0.3">
      <c r="B4746" s="113">
        <v>39939</v>
      </c>
      <c r="C4746">
        <v>63.83</v>
      </c>
      <c r="D4746">
        <f t="shared" si="151"/>
        <v>-0.78226164079822624</v>
      </c>
      <c r="E4746">
        <v>-2.6536525850236314E-2</v>
      </c>
      <c r="G4746">
        <v>4744</v>
      </c>
      <c r="H4746">
        <f t="shared" ca="1" si="152"/>
        <v>-1.9541233841331294E-2</v>
      </c>
    </row>
    <row r="4747" spans="2:8" x14ac:dyDescent="0.3">
      <c r="B4747" s="113">
        <v>43369</v>
      </c>
      <c r="C4747">
        <v>293.14999999999998</v>
      </c>
      <c r="D4747">
        <f t="shared" si="151"/>
        <v>4.5259189443920826</v>
      </c>
      <c r="E4747">
        <v>-2.6564834799933591E-2</v>
      </c>
      <c r="G4747">
        <v>4745</v>
      </c>
      <c r="H4747">
        <f t="shared" ca="1" si="152"/>
        <v>1.8073568920246526E-2</v>
      </c>
    </row>
    <row r="4748" spans="2:8" x14ac:dyDescent="0.3">
      <c r="B4748" s="113">
        <v>38873</v>
      </c>
      <c r="C4748">
        <v>53.05</v>
      </c>
      <c r="D4748">
        <f t="shared" si="151"/>
        <v>1.4628597957288765</v>
      </c>
      <c r="E4748">
        <v>-2.6605504587156017E-2</v>
      </c>
      <c r="G4748">
        <v>4746</v>
      </c>
      <c r="H4748">
        <f t="shared" ca="1" si="152"/>
        <v>-1.8608760752737874E-2</v>
      </c>
    </row>
    <row r="4749" spans="2:8" x14ac:dyDescent="0.3">
      <c r="B4749" s="113">
        <v>38022</v>
      </c>
      <c r="C4749">
        <v>21.54</v>
      </c>
      <c r="D4749">
        <f t="shared" si="151"/>
        <v>-0.60921625544267055</v>
      </c>
      <c r="E4749">
        <v>-2.6660641662901035E-2</v>
      </c>
      <c r="G4749">
        <v>4747</v>
      </c>
      <c r="H4749">
        <f t="shared" ca="1" si="152"/>
        <v>1.0354129842563347E-2</v>
      </c>
    </row>
    <row r="4750" spans="2:8" x14ac:dyDescent="0.3">
      <c r="B4750" s="113">
        <v>38764</v>
      </c>
      <c r="C4750">
        <v>55.12</v>
      </c>
      <c r="D4750">
        <f t="shared" si="151"/>
        <v>2.7857142857142851</v>
      </c>
      <c r="E4750">
        <v>-2.6664312202013155E-2</v>
      </c>
      <c r="G4750">
        <v>4748</v>
      </c>
      <c r="H4750">
        <f t="shared" ca="1" si="152"/>
        <v>1.4892930114890179E-2</v>
      </c>
    </row>
    <row r="4751" spans="2:8" x14ac:dyDescent="0.3">
      <c r="B4751" s="113">
        <v>37607</v>
      </c>
      <c r="C4751">
        <v>14.56</v>
      </c>
      <c r="D4751">
        <f t="shared" si="151"/>
        <v>-0.93033492822966501</v>
      </c>
      <c r="E4751">
        <v>-2.6737967914438526E-2</v>
      </c>
      <c r="G4751">
        <v>4749</v>
      </c>
      <c r="H4751">
        <f t="shared" ca="1" si="152"/>
        <v>-2.5473138519215158E-3</v>
      </c>
    </row>
    <row r="4752" spans="2:8" x14ac:dyDescent="0.3">
      <c r="B4752" s="113">
        <v>42408</v>
      </c>
      <c r="C4752">
        <v>209</v>
      </c>
      <c r="D4752">
        <f t="shared" si="151"/>
        <v>5.9458291791292783</v>
      </c>
      <c r="E4752">
        <v>-2.6820636990128474E-2</v>
      </c>
      <c r="G4752">
        <v>4750</v>
      </c>
      <c r="H4752">
        <f t="shared" ca="1" si="152"/>
        <v>2.7292744815452922E-3</v>
      </c>
    </row>
    <row r="4753" spans="2:8" x14ac:dyDescent="0.3">
      <c r="B4753" s="113">
        <v>38383</v>
      </c>
      <c r="C4753">
        <v>30.09</v>
      </c>
      <c r="D4753">
        <f t="shared" si="151"/>
        <v>-0.45021012241914854</v>
      </c>
      <c r="E4753">
        <v>-2.6843467011643009E-2</v>
      </c>
      <c r="G4753">
        <v>4751</v>
      </c>
      <c r="H4753">
        <f t="shared" ca="1" si="152"/>
        <v>-2.319450017280757E-2</v>
      </c>
    </row>
    <row r="4754" spans="2:8" x14ac:dyDescent="0.3">
      <c r="B4754" s="113">
        <v>39825</v>
      </c>
      <c r="C4754">
        <v>54.73</v>
      </c>
      <c r="D4754">
        <f t="shared" si="151"/>
        <v>-2.51157819736374E-2</v>
      </c>
      <c r="E4754">
        <v>-2.6849217638691414E-2</v>
      </c>
      <c r="G4754">
        <v>4752</v>
      </c>
      <c r="H4754">
        <f t="shared" ca="1" si="152"/>
        <v>3.183598703726756E-2</v>
      </c>
    </row>
    <row r="4755" spans="2:8" x14ac:dyDescent="0.3">
      <c r="B4755" s="113">
        <v>39787</v>
      </c>
      <c r="C4755">
        <v>56.14</v>
      </c>
      <c r="D4755">
        <f t="shared" si="151"/>
        <v>-0.51220783734468678</v>
      </c>
      <c r="E4755">
        <v>-2.6867741376321672E-2</v>
      </c>
      <c r="G4755">
        <v>4753</v>
      </c>
      <c r="H4755">
        <f t="shared" ca="1" si="152"/>
        <v>2.3317598147294595E-2</v>
      </c>
    </row>
    <row r="4756" spans="2:8" x14ac:dyDescent="0.3">
      <c r="B4756" s="113">
        <v>40450</v>
      </c>
      <c r="C4756">
        <v>115.09</v>
      </c>
      <c r="D4756">
        <f t="shared" si="151"/>
        <v>0.42473384501114142</v>
      </c>
      <c r="E4756">
        <v>-2.6887629999154415E-2</v>
      </c>
      <c r="G4756">
        <v>4754</v>
      </c>
      <c r="H4756">
        <f t="shared" ca="1" si="152"/>
        <v>-1.7473503782358089E-2</v>
      </c>
    </row>
    <row r="4757" spans="2:8" x14ac:dyDescent="0.3">
      <c r="B4757" s="113">
        <v>40107</v>
      </c>
      <c r="C4757">
        <v>80.78</v>
      </c>
      <c r="D4757">
        <f t="shared" si="151"/>
        <v>0.28835725677830937</v>
      </c>
      <c r="E4757">
        <v>-2.6981450252951036E-2</v>
      </c>
      <c r="G4757">
        <v>4755</v>
      </c>
      <c r="H4757">
        <f t="shared" ca="1" si="152"/>
        <v>-1.4114809095710064E-2</v>
      </c>
    </row>
    <row r="4758" spans="2:8" x14ac:dyDescent="0.3">
      <c r="B4758" s="113">
        <v>39695</v>
      </c>
      <c r="C4758">
        <v>62.7</v>
      </c>
      <c r="D4758">
        <f t="shared" si="151"/>
        <v>-0.67993874425727407</v>
      </c>
      <c r="E4758">
        <v>-2.7001862197392847E-2</v>
      </c>
      <c r="G4758">
        <v>4756</v>
      </c>
      <c r="H4758">
        <f t="shared" ca="1" si="152"/>
        <v>-8.112179921939645E-3</v>
      </c>
    </row>
    <row r="4759" spans="2:8" x14ac:dyDescent="0.3">
      <c r="B4759" s="113">
        <v>42416</v>
      </c>
      <c r="C4759">
        <v>195.9</v>
      </c>
      <c r="D4759">
        <f t="shared" si="151"/>
        <v>2.6528062651501028</v>
      </c>
      <c r="E4759">
        <v>-2.7018972881692648E-2</v>
      </c>
      <c r="G4759">
        <v>4757</v>
      </c>
      <c r="H4759">
        <f t="shared" ca="1" si="152"/>
        <v>3.1939774613922722E-2</v>
      </c>
    </row>
    <row r="4760" spans="2:8" x14ac:dyDescent="0.3">
      <c r="B4760" s="113">
        <v>38765</v>
      </c>
      <c r="C4760">
        <v>53.63</v>
      </c>
      <c r="D4760">
        <f t="shared" si="151"/>
        <v>2.5493050959629389</v>
      </c>
      <c r="E4760">
        <v>-2.7031930333817036E-2</v>
      </c>
      <c r="G4760">
        <v>4758</v>
      </c>
      <c r="H4760">
        <f t="shared" ca="1" si="152"/>
        <v>-9.6680061626197664E-3</v>
      </c>
    </row>
    <row r="4761" spans="2:8" x14ac:dyDescent="0.3">
      <c r="B4761" s="113">
        <v>37775</v>
      </c>
      <c r="C4761">
        <v>15.11</v>
      </c>
      <c r="D4761">
        <f t="shared" si="151"/>
        <v>-0.78890751606594023</v>
      </c>
      <c r="E4761">
        <v>-2.7044430135222147E-2</v>
      </c>
      <c r="G4761">
        <v>4759</v>
      </c>
      <c r="H4761">
        <f t="shared" ca="1" si="152"/>
        <v>-3.0044314347478685E-3</v>
      </c>
    </row>
    <row r="4762" spans="2:8" x14ac:dyDescent="0.3">
      <c r="B4762" s="113">
        <v>39597</v>
      </c>
      <c r="C4762">
        <v>71.58</v>
      </c>
      <c r="D4762">
        <f t="shared" si="151"/>
        <v>-0.60507586206896558</v>
      </c>
      <c r="E4762">
        <v>-2.7049068913959428E-2</v>
      </c>
      <c r="G4762">
        <v>4760</v>
      </c>
      <c r="H4762">
        <f t="shared" ca="1" si="152"/>
        <v>-1.1801192334279061E-2</v>
      </c>
    </row>
    <row r="4763" spans="2:8" x14ac:dyDescent="0.3">
      <c r="B4763" s="113">
        <v>41285</v>
      </c>
      <c r="C4763">
        <v>181.25</v>
      </c>
      <c r="D4763">
        <f t="shared" si="151"/>
        <v>1.8018240840933684</v>
      </c>
      <c r="E4763">
        <v>-2.7054592302324293E-2</v>
      </c>
      <c r="G4763">
        <v>4761</v>
      </c>
      <c r="H4763">
        <f t="shared" ca="1" si="152"/>
        <v>1.354120219173529E-2</v>
      </c>
    </row>
    <row r="4764" spans="2:8" x14ac:dyDescent="0.3">
      <c r="B4764" s="113">
        <v>38807</v>
      </c>
      <c r="C4764">
        <v>64.69</v>
      </c>
      <c r="D4764">
        <f t="shared" si="151"/>
        <v>0.83830633702756474</v>
      </c>
      <c r="E4764">
        <v>-2.707174011129489E-2</v>
      </c>
      <c r="G4764">
        <v>4762</v>
      </c>
      <c r="H4764">
        <f t="shared" ca="1" si="152"/>
        <v>8.7083922881487953E-3</v>
      </c>
    </row>
    <row r="4765" spans="2:8" x14ac:dyDescent="0.3">
      <c r="B4765" s="113">
        <v>38531</v>
      </c>
      <c r="C4765">
        <v>35.19</v>
      </c>
      <c r="D4765">
        <f t="shared" si="151"/>
        <v>-0.73034482758620689</v>
      </c>
      <c r="E4765">
        <v>-2.709427702515908E-2</v>
      </c>
      <c r="G4765">
        <v>4763</v>
      </c>
      <c r="H4765">
        <f t="shared" ca="1" si="152"/>
        <v>3.2082958422506316E-2</v>
      </c>
    </row>
    <row r="4766" spans="2:8" x14ac:dyDescent="0.3">
      <c r="B4766" s="113">
        <v>40781</v>
      </c>
      <c r="C4766">
        <v>130.5</v>
      </c>
      <c r="D4766">
        <f t="shared" si="151"/>
        <v>1.4497841186408857</v>
      </c>
      <c r="E4766">
        <v>-2.7208348863212863E-2</v>
      </c>
      <c r="G4766">
        <v>4764</v>
      </c>
      <c r="H4766">
        <f t="shared" ca="1" si="152"/>
        <v>1.8250243662151118E-2</v>
      </c>
    </row>
    <row r="4767" spans="2:8" x14ac:dyDescent="0.3">
      <c r="B4767" s="113">
        <v>39770</v>
      </c>
      <c r="C4767">
        <v>53.27</v>
      </c>
      <c r="D4767">
        <f t="shared" si="151"/>
        <v>-0.69149244223084483</v>
      </c>
      <c r="E4767">
        <v>-2.7209642074506848E-2</v>
      </c>
      <c r="G4767">
        <v>4765</v>
      </c>
      <c r="H4767">
        <f t="shared" ca="1" si="152"/>
        <v>-8.3565378773801414E-3</v>
      </c>
    </row>
    <row r="4768" spans="2:8" x14ac:dyDescent="0.3">
      <c r="B4768" s="113">
        <v>41158</v>
      </c>
      <c r="C4768">
        <v>172.67</v>
      </c>
      <c r="D4768">
        <f t="shared" si="151"/>
        <v>-0.37888489208633097</v>
      </c>
      <c r="E4768">
        <v>-2.726606951721032E-2</v>
      </c>
      <c r="G4768">
        <v>4766</v>
      </c>
      <c r="H4768">
        <f t="shared" ca="1" si="152"/>
        <v>-3.6816708116269838E-2</v>
      </c>
    </row>
    <row r="4769" spans="2:8" x14ac:dyDescent="0.3">
      <c r="B4769" s="113">
        <v>42853</v>
      </c>
      <c r="C4769">
        <v>278</v>
      </c>
      <c r="D4769">
        <f t="shared" si="151"/>
        <v>4.1720930232558135</v>
      </c>
      <c r="E4769">
        <v>-2.7291812456263161E-2</v>
      </c>
      <c r="G4769">
        <v>4767</v>
      </c>
      <c r="H4769">
        <f t="shared" ca="1" si="152"/>
        <v>-2.1893202627198665E-3</v>
      </c>
    </row>
    <row r="4770" spans="2:8" x14ac:dyDescent="0.3">
      <c r="B4770" s="113">
        <v>39146</v>
      </c>
      <c r="C4770">
        <v>53.75</v>
      </c>
      <c r="D4770">
        <f t="shared" si="151"/>
        <v>1.8053235908141965</v>
      </c>
      <c r="E4770">
        <v>-2.7325370973579406E-2</v>
      </c>
      <c r="G4770">
        <v>4768</v>
      </c>
      <c r="H4770">
        <f t="shared" ca="1" si="152"/>
        <v>2.7626066001697442E-2</v>
      </c>
    </row>
    <row r="4771" spans="2:8" x14ac:dyDescent="0.3">
      <c r="B4771" s="113">
        <v>38156</v>
      </c>
      <c r="C4771">
        <v>19.16</v>
      </c>
      <c r="D4771">
        <f t="shared" si="151"/>
        <v>-0.60850020433183483</v>
      </c>
      <c r="E4771">
        <v>-2.7411167512690314E-2</v>
      </c>
      <c r="G4771">
        <v>4769</v>
      </c>
      <c r="H4771">
        <f t="shared" ca="1" si="152"/>
        <v>-1.0767764498955605E-2</v>
      </c>
    </row>
    <row r="4772" spans="2:8" x14ac:dyDescent="0.3">
      <c r="B4772" s="113">
        <v>38876</v>
      </c>
      <c r="C4772">
        <v>48.94</v>
      </c>
      <c r="D4772">
        <f t="shared" si="151"/>
        <v>-0.82953674677812606</v>
      </c>
      <c r="E4772">
        <v>-2.7424483306836299E-2</v>
      </c>
      <c r="G4772">
        <v>4770</v>
      </c>
      <c r="H4772">
        <f t="shared" ca="1" si="152"/>
        <v>1.8562517840562943E-2</v>
      </c>
    </row>
    <row r="4773" spans="2:8" x14ac:dyDescent="0.3">
      <c r="B4773" s="113">
        <v>43377</v>
      </c>
      <c r="C4773">
        <v>287.10000000000002</v>
      </c>
      <c r="D4773">
        <f t="shared" si="151"/>
        <v>3.5901136568645305E-2</v>
      </c>
      <c r="E4773">
        <v>-2.7439024390243788E-2</v>
      </c>
      <c r="G4773">
        <v>4771</v>
      </c>
      <c r="H4773">
        <f t="shared" ca="1" si="152"/>
        <v>-1.8519305862221856E-2</v>
      </c>
    </row>
    <row r="4774" spans="2:8" x14ac:dyDescent="0.3">
      <c r="B4774" s="113">
        <v>43224</v>
      </c>
      <c r="C4774">
        <v>277.14999999999998</v>
      </c>
      <c r="D4774">
        <f t="shared" si="151"/>
        <v>0.43511806130903052</v>
      </c>
      <c r="E4774">
        <v>-2.7543859649122888E-2</v>
      </c>
      <c r="G4774">
        <v>4772</v>
      </c>
      <c r="H4774">
        <f t="shared" ca="1" si="152"/>
        <v>1.6750650700539736E-2</v>
      </c>
    </row>
    <row r="4775" spans="2:8" x14ac:dyDescent="0.3">
      <c r="B4775" s="113">
        <v>41369</v>
      </c>
      <c r="C4775">
        <v>193.12</v>
      </c>
      <c r="D4775">
        <f t="shared" si="151"/>
        <v>0.56233314456759165</v>
      </c>
      <c r="E4775">
        <v>-2.7544186514930253E-2</v>
      </c>
      <c r="G4775">
        <v>4773</v>
      </c>
      <c r="H4775">
        <f t="shared" ca="1" si="152"/>
        <v>8.1073293478716359E-3</v>
      </c>
    </row>
    <row r="4776" spans="2:8" x14ac:dyDescent="0.3">
      <c r="B4776" s="113">
        <v>40714</v>
      </c>
      <c r="C4776">
        <v>123.61</v>
      </c>
      <c r="D4776">
        <f t="shared" si="151"/>
        <v>-0.4571127410075102</v>
      </c>
      <c r="E4776">
        <v>-2.7611705475141638E-2</v>
      </c>
      <c r="G4776">
        <v>4774</v>
      </c>
      <c r="H4776">
        <f t="shared" ca="1" si="152"/>
        <v>-3.2515009588460264E-2</v>
      </c>
    </row>
    <row r="4777" spans="2:8" x14ac:dyDescent="0.3">
      <c r="B4777" s="113">
        <v>41754</v>
      </c>
      <c r="C4777">
        <v>227.69</v>
      </c>
      <c r="D4777">
        <f t="shared" si="151"/>
        <v>-4.0537693312544788E-2</v>
      </c>
      <c r="E4777">
        <v>-2.763067987700717E-2</v>
      </c>
      <c r="G4777">
        <v>4775</v>
      </c>
      <c r="H4777">
        <f t="shared" ca="1" si="152"/>
        <v>-1.5818379524683703E-2</v>
      </c>
    </row>
    <row r="4778" spans="2:8" x14ac:dyDescent="0.3">
      <c r="B4778" s="113">
        <v>41484</v>
      </c>
      <c r="C4778">
        <v>237.31</v>
      </c>
      <c r="D4778">
        <f t="shared" si="151"/>
        <v>12.257541899441341</v>
      </c>
      <c r="E4778">
        <v>-2.7696972180112227E-2</v>
      </c>
      <c r="G4778">
        <v>4776</v>
      </c>
      <c r="H4778">
        <f t="shared" ca="1" si="152"/>
        <v>-1.7211324442461453E-3</v>
      </c>
    </row>
    <row r="4779" spans="2:8" x14ac:dyDescent="0.3">
      <c r="B4779" s="113">
        <v>37868</v>
      </c>
      <c r="C4779">
        <v>17.899999999999999</v>
      </c>
      <c r="D4779">
        <f t="shared" si="151"/>
        <v>-0.90785070785070787</v>
      </c>
      <c r="E4779">
        <v>-2.7702335687126645E-2</v>
      </c>
      <c r="G4779">
        <v>4777</v>
      </c>
      <c r="H4779">
        <f t="shared" ca="1" si="152"/>
        <v>1.100019975340605E-2</v>
      </c>
    </row>
    <row r="4780" spans="2:8" x14ac:dyDescent="0.3">
      <c r="B4780" s="113">
        <v>44019</v>
      </c>
      <c r="C4780">
        <v>194.25</v>
      </c>
      <c r="D4780">
        <f t="shared" si="151"/>
        <v>-0.14996499212322775</v>
      </c>
      <c r="E4780">
        <v>-2.7777777777777832E-2</v>
      </c>
      <c r="G4780">
        <v>4778</v>
      </c>
      <c r="H4780">
        <f t="shared" ca="1" si="152"/>
        <v>-1.4508137508893581E-2</v>
      </c>
    </row>
    <row r="4781" spans="2:8" x14ac:dyDescent="0.3">
      <c r="B4781" s="113">
        <v>41568</v>
      </c>
      <c r="C4781">
        <v>228.52</v>
      </c>
      <c r="D4781">
        <f t="shared" si="151"/>
        <v>-1.0307492420961436E-2</v>
      </c>
      <c r="E4781">
        <v>-2.7781323122739846E-2</v>
      </c>
      <c r="G4781">
        <v>4779</v>
      </c>
      <c r="H4781">
        <f t="shared" ca="1" si="152"/>
        <v>3.5720373087506554E-3</v>
      </c>
    </row>
    <row r="4782" spans="2:8" x14ac:dyDescent="0.3">
      <c r="B4782" s="113">
        <v>44522</v>
      </c>
      <c r="C4782">
        <v>230.9</v>
      </c>
      <c r="D4782">
        <f t="shared" si="151"/>
        <v>0</v>
      </c>
      <c r="E4782">
        <v>-2.7789473684210503E-2</v>
      </c>
      <c r="G4782">
        <v>4780</v>
      </c>
      <c r="H4782">
        <f t="shared" ca="1" si="152"/>
        <v>-3.7102570715576877E-2</v>
      </c>
    </row>
    <row r="4783" spans="2:8" x14ac:dyDescent="0.3">
      <c r="B4783" s="113">
        <v>42690</v>
      </c>
      <c r="C4783">
        <v>230.9</v>
      </c>
      <c r="D4783">
        <f t="shared" si="151"/>
        <v>6.1365203401516862E-2</v>
      </c>
      <c r="E4783">
        <v>-2.7789473684210503E-2</v>
      </c>
      <c r="G4783">
        <v>4781</v>
      </c>
      <c r="H4783">
        <f t="shared" ca="1" si="152"/>
        <v>2.2695725203771767E-2</v>
      </c>
    </row>
    <row r="4784" spans="2:8" x14ac:dyDescent="0.3">
      <c r="B4784" s="113">
        <v>42123</v>
      </c>
      <c r="C4784">
        <v>217.55</v>
      </c>
      <c r="D4784">
        <f t="shared" si="151"/>
        <v>3.3579727564102564</v>
      </c>
      <c r="E4784">
        <v>-2.7839842702654348E-2</v>
      </c>
      <c r="G4784">
        <v>4782</v>
      </c>
      <c r="H4784">
        <f t="shared" ca="1" si="152"/>
        <v>-1.7220726788525115E-2</v>
      </c>
    </row>
    <row r="4785" spans="2:8" x14ac:dyDescent="0.3">
      <c r="B4785" s="113">
        <v>39241</v>
      </c>
      <c r="C4785">
        <v>49.92</v>
      </c>
      <c r="D4785">
        <f t="shared" si="151"/>
        <v>-0.16311818943839057</v>
      </c>
      <c r="E4785">
        <v>-2.7848101265822777E-2</v>
      </c>
      <c r="G4785">
        <v>4783</v>
      </c>
      <c r="H4785">
        <f t="shared" ca="1" si="152"/>
        <v>1.3213183421725687E-2</v>
      </c>
    </row>
    <row r="4786" spans="2:8" x14ac:dyDescent="0.3">
      <c r="B4786" s="113">
        <v>39062</v>
      </c>
      <c r="C4786">
        <v>59.65</v>
      </c>
      <c r="D4786">
        <f t="shared" si="151"/>
        <v>-0.73999651294568913</v>
      </c>
      <c r="E4786">
        <v>-2.7868318122555424E-2</v>
      </c>
      <c r="G4786">
        <v>4784</v>
      </c>
      <c r="H4786">
        <f t="shared" ca="1" si="152"/>
        <v>-8.8045684096805382E-3</v>
      </c>
    </row>
    <row r="4787" spans="2:8" x14ac:dyDescent="0.3">
      <c r="B4787" s="113">
        <v>41857</v>
      </c>
      <c r="C4787">
        <v>229.42</v>
      </c>
      <c r="D4787">
        <f t="shared" si="151"/>
        <v>2.4339170782816941</v>
      </c>
      <c r="E4787">
        <v>-2.792254565484515E-2</v>
      </c>
      <c r="G4787">
        <v>4785</v>
      </c>
      <c r="H4787">
        <f t="shared" ca="1" si="152"/>
        <v>7.3234030101503051E-3</v>
      </c>
    </row>
    <row r="4788" spans="2:8" x14ac:dyDescent="0.3">
      <c r="B4788" s="113">
        <v>39609</v>
      </c>
      <c r="C4788">
        <v>66.81</v>
      </c>
      <c r="D4788">
        <f t="shared" si="151"/>
        <v>-0.76126496337323568</v>
      </c>
      <c r="E4788">
        <v>-2.7935399388913162E-2</v>
      </c>
      <c r="G4788">
        <v>4786</v>
      </c>
      <c r="H4788">
        <f t="shared" ca="1" si="152"/>
        <v>3.0940986881233767E-2</v>
      </c>
    </row>
    <row r="4789" spans="2:8" x14ac:dyDescent="0.3">
      <c r="B4789" s="113">
        <v>42816</v>
      </c>
      <c r="C4789">
        <v>279.85000000000002</v>
      </c>
      <c r="D4789">
        <f t="shared" si="151"/>
        <v>18.194101508916326</v>
      </c>
      <c r="E4789">
        <v>-2.7961097603334335E-2</v>
      </c>
      <c r="G4789">
        <v>4787</v>
      </c>
      <c r="H4789">
        <f t="shared" ca="1" si="152"/>
        <v>-1.3716995863125012E-2</v>
      </c>
    </row>
    <row r="4790" spans="2:8" x14ac:dyDescent="0.3">
      <c r="B4790" s="113">
        <v>37642</v>
      </c>
      <c r="C4790">
        <v>14.58</v>
      </c>
      <c r="D4790">
        <f t="shared" si="151"/>
        <v>-0.77229423707637046</v>
      </c>
      <c r="E4790">
        <v>-2.7999999999999994E-2</v>
      </c>
      <c r="G4790">
        <v>4788</v>
      </c>
      <c r="H4790">
        <f t="shared" ca="1" si="152"/>
        <v>1.5335635959667039E-2</v>
      </c>
    </row>
    <row r="4791" spans="2:8" x14ac:dyDescent="0.3">
      <c r="B4791" s="113">
        <v>39989</v>
      </c>
      <c r="C4791">
        <v>64.03</v>
      </c>
      <c r="D4791">
        <f t="shared" si="151"/>
        <v>-0.70349617967122013</v>
      </c>
      <c r="E4791">
        <v>-2.8081360048573079E-2</v>
      </c>
      <c r="G4791">
        <v>4789</v>
      </c>
      <c r="H4791">
        <f t="shared" ca="1" si="152"/>
        <v>1.0895157658357092E-2</v>
      </c>
    </row>
    <row r="4792" spans="2:8" x14ac:dyDescent="0.3">
      <c r="B4792" s="113">
        <v>44279</v>
      </c>
      <c r="C4792">
        <v>215.95</v>
      </c>
      <c r="D4792">
        <f t="shared" si="151"/>
        <v>1.5008685581933989</v>
      </c>
      <c r="E4792">
        <v>-2.8127812781278128E-2</v>
      </c>
      <c r="G4792">
        <v>4790</v>
      </c>
      <c r="H4792">
        <f t="shared" ca="1" si="152"/>
        <v>-6.6343849287083473E-3</v>
      </c>
    </row>
    <row r="4793" spans="2:8" x14ac:dyDescent="0.3">
      <c r="B4793" s="113">
        <v>40323</v>
      </c>
      <c r="C4793">
        <v>86.35</v>
      </c>
      <c r="D4793">
        <f t="shared" si="151"/>
        <v>-3.1170630339414709E-3</v>
      </c>
      <c r="E4793">
        <v>-2.8137310073157007E-2</v>
      </c>
      <c r="G4793">
        <v>4791</v>
      </c>
      <c r="H4793">
        <f t="shared" ca="1" si="152"/>
        <v>-6.9647623866944284E-3</v>
      </c>
    </row>
    <row r="4794" spans="2:8" x14ac:dyDescent="0.3">
      <c r="B4794" s="113">
        <v>40143</v>
      </c>
      <c r="C4794">
        <v>86.62</v>
      </c>
      <c r="D4794">
        <f t="shared" si="151"/>
        <v>-0.61784170122650661</v>
      </c>
      <c r="E4794">
        <v>-2.8161112981038832E-2</v>
      </c>
      <c r="G4794">
        <v>4792</v>
      </c>
      <c r="H4794">
        <f t="shared" ca="1" si="152"/>
        <v>2.5029619627003893E-2</v>
      </c>
    </row>
    <row r="4795" spans="2:8" x14ac:dyDescent="0.3">
      <c r="B4795" s="113">
        <v>42114</v>
      </c>
      <c r="C4795">
        <v>226.66</v>
      </c>
      <c r="D4795">
        <f t="shared" si="151"/>
        <v>-0.21652264085724165</v>
      </c>
      <c r="E4795">
        <v>-2.8294606876446859E-2</v>
      </c>
      <c r="G4795">
        <v>4793</v>
      </c>
      <c r="H4795">
        <f t="shared" ca="1" si="152"/>
        <v>-2.2924036582966799E-3</v>
      </c>
    </row>
    <row r="4796" spans="2:8" x14ac:dyDescent="0.3">
      <c r="B4796" s="113">
        <v>43598</v>
      </c>
      <c r="C4796">
        <v>289.3</v>
      </c>
      <c r="D4796">
        <f t="shared" si="151"/>
        <v>8.5070653959907983</v>
      </c>
      <c r="E4796">
        <v>-2.8379513014273682E-2</v>
      </c>
      <c r="G4796">
        <v>4794</v>
      </c>
      <c r="H4796">
        <f t="shared" ca="1" si="152"/>
        <v>-6.3573991717245275E-3</v>
      </c>
    </row>
    <row r="4797" spans="2:8" x14ac:dyDescent="0.3">
      <c r="B4797" s="113">
        <v>38457</v>
      </c>
      <c r="C4797">
        <v>30.43</v>
      </c>
      <c r="D4797">
        <f t="shared" si="151"/>
        <v>-0.55725301906009028</v>
      </c>
      <c r="E4797">
        <v>-2.8416347381864642E-2</v>
      </c>
      <c r="G4797">
        <v>4795</v>
      </c>
      <c r="H4797">
        <f t="shared" ca="1" si="152"/>
        <v>1.2143150069301256E-2</v>
      </c>
    </row>
    <row r="4798" spans="2:8" x14ac:dyDescent="0.3">
      <c r="B4798" s="113">
        <v>39608</v>
      </c>
      <c r="C4798">
        <v>68.73</v>
      </c>
      <c r="D4798">
        <f t="shared" si="151"/>
        <v>-0.66538461538461546</v>
      </c>
      <c r="E4798">
        <v>-2.8551236749116551E-2</v>
      </c>
      <c r="G4798">
        <v>4796</v>
      </c>
      <c r="H4798">
        <f t="shared" ca="1" si="152"/>
        <v>-2.5309448250187303E-2</v>
      </c>
    </row>
    <row r="4799" spans="2:8" x14ac:dyDescent="0.3">
      <c r="B4799" s="113">
        <v>44202</v>
      </c>
      <c r="C4799">
        <v>205.4</v>
      </c>
      <c r="D4799">
        <f t="shared" si="151"/>
        <v>2.4819460925580605</v>
      </c>
      <c r="E4799">
        <v>-2.861196500354686E-2</v>
      </c>
      <c r="G4799">
        <v>4797</v>
      </c>
      <c r="H4799">
        <f t="shared" ca="1" si="152"/>
        <v>-8.5375623408369804E-3</v>
      </c>
    </row>
    <row r="4800" spans="2:8" x14ac:dyDescent="0.3">
      <c r="B4800" s="113">
        <v>38866</v>
      </c>
      <c r="C4800">
        <v>58.99</v>
      </c>
      <c r="D4800">
        <f t="shared" si="151"/>
        <v>-9.8425798563350209E-2</v>
      </c>
      <c r="E4800">
        <v>-2.8651407870903919E-2</v>
      </c>
      <c r="G4800">
        <v>4798</v>
      </c>
      <c r="H4800">
        <f t="shared" ca="1" si="152"/>
        <v>-1.40374448492981E-2</v>
      </c>
    </row>
    <row r="4801" spans="2:8" x14ac:dyDescent="0.3">
      <c r="B4801" s="113">
        <v>39987</v>
      </c>
      <c r="C4801">
        <v>65.430000000000007</v>
      </c>
      <c r="D4801">
        <f t="shared" si="151"/>
        <v>-0.51091343997608007</v>
      </c>
      <c r="E4801">
        <v>-2.8652019002375188E-2</v>
      </c>
      <c r="G4801">
        <v>4799</v>
      </c>
      <c r="H4801">
        <f t="shared" ca="1" si="152"/>
        <v>2.0747917480175949E-2</v>
      </c>
    </row>
    <row r="4802" spans="2:8" x14ac:dyDescent="0.3">
      <c r="B4802" s="113">
        <v>40865</v>
      </c>
      <c r="C4802">
        <v>133.78</v>
      </c>
      <c r="D4802">
        <f t="shared" si="151"/>
        <v>1.4100162132949021</v>
      </c>
      <c r="E4802">
        <v>-2.8679300079866323E-2</v>
      </c>
      <c r="G4802">
        <v>4800</v>
      </c>
      <c r="H4802">
        <f t="shared" ca="1" si="152"/>
        <v>7.8548146297603635E-3</v>
      </c>
    </row>
    <row r="4803" spans="2:8" x14ac:dyDescent="0.3">
      <c r="B4803" s="113">
        <v>39293</v>
      </c>
      <c r="C4803">
        <v>55.51</v>
      </c>
      <c r="D4803">
        <f t="shared" ref="D4803:D4866" si="153">(C4803-C4804)/C4804</f>
        <v>2.0383141762452106</v>
      </c>
      <c r="E4803">
        <v>-2.8696412948381465E-2</v>
      </c>
      <c r="G4803">
        <v>4801</v>
      </c>
      <c r="H4803">
        <f t="shared" ca="1" si="152"/>
        <v>1.0798253506588269E-2</v>
      </c>
    </row>
    <row r="4804" spans="2:8" x14ac:dyDescent="0.3">
      <c r="B4804" s="113">
        <v>37873</v>
      </c>
      <c r="C4804">
        <v>18.27</v>
      </c>
      <c r="D4804">
        <f t="shared" si="153"/>
        <v>-0.62453760789149193</v>
      </c>
      <c r="E4804">
        <v>-2.8708133971291822E-2</v>
      </c>
      <c r="G4804">
        <v>4802</v>
      </c>
      <c r="H4804">
        <f t="shared" ref="H4804:H4867" ca="1" si="154">_xlfn.NORM.INV(RAND(),$L$4,$L$6)</f>
        <v>-7.2015181789658893E-4</v>
      </c>
    </row>
    <row r="4805" spans="2:8" x14ac:dyDescent="0.3">
      <c r="B4805" s="113">
        <v>39174</v>
      </c>
      <c r="C4805">
        <v>48.66</v>
      </c>
      <c r="D4805">
        <f t="shared" si="153"/>
        <v>-0.26606334841628959</v>
      </c>
      <c r="E4805">
        <v>-2.8742514970059977E-2</v>
      </c>
      <c r="G4805">
        <v>4803</v>
      </c>
      <c r="H4805">
        <f t="shared" ca="1" si="154"/>
        <v>2.147858597398954E-2</v>
      </c>
    </row>
    <row r="4806" spans="2:8" x14ac:dyDescent="0.3">
      <c r="B4806" s="113">
        <v>39484</v>
      </c>
      <c r="C4806">
        <v>66.3</v>
      </c>
      <c r="D4806">
        <f t="shared" si="153"/>
        <v>0.5662650602409639</v>
      </c>
      <c r="E4806">
        <v>-2.8856012889995591E-2</v>
      </c>
      <c r="G4806">
        <v>4804</v>
      </c>
      <c r="H4806">
        <f t="shared" ca="1" si="154"/>
        <v>-1.1140249314997748E-2</v>
      </c>
    </row>
    <row r="4807" spans="2:8" x14ac:dyDescent="0.3">
      <c r="B4807" s="113">
        <v>38631</v>
      </c>
      <c r="C4807">
        <v>42.33</v>
      </c>
      <c r="D4807">
        <f t="shared" si="153"/>
        <v>-0.67914803304782845</v>
      </c>
      <c r="E4807">
        <v>-2.8905712319339413E-2</v>
      </c>
      <c r="G4807">
        <v>4805</v>
      </c>
      <c r="H4807">
        <f t="shared" ca="1" si="154"/>
        <v>1.5873729522425845E-2</v>
      </c>
    </row>
    <row r="4808" spans="2:8" x14ac:dyDescent="0.3">
      <c r="B4808" s="113">
        <v>40885</v>
      </c>
      <c r="C4808">
        <v>131.93</v>
      </c>
      <c r="D4808">
        <f t="shared" si="153"/>
        <v>-0.368755980861244</v>
      </c>
      <c r="E4808">
        <v>-2.8998307205416924E-2</v>
      </c>
      <c r="G4808">
        <v>4806</v>
      </c>
      <c r="H4808">
        <f t="shared" ca="1" si="154"/>
        <v>3.5652638424394013E-2</v>
      </c>
    </row>
    <row r="4809" spans="2:8" x14ac:dyDescent="0.3">
      <c r="B4809" s="113">
        <v>44349</v>
      </c>
      <c r="C4809">
        <v>209</v>
      </c>
      <c r="D4809">
        <f t="shared" si="153"/>
        <v>-0.15776747934716906</v>
      </c>
      <c r="E4809">
        <v>-2.9036004645760744E-2</v>
      </c>
      <c r="G4809">
        <v>4807</v>
      </c>
      <c r="H4809">
        <f t="shared" ca="1" si="154"/>
        <v>-1.3628546003405722E-2</v>
      </c>
    </row>
    <row r="4810" spans="2:8" x14ac:dyDescent="0.3">
      <c r="B4810" s="113">
        <v>42683</v>
      </c>
      <c r="C4810">
        <v>248.15</v>
      </c>
      <c r="D4810">
        <f t="shared" si="153"/>
        <v>7.8058907026259758</v>
      </c>
      <c r="E4810">
        <v>-2.9147104851330159E-2</v>
      </c>
      <c r="G4810">
        <v>4808</v>
      </c>
      <c r="H4810">
        <f t="shared" ca="1" si="154"/>
        <v>1.0507331051549319E-2</v>
      </c>
    </row>
    <row r="4811" spans="2:8" x14ac:dyDescent="0.3">
      <c r="B4811" s="113">
        <v>38440</v>
      </c>
      <c r="C4811">
        <v>28.18</v>
      </c>
      <c r="D4811">
        <f t="shared" si="153"/>
        <v>0.27569035762788591</v>
      </c>
      <c r="E4811">
        <v>-2.9280055115397913E-2</v>
      </c>
      <c r="G4811">
        <v>4809</v>
      </c>
      <c r="H4811">
        <f t="shared" ca="1" si="154"/>
        <v>-2.1904849523296584E-2</v>
      </c>
    </row>
    <row r="4812" spans="2:8" x14ac:dyDescent="0.3">
      <c r="B4812" s="113">
        <v>38117</v>
      </c>
      <c r="C4812">
        <v>22.09</v>
      </c>
      <c r="D4812">
        <f t="shared" si="153"/>
        <v>-9.2067406494040216E-2</v>
      </c>
      <c r="E4812">
        <v>-2.943760984182784E-2</v>
      </c>
      <c r="G4812">
        <v>4810</v>
      </c>
      <c r="H4812">
        <f t="shared" ca="1" si="154"/>
        <v>-1.1564993439328555E-2</v>
      </c>
    </row>
    <row r="4813" spans="2:8" x14ac:dyDescent="0.3">
      <c r="B4813" s="113">
        <v>38061</v>
      </c>
      <c r="C4813">
        <v>24.33</v>
      </c>
      <c r="D4813">
        <f t="shared" si="153"/>
        <v>-0.90065332788893426</v>
      </c>
      <c r="E4813">
        <v>-2.9517351416035179E-2</v>
      </c>
      <c r="G4813">
        <v>4811</v>
      </c>
      <c r="H4813">
        <f t="shared" ca="1" si="154"/>
        <v>-1.2409823095051811E-2</v>
      </c>
    </row>
    <row r="4814" spans="2:8" x14ac:dyDescent="0.3">
      <c r="B4814" s="113">
        <v>42555</v>
      </c>
      <c r="C4814">
        <v>244.9</v>
      </c>
      <c r="D4814">
        <f t="shared" si="153"/>
        <v>3.1090604026845639</v>
      </c>
      <c r="E4814">
        <v>-2.9522488607093278E-2</v>
      </c>
      <c r="G4814">
        <v>4812</v>
      </c>
      <c r="H4814">
        <f t="shared" ca="1" si="154"/>
        <v>2.2112842272544259E-2</v>
      </c>
    </row>
    <row r="4815" spans="2:8" x14ac:dyDescent="0.3">
      <c r="B4815" s="113">
        <v>39909</v>
      </c>
      <c r="C4815">
        <v>59.6</v>
      </c>
      <c r="D4815">
        <f t="shared" si="153"/>
        <v>-0.47102156740924822</v>
      </c>
      <c r="E4815">
        <v>-2.9632041680234453E-2</v>
      </c>
      <c r="G4815">
        <v>4813</v>
      </c>
      <c r="H4815">
        <f t="shared" ca="1" si="154"/>
        <v>1.1053602463527544E-2</v>
      </c>
    </row>
    <row r="4816" spans="2:8" x14ac:dyDescent="0.3">
      <c r="B4816" s="113">
        <v>40498</v>
      </c>
      <c r="C4816">
        <v>112.67</v>
      </c>
      <c r="D4816">
        <f t="shared" si="153"/>
        <v>-0.24736138944555772</v>
      </c>
      <c r="E4816">
        <v>-2.9710644161212562E-2</v>
      </c>
      <c r="G4816">
        <v>4814</v>
      </c>
      <c r="H4816">
        <f t="shared" ca="1" si="154"/>
        <v>3.7876987298171849E-2</v>
      </c>
    </row>
    <row r="4817" spans="2:8" x14ac:dyDescent="0.3">
      <c r="B4817" s="113">
        <v>43914</v>
      </c>
      <c r="C4817">
        <v>149.69999999999999</v>
      </c>
      <c r="D4817">
        <f t="shared" si="153"/>
        <v>-0.28417730598192514</v>
      </c>
      <c r="E4817">
        <v>-2.9812054439403903E-2</v>
      </c>
      <c r="G4817">
        <v>4815</v>
      </c>
      <c r="H4817">
        <f t="shared" ca="1" si="154"/>
        <v>1.154004913204096E-2</v>
      </c>
    </row>
    <row r="4818" spans="2:8" x14ac:dyDescent="0.3">
      <c r="B4818" s="113">
        <v>42248</v>
      </c>
      <c r="C4818">
        <v>209.13</v>
      </c>
      <c r="D4818">
        <f t="shared" si="153"/>
        <v>2.8190284879474072</v>
      </c>
      <c r="E4818">
        <v>-2.9829281870476929E-2</v>
      </c>
      <c r="G4818">
        <v>4816</v>
      </c>
      <c r="H4818">
        <f t="shared" ca="1" si="154"/>
        <v>2.4352330048705247E-2</v>
      </c>
    </row>
    <row r="4819" spans="2:8" x14ac:dyDescent="0.3">
      <c r="B4819" s="113">
        <v>39140</v>
      </c>
      <c r="C4819">
        <v>54.76</v>
      </c>
      <c r="D4819">
        <f t="shared" si="153"/>
        <v>-0.73786500718046921</v>
      </c>
      <c r="E4819">
        <v>-2.9937998228520901E-2</v>
      </c>
      <c r="G4819">
        <v>4817</v>
      </c>
      <c r="H4819">
        <f t="shared" ca="1" si="154"/>
        <v>8.8638605993182525E-3</v>
      </c>
    </row>
    <row r="4820" spans="2:8" x14ac:dyDescent="0.3">
      <c r="B4820" s="113">
        <v>42375</v>
      </c>
      <c r="C4820">
        <v>208.9</v>
      </c>
      <c r="D4820">
        <f t="shared" si="153"/>
        <v>1.9385286256857504</v>
      </c>
      <c r="E4820">
        <v>-2.9996285289747435E-2</v>
      </c>
      <c r="G4820">
        <v>4818</v>
      </c>
      <c r="H4820">
        <f t="shared" ca="1" si="154"/>
        <v>-3.9092561500808217E-3</v>
      </c>
    </row>
    <row r="4821" spans="2:8" x14ac:dyDescent="0.3">
      <c r="B4821" s="113">
        <v>39450</v>
      </c>
      <c r="C4821">
        <v>71.09</v>
      </c>
      <c r="D4821">
        <f t="shared" si="153"/>
        <v>2.6682146542827665</v>
      </c>
      <c r="E4821">
        <v>-3.0017737754127475E-2</v>
      </c>
      <c r="G4821">
        <v>4819</v>
      </c>
      <c r="H4821">
        <f t="shared" ca="1" si="154"/>
        <v>-1.1236954822196214E-2</v>
      </c>
    </row>
    <row r="4822" spans="2:8" x14ac:dyDescent="0.3">
      <c r="B4822" s="113">
        <v>37908</v>
      </c>
      <c r="C4822">
        <v>19.38</v>
      </c>
      <c r="D4822">
        <f t="shared" si="153"/>
        <v>0.3411764705882353</v>
      </c>
      <c r="E4822">
        <v>-3.0030030030030099E-2</v>
      </c>
      <c r="G4822">
        <v>4820</v>
      </c>
      <c r="H4822">
        <f t="shared" ca="1" si="154"/>
        <v>-9.5786367317789722E-3</v>
      </c>
    </row>
    <row r="4823" spans="2:8" x14ac:dyDescent="0.3">
      <c r="B4823" s="113">
        <v>37459</v>
      </c>
      <c r="C4823">
        <v>14.45</v>
      </c>
      <c r="D4823">
        <f t="shared" si="153"/>
        <v>-0.7631535813801017</v>
      </c>
      <c r="E4823">
        <v>-3.0201342281879266E-2</v>
      </c>
      <c r="G4823">
        <v>4821</v>
      </c>
      <c r="H4823">
        <f t="shared" ca="1" si="154"/>
        <v>2.9542461758377617E-2</v>
      </c>
    </row>
    <row r="4824" spans="2:8" x14ac:dyDescent="0.3">
      <c r="B4824" s="113">
        <v>39959</v>
      </c>
      <c r="C4824">
        <v>61.01</v>
      </c>
      <c r="D4824">
        <f t="shared" si="153"/>
        <v>-0.75820386810399498</v>
      </c>
      <c r="E4824">
        <v>-3.0201875695437905E-2</v>
      </c>
      <c r="G4824">
        <v>4822</v>
      </c>
      <c r="H4824">
        <f t="shared" ca="1" si="154"/>
        <v>2.9572921555271231E-3</v>
      </c>
    </row>
    <row r="4825" spans="2:8" x14ac:dyDescent="0.3">
      <c r="B4825" s="113">
        <v>41989</v>
      </c>
      <c r="C4825">
        <v>252.32</v>
      </c>
      <c r="D4825">
        <f t="shared" si="153"/>
        <v>6.6260987153482109E-2</v>
      </c>
      <c r="E4825">
        <v>-3.0433446049800243E-2</v>
      </c>
      <c r="G4825">
        <v>4823</v>
      </c>
      <c r="H4825">
        <f t="shared" ca="1" si="154"/>
        <v>-1.9997523977446593E-3</v>
      </c>
    </row>
    <row r="4826" spans="2:8" x14ac:dyDescent="0.3">
      <c r="B4826" s="113">
        <v>41775</v>
      </c>
      <c r="C4826">
        <v>236.64</v>
      </c>
      <c r="D4826">
        <f t="shared" si="153"/>
        <v>-0.2037685060565276</v>
      </c>
      <c r="E4826">
        <v>-3.044208628672105E-2</v>
      </c>
      <c r="G4826">
        <v>4824</v>
      </c>
      <c r="H4826">
        <f t="shared" ca="1" si="154"/>
        <v>5.3582433267168996E-3</v>
      </c>
    </row>
    <row r="4827" spans="2:8" x14ac:dyDescent="0.3">
      <c r="B4827" s="113">
        <v>43354</v>
      </c>
      <c r="C4827">
        <v>297.2</v>
      </c>
      <c r="D4827">
        <f t="shared" si="153"/>
        <v>0.15462315462315468</v>
      </c>
      <c r="E4827">
        <v>-3.0500733974881823E-2</v>
      </c>
      <c r="G4827">
        <v>4825</v>
      </c>
      <c r="H4827">
        <f t="shared" ca="1" si="154"/>
        <v>1.4697696157874952E-2</v>
      </c>
    </row>
    <row r="4828" spans="2:8" x14ac:dyDescent="0.3">
      <c r="B4828" s="113">
        <v>42762</v>
      </c>
      <c r="C4828">
        <v>257.39999999999998</v>
      </c>
      <c r="D4828">
        <f t="shared" si="153"/>
        <v>2.9357798165137607</v>
      </c>
      <c r="E4828">
        <v>-3.0508474576271271E-2</v>
      </c>
      <c r="G4828">
        <v>4826</v>
      </c>
      <c r="H4828">
        <f t="shared" ca="1" si="154"/>
        <v>-7.967890764910907E-4</v>
      </c>
    </row>
    <row r="4829" spans="2:8" x14ac:dyDescent="0.3">
      <c r="B4829" s="113">
        <v>38832</v>
      </c>
      <c r="C4829">
        <v>65.400000000000006</v>
      </c>
      <c r="D4829">
        <f t="shared" si="153"/>
        <v>0.1307053941908714</v>
      </c>
      <c r="E4829">
        <v>-3.0536614289949426E-2</v>
      </c>
      <c r="G4829">
        <v>4827</v>
      </c>
      <c r="H4829">
        <f t="shared" ca="1" si="154"/>
        <v>1.5863717441589027E-3</v>
      </c>
    </row>
    <row r="4830" spans="2:8" x14ac:dyDescent="0.3">
      <c r="B4830" s="113">
        <v>39728</v>
      </c>
      <c r="C4830">
        <v>57.84</v>
      </c>
      <c r="D4830">
        <f t="shared" si="153"/>
        <v>1.24277962541572E-2</v>
      </c>
      <c r="E4830">
        <v>-3.0668677727501228E-2</v>
      </c>
      <c r="G4830">
        <v>4828</v>
      </c>
      <c r="H4830">
        <f t="shared" ca="1" si="154"/>
        <v>8.3622134668489174E-3</v>
      </c>
    </row>
    <row r="4831" spans="2:8" x14ac:dyDescent="0.3">
      <c r="B4831" s="113">
        <v>39806</v>
      </c>
      <c r="C4831">
        <v>57.13</v>
      </c>
      <c r="D4831">
        <f t="shared" si="153"/>
        <v>-8.1068039247225332E-2</v>
      </c>
      <c r="E4831">
        <v>-3.0709195792331105E-2</v>
      </c>
      <c r="G4831">
        <v>4829</v>
      </c>
      <c r="H4831">
        <f t="shared" ca="1" si="154"/>
        <v>-1.6522714791609289E-2</v>
      </c>
    </row>
    <row r="4832" spans="2:8" x14ac:dyDescent="0.3">
      <c r="B4832" s="113">
        <v>39931</v>
      </c>
      <c r="C4832">
        <v>62.17</v>
      </c>
      <c r="D4832">
        <f t="shared" si="153"/>
        <v>-5.6600910470409764E-2</v>
      </c>
      <c r="E4832">
        <v>-3.0714062987215449E-2</v>
      </c>
      <c r="G4832">
        <v>4830</v>
      </c>
      <c r="H4832">
        <f t="shared" ca="1" si="154"/>
        <v>2.4140306418092852E-2</v>
      </c>
    </row>
    <row r="4833" spans="2:8" x14ac:dyDescent="0.3">
      <c r="B4833" s="113">
        <v>39405</v>
      </c>
      <c r="C4833">
        <v>65.900000000000006</v>
      </c>
      <c r="D4833">
        <f t="shared" si="153"/>
        <v>-4.230885463886387E-3</v>
      </c>
      <c r="E4833">
        <v>-3.0739814678629053E-2</v>
      </c>
      <c r="G4833">
        <v>4831</v>
      </c>
      <c r="H4833">
        <f t="shared" ca="1" si="154"/>
        <v>-1.2247073875491746E-2</v>
      </c>
    </row>
    <row r="4834" spans="2:8" x14ac:dyDescent="0.3">
      <c r="B4834" s="113">
        <v>38814</v>
      </c>
      <c r="C4834">
        <v>66.180000000000007</v>
      </c>
      <c r="D4834">
        <f t="shared" si="153"/>
        <v>-0.60228365384615379</v>
      </c>
      <c r="E4834">
        <v>-3.0755711775043854E-2</v>
      </c>
      <c r="G4834">
        <v>4832</v>
      </c>
      <c r="H4834">
        <f t="shared" ca="1" si="154"/>
        <v>-3.4386152697776382E-2</v>
      </c>
    </row>
    <row r="4835" spans="2:8" x14ac:dyDescent="0.3">
      <c r="B4835" s="113">
        <v>43922</v>
      </c>
      <c r="C4835">
        <v>166.4</v>
      </c>
      <c r="D4835">
        <f t="shared" si="153"/>
        <v>1.7026149098586976</v>
      </c>
      <c r="E4835">
        <v>-3.0867792661619004E-2</v>
      </c>
      <c r="G4835">
        <v>4833</v>
      </c>
      <c r="H4835">
        <f t="shared" ca="1" si="154"/>
        <v>-4.7164357895303584E-3</v>
      </c>
    </row>
    <row r="4836" spans="2:8" x14ac:dyDescent="0.3">
      <c r="B4836" s="113">
        <v>39524</v>
      </c>
      <c r="C4836">
        <v>61.57</v>
      </c>
      <c r="D4836">
        <f t="shared" si="153"/>
        <v>-0.75635140482785912</v>
      </c>
      <c r="E4836">
        <v>-3.1004091910607472E-2</v>
      </c>
      <c r="G4836">
        <v>4834</v>
      </c>
      <c r="H4836">
        <f t="shared" ca="1" si="154"/>
        <v>1.709880348533644E-2</v>
      </c>
    </row>
    <row r="4837" spans="2:8" x14ac:dyDescent="0.3">
      <c r="B4837" s="113">
        <v>42585</v>
      </c>
      <c r="C4837">
        <v>252.7</v>
      </c>
      <c r="D4837">
        <f t="shared" si="153"/>
        <v>2.5984571660576439E-2</v>
      </c>
      <c r="E4837">
        <v>-3.1058282208589041E-2</v>
      </c>
      <c r="G4837">
        <v>4835</v>
      </c>
      <c r="H4837">
        <f t="shared" ca="1" si="154"/>
        <v>1.9704748153195339E-2</v>
      </c>
    </row>
    <row r="4838" spans="2:8" x14ac:dyDescent="0.3">
      <c r="B4838" s="113">
        <v>43690</v>
      </c>
      <c r="C4838">
        <v>246.3</v>
      </c>
      <c r="D4838">
        <f t="shared" si="153"/>
        <v>5.3775245986535483</v>
      </c>
      <c r="E4838">
        <v>-3.1077891424075445E-2</v>
      </c>
      <c r="G4838">
        <v>4836</v>
      </c>
      <c r="H4838">
        <f t="shared" ca="1" si="154"/>
        <v>2.7834318320049392E-3</v>
      </c>
    </row>
    <row r="4839" spans="2:8" x14ac:dyDescent="0.3">
      <c r="B4839" s="113">
        <v>38645</v>
      </c>
      <c r="C4839">
        <v>38.619999999999997</v>
      </c>
      <c r="D4839">
        <f t="shared" si="153"/>
        <v>-8.0695072601761508E-2</v>
      </c>
      <c r="E4839">
        <v>-3.1108881083793328E-2</v>
      </c>
      <c r="G4839">
        <v>4837</v>
      </c>
      <c r="H4839">
        <f t="shared" ca="1" si="154"/>
        <v>-2.0886132169787811E-2</v>
      </c>
    </row>
    <row r="4840" spans="2:8" x14ac:dyDescent="0.3">
      <c r="B4840" s="113">
        <v>38677</v>
      </c>
      <c r="C4840">
        <v>42.01</v>
      </c>
      <c r="D4840">
        <f t="shared" si="153"/>
        <v>-0.30400927766732938</v>
      </c>
      <c r="E4840">
        <v>-3.1134686346863501E-2</v>
      </c>
      <c r="G4840">
        <v>4838</v>
      </c>
      <c r="H4840">
        <f t="shared" ca="1" si="154"/>
        <v>-1.4153095869345763E-2</v>
      </c>
    </row>
    <row r="4841" spans="2:8" x14ac:dyDescent="0.3">
      <c r="B4841" s="113">
        <v>38971</v>
      </c>
      <c r="C4841">
        <v>60.36</v>
      </c>
      <c r="D4841">
        <f t="shared" si="153"/>
        <v>-0.69436427160868897</v>
      </c>
      <c r="E4841">
        <v>-3.1139646869983915E-2</v>
      </c>
      <c r="G4841">
        <v>4839</v>
      </c>
      <c r="H4841">
        <f t="shared" ca="1" si="154"/>
        <v>1.4032501405058408E-2</v>
      </c>
    </row>
    <row r="4842" spans="2:8" x14ac:dyDescent="0.3">
      <c r="B4842" s="113">
        <v>41513</v>
      </c>
      <c r="C4842">
        <v>197.49</v>
      </c>
      <c r="D4842">
        <f t="shared" si="153"/>
        <v>-0.11834821428571425</v>
      </c>
      <c r="E4842">
        <v>-3.1246934170509194E-2</v>
      </c>
      <c r="G4842">
        <v>4840</v>
      </c>
      <c r="H4842">
        <f t="shared" ca="1" si="154"/>
        <v>-6.8061789053310278E-4</v>
      </c>
    </row>
    <row r="4843" spans="2:8" x14ac:dyDescent="0.3">
      <c r="B4843" s="113">
        <v>44526</v>
      </c>
      <c r="C4843">
        <v>224</v>
      </c>
      <c r="D4843">
        <f t="shared" si="153"/>
        <v>3.2192503296289319</v>
      </c>
      <c r="E4843">
        <v>-3.156074362300048E-2</v>
      </c>
      <c r="G4843">
        <v>4841</v>
      </c>
      <c r="H4843">
        <f t="shared" ca="1" si="154"/>
        <v>-1.5205749545120143E-2</v>
      </c>
    </row>
    <row r="4844" spans="2:8" x14ac:dyDescent="0.3">
      <c r="B4844" s="113">
        <v>38869</v>
      </c>
      <c r="C4844">
        <v>53.09</v>
      </c>
      <c r="D4844">
        <f t="shared" si="153"/>
        <v>-3.6828737300435309E-2</v>
      </c>
      <c r="E4844">
        <v>-3.1734451942367223E-2</v>
      </c>
      <c r="G4844">
        <v>4842</v>
      </c>
      <c r="H4844">
        <f t="shared" ca="1" si="154"/>
        <v>1.5187629490565914E-2</v>
      </c>
    </row>
    <row r="4845" spans="2:8" x14ac:dyDescent="0.3">
      <c r="B4845" s="113">
        <v>38894</v>
      </c>
      <c r="C4845">
        <v>55.12</v>
      </c>
      <c r="D4845">
        <f t="shared" si="153"/>
        <v>-0.74034294328245709</v>
      </c>
      <c r="E4845">
        <v>-3.1793430528719517E-2</v>
      </c>
      <c r="G4845">
        <v>4843</v>
      </c>
      <c r="H4845">
        <f t="shared" ca="1" si="154"/>
        <v>-1.1138231542033398E-2</v>
      </c>
    </row>
    <row r="4846" spans="2:8" x14ac:dyDescent="0.3">
      <c r="B4846" s="113">
        <v>42240</v>
      </c>
      <c r="C4846">
        <v>212.28</v>
      </c>
      <c r="D4846">
        <f t="shared" si="153"/>
        <v>1.1255632322018623</v>
      </c>
      <c r="E4846">
        <v>-3.1878505951566605E-2</v>
      </c>
      <c r="G4846">
        <v>4844</v>
      </c>
      <c r="H4846">
        <f t="shared" ca="1" si="154"/>
        <v>8.6338553371017347E-3</v>
      </c>
    </row>
    <row r="4847" spans="2:8" x14ac:dyDescent="0.3">
      <c r="B4847" s="113">
        <v>40598</v>
      </c>
      <c r="C4847">
        <v>99.87</v>
      </c>
      <c r="D4847">
        <f t="shared" si="153"/>
        <v>-0.53347036016256366</v>
      </c>
      <c r="E4847">
        <v>-3.1892206281504382E-2</v>
      </c>
      <c r="G4847">
        <v>4845</v>
      </c>
      <c r="H4847">
        <f t="shared" ca="1" si="154"/>
        <v>3.3784003921945244E-3</v>
      </c>
    </row>
    <row r="4848" spans="2:8" x14ac:dyDescent="0.3">
      <c r="B4848" s="113">
        <v>42488</v>
      </c>
      <c r="C4848">
        <v>214.07</v>
      </c>
      <c r="D4848">
        <f t="shared" si="153"/>
        <v>10.423159018143009</v>
      </c>
      <c r="E4848">
        <v>-3.1926920815809716E-2</v>
      </c>
      <c r="G4848">
        <v>4846</v>
      </c>
      <c r="H4848">
        <f t="shared" ca="1" si="154"/>
        <v>5.147345603973659E-2</v>
      </c>
    </row>
    <row r="4849" spans="2:8" x14ac:dyDescent="0.3">
      <c r="B4849" s="113">
        <v>37917</v>
      </c>
      <c r="C4849">
        <v>18.739999999999998</v>
      </c>
      <c r="D4849">
        <f t="shared" si="153"/>
        <v>0.29330572808833666</v>
      </c>
      <c r="E4849">
        <v>-3.2024793388429805E-2</v>
      </c>
      <c r="G4849">
        <v>4847</v>
      </c>
      <c r="H4849">
        <f t="shared" ca="1" si="154"/>
        <v>2.4021091367976474E-2</v>
      </c>
    </row>
    <row r="4850" spans="2:8" x14ac:dyDescent="0.3">
      <c r="B4850" s="113">
        <v>37476</v>
      </c>
      <c r="C4850">
        <v>14.49</v>
      </c>
      <c r="D4850">
        <f t="shared" si="153"/>
        <v>-0.94035809837415107</v>
      </c>
      <c r="E4850">
        <v>-3.2064128256513051E-2</v>
      </c>
      <c r="G4850">
        <v>4848</v>
      </c>
      <c r="H4850">
        <f t="shared" ca="1" si="154"/>
        <v>-1.8361209583159781E-2</v>
      </c>
    </row>
    <row r="4851" spans="2:8" x14ac:dyDescent="0.3">
      <c r="B4851" s="113">
        <v>42685</v>
      </c>
      <c r="C4851">
        <v>242.95</v>
      </c>
      <c r="D4851">
        <f t="shared" si="153"/>
        <v>15.594945355191257</v>
      </c>
      <c r="E4851">
        <v>-3.2264489145588618E-2</v>
      </c>
      <c r="G4851">
        <v>4849</v>
      </c>
      <c r="H4851">
        <f t="shared" ca="1" si="154"/>
        <v>-7.8370675179998961E-3</v>
      </c>
    </row>
    <row r="4852" spans="2:8" x14ac:dyDescent="0.3">
      <c r="B4852" s="113">
        <v>37505</v>
      </c>
      <c r="C4852">
        <v>14.64</v>
      </c>
      <c r="D4852">
        <f t="shared" si="153"/>
        <v>-0.73772841275528489</v>
      </c>
      <c r="E4852">
        <v>-3.2385988103106424E-2</v>
      </c>
      <c r="G4852">
        <v>4850</v>
      </c>
      <c r="H4852">
        <f t="shared" ca="1" si="154"/>
        <v>8.2671817849176135E-4</v>
      </c>
    </row>
    <row r="4853" spans="2:8" x14ac:dyDescent="0.3">
      <c r="B4853" s="113">
        <v>39070</v>
      </c>
      <c r="C4853">
        <v>55.82</v>
      </c>
      <c r="D4853">
        <f t="shared" si="153"/>
        <v>8.6736537766533579E-3</v>
      </c>
      <c r="E4853">
        <v>-3.241462991853003E-2</v>
      </c>
      <c r="G4853">
        <v>4851</v>
      </c>
      <c r="H4853">
        <f t="shared" ca="1" si="154"/>
        <v>2.3012042914231992E-2</v>
      </c>
    </row>
    <row r="4854" spans="2:8" x14ac:dyDescent="0.3">
      <c r="B4854" s="113">
        <v>39301</v>
      </c>
      <c r="C4854">
        <v>55.34</v>
      </c>
      <c r="D4854">
        <f t="shared" si="153"/>
        <v>1.3271656854499581</v>
      </c>
      <c r="E4854">
        <v>-3.2517482517482509E-2</v>
      </c>
      <c r="G4854">
        <v>4852</v>
      </c>
      <c r="H4854">
        <f t="shared" ca="1" si="154"/>
        <v>-1.109579856789642E-2</v>
      </c>
    </row>
    <row r="4855" spans="2:8" x14ac:dyDescent="0.3">
      <c r="B4855" s="113">
        <v>38042</v>
      </c>
      <c r="C4855">
        <v>23.78</v>
      </c>
      <c r="D4855">
        <f t="shared" si="153"/>
        <v>-0.87317333333333336</v>
      </c>
      <c r="E4855">
        <v>-3.2546786004881902E-2</v>
      </c>
      <c r="G4855">
        <v>4853</v>
      </c>
      <c r="H4855">
        <f t="shared" ca="1" si="154"/>
        <v>1.579204702914383E-2</v>
      </c>
    </row>
    <row r="4856" spans="2:8" x14ac:dyDescent="0.3">
      <c r="B4856" s="113">
        <v>43894</v>
      </c>
      <c r="C4856">
        <v>187.5</v>
      </c>
      <c r="D4856">
        <f t="shared" si="153"/>
        <v>2.1618887015177064</v>
      </c>
      <c r="E4856">
        <v>-3.275728656177454E-2</v>
      </c>
      <c r="G4856">
        <v>4854</v>
      </c>
      <c r="H4856">
        <f t="shared" ca="1" si="154"/>
        <v>-4.4637956242275642E-3</v>
      </c>
    </row>
    <row r="4857" spans="2:8" x14ac:dyDescent="0.3">
      <c r="B4857" s="113">
        <v>38902</v>
      </c>
      <c r="C4857">
        <v>59.3</v>
      </c>
      <c r="D4857">
        <f t="shared" si="153"/>
        <v>-0.7604524338517471</v>
      </c>
      <c r="E4857">
        <v>-3.2941943900848064E-2</v>
      </c>
      <c r="G4857">
        <v>4855</v>
      </c>
      <c r="H4857">
        <f t="shared" ca="1" si="154"/>
        <v>3.7417698644758557E-3</v>
      </c>
    </row>
    <row r="4858" spans="2:8" x14ac:dyDescent="0.3">
      <c r="B4858" s="113">
        <v>43733</v>
      </c>
      <c r="C4858">
        <v>247.55</v>
      </c>
      <c r="D4858">
        <f t="shared" si="153"/>
        <v>1.2963821892393321</v>
      </c>
      <c r="E4858">
        <v>-3.3007812499999956E-2</v>
      </c>
      <c r="G4858">
        <v>4856</v>
      </c>
      <c r="H4858">
        <f t="shared" ca="1" si="154"/>
        <v>1.5953457815684659E-2</v>
      </c>
    </row>
    <row r="4859" spans="2:8" x14ac:dyDescent="0.3">
      <c r="B4859" s="113">
        <v>40574</v>
      </c>
      <c r="C4859">
        <v>107.8</v>
      </c>
      <c r="D4859">
        <f t="shared" si="153"/>
        <v>-0.54437869822485219</v>
      </c>
      <c r="E4859">
        <v>-3.3010405453893138E-2</v>
      </c>
      <c r="G4859">
        <v>4857</v>
      </c>
      <c r="H4859">
        <f t="shared" ca="1" si="154"/>
        <v>1.526915982325708E-2</v>
      </c>
    </row>
    <row r="4860" spans="2:8" x14ac:dyDescent="0.3">
      <c r="B4860" s="113">
        <v>44491</v>
      </c>
      <c r="C4860">
        <v>236.6</v>
      </c>
      <c r="D4860">
        <f t="shared" si="153"/>
        <v>0.78485214242607115</v>
      </c>
      <c r="E4860">
        <v>-3.3101757253780117E-2</v>
      </c>
      <c r="G4860">
        <v>4858</v>
      </c>
      <c r="H4860">
        <f t="shared" ca="1" si="154"/>
        <v>-3.3067814758433425E-3</v>
      </c>
    </row>
    <row r="4861" spans="2:8" x14ac:dyDescent="0.3">
      <c r="B4861" s="113">
        <v>40759</v>
      </c>
      <c r="C4861">
        <v>132.56</v>
      </c>
      <c r="D4861">
        <f t="shared" si="153"/>
        <v>-0.27064649243466299</v>
      </c>
      <c r="E4861">
        <v>-3.3326040983008773E-2</v>
      </c>
      <c r="G4861">
        <v>4859</v>
      </c>
      <c r="H4861">
        <f t="shared" ca="1" si="154"/>
        <v>7.5506907576303726E-4</v>
      </c>
    </row>
    <row r="4862" spans="2:8" x14ac:dyDescent="0.3">
      <c r="B4862" s="113">
        <v>43896</v>
      </c>
      <c r="C4862">
        <v>181.75</v>
      </c>
      <c r="D4862">
        <f t="shared" si="153"/>
        <v>2.2889974665218968</v>
      </c>
      <c r="E4862">
        <v>-3.3501728263759696E-2</v>
      </c>
      <c r="G4862">
        <v>4860</v>
      </c>
      <c r="H4862">
        <f t="shared" ca="1" si="154"/>
        <v>-1.969610391516239E-2</v>
      </c>
    </row>
    <row r="4863" spans="2:8" x14ac:dyDescent="0.3">
      <c r="B4863" s="113">
        <v>39143</v>
      </c>
      <c r="C4863">
        <v>55.26</v>
      </c>
      <c r="D4863">
        <f t="shared" si="153"/>
        <v>-0.56347262816968169</v>
      </c>
      <c r="E4863">
        <v>-3.3578174186778623E-2</v>
      </c>
      <c r="G4863">
        <v>4861</v>
      </c>
      <c r="H4863">
        <f t="shared" ca="1" si="154"/>
        <v>1.7366518746722921E-2</v>
      </c>
    </row>
    <row r="4864" spans="2:8" x14ac:dyDescent="0.3">
      <c r="B4864" s="113">
        <v>40808</v>
      </c>
      <c r="C4864">
        <v>126.59</v>
      </c>
      <c r="D4864">
        <f t="shared" si="153"/>
        <v>-0.36043045521143841</v>
      </c>
      <c r="E4864">
        <v>-3.3664122137404551E-2</v>
      </c>
      <c r="G4864">
        <v>4862</v>
      </c>
      <c r="H4864">
        <f t="shared" ca="1" si="154"/>
        <v>8.4257269304365973E-3</v>
      </c>
    </row>
    <row r="4865" spans="2:8" x14ac:dyDescent="0.3">
      <c r="B4865" s="113">
        <v>42411</v>
      </c>
      <c r="C4865">
        <v>197.93</v>
      </c>
      <c r="D4865">
        <f t="shared" si="153"/>
        <v>-0.15447050279806909</v>
      </c>
      <c r="E4865">
        <v>-3.378081523065652E-2</v>
      </c>
      <c r="G4865">
        <v>4863</v>
      </c>
      <c r="H4865">
        <f t="shared" ca="1" si="154"/>
        <v>1.3351985683884231E-2</v>
      </c>
    </row>
    <row r="4866" spans="2:8" x14ac:dyDescent="0.3">
      <c r="B4866" s="113">
        <v>41922</v>
      </c>
      <c r="C4866">
        <v>234.09</v>
      </c>
      <c r="D4866">
        <f t="shared" si="153"/>
        <v>3.1104477611940293</v>
      </c>
      <c r="E4866">
        <v>-3.3923486442986255E-2</v>
      </c>
      <c r="G4866">
        <v>4864</v>
      </c>
      <c r="H4866">
        <f t="shared" ca="1" si="154"/>
        <v>-1.9328679506362266E-2</v>
      </c>
    </row>
    <row r="4867" spans="2:8" x14ac:dyDescent="0.3">
      <c r="B4867" s="113">
        <v>39637</v>
      </c>
      <c r="C4867">
        <v>56.95</v>
      </c>
      <c r="D4867">
        <f t="shared" ref="D4867:D4930" si="155">(C4867-C4868)/C4868</f>
        <v>1.5322365495775905</v>
      </c>
      <c r="E4867">
        <v>-3.3927056827820185E-2</v>
      </c>
      <c r="G4867">
        <v>4865</v>
      </c>
      <c r="H4867">
        <f t="shared" ca="1" si="154"/>
        <v>-1.4037882659752891E-3</v>
      </c>
    </row>
    <row r="4868" spans="2:8" x14ac:dyDescent="0.3">
      <c r="B4868" s="113">
        <v>38014</v>
      </c>
      <c r="C4868">
        <v>22.49</v>
      </c>
      <c r="D4868">
        <f t="shared" si="155"/>
        <v>-0.59760243335122576</v>
      </c>
      <c r="E4868">
        <v>-3.3934707903780184E-2</v>
      </c>
      <c r="G4868">
        <v>4866</v>
      </c>
      <c r="H4868">
        <f t="shared" ref="H4868:H4931" ca="1" si="156">_xlfn.NORM.INV(RAND(),$L$4,$L$6)</f>
        <v>-1.8992964462366823E-2</v>
      </c>
    </row>
    <row r="4869" spans="2:8" x14ac:dyDescent="0.3">
      <c r="B4869" s="113">
        <v>39643</v>
      </c>
      <c r="C4869">
        <v>55.89</v>
      </c>
      <c r="D4869">
        <f t="shared" si="155"/>
        <v>-0.73705010585744535</v>
      </c>
      <c r="E4869">
        <v>-3.4047701348081556E-2</v>
      </c>
      <c r="G4869">
        <v>4867</v>
      </c>
      <c r="H4869">
        <f t="shared" ca="1" si="156"/>
        <v>7.7998460688125607E-3</v>
      </c>
    </row>
    <row r="4870" spans="2:8" x14ac:dyDescent="0.3">
      <c r="B4870" s="113">
        <v>44291</v>
      </c>
      <c r="C4870">
        <v>212.55</v>
      </c>
      <c r="D4870">
        <f t="shared" si="155"/>
        <v>-7.8194119177725729E-2</v>
      </c>
      <c r="E4870">
        <v>-3.4083162917518742E-2</v>
      </c>
      <c r="G4870">
        <v>4868</v>
      </c>
      <c r="H4870">
        <f t="shared" ca="1" si="156"/>
        <v>-2.5542556013869969E-2</v>
      </c>
    </row>
    <row r="4871" spans="2:8" x14ac:dyDescent="0.3">
      <c r="B4871" s="113">
        <v>42018</v>
      </c>
      <c r="C4871">
        <v>230.58</v>
      </c>
      <c r="D4871">
        <f t="shared" si="155"/>
        <v>0.18125000000000013</v>
      </c>
      <c r="E4871">
        <v>-3.413898546475088E-2</v>
      </c>
      <c r="G4871">
        <v>4869</v>
      </c>
      <c r="H4871">
        <f t="shared" ca="1" si="156"/>
        <v>-6.1496981445291398E-3</v>
      </c>
    </row>
    <row r="4872" spans="2:8" x14ac:dyDescent="0.3">
      <c r="B4872" s="113">
        <v>44008</v>
      </c>
      <c r="C4872">
        <v>195.2</v>
      </c>
      <c r="D4872">
        <f t="shared" si="155"/>
        <v>0.17753513904807852</v>
      </c>
      <c r="E4872">
        <v>-3.4141514101929768E-2</v>
      </c>
      <c r="G4872">
        <v>4870</v>
      </c>
      <c r="H4872">
        <f t="shared" ca="1" si="156"/>
        <v>3.727322590576928E-3</v>
      </c>
    </row>
    <row r="4873" spans="2:8" x14ac:dyDescent="0.3">
      <c r="B4873" s="113">
        <v>41092</v>
      </c>
      <c r="C4873">
        <v>165.77</v>
      </c>
      <c r="D4873">
        <f t="shared" si="155"/>
        <v>1.3934449898931562</v>
      </c>
      <c r="E4873">
        <v>-3.4199487298997765E-2</v>
      </c>
      <c r="G4873">
        <v>4871</v>
      </c>
      <c r="H4873">
        <f t="shared" ca="1" si="156"/>
        <v>5.8206199383747702E-3</v>
      </c>
    </row>
    <row r="4874" spans="2:8" x14ac:dyDescent="0.3">
      <c r="B4874" s="113">
        <v>39463</v>
      </c>
      <c r="C4874">
        <v>69.260000000000005</v>
      </c>
      <c r="D4874">
        <f t="shared" si="155"/>
        <v>0.78367241823332501</v>
      </c>
      <c r="E4874">
        <v>-3.4300055772448323E-2</v>
      </c>
      <c r="G4874">
        <v>4872</v>
      </c>
      <c r="H4874">
        <f t="shared" ca="1" si="156"/>
        <v>-6.8119185515036216E-3</v>
      </c>
    </row>
    <row r="4875" spans="2:8" x14ac:dyDescent="0.3">
      <c r="B4875" s="113">
        <v>38649</v>
      </c>
      <c r="C4875">
        <v>38.83</v>
      </c>
      <c r="D4875">
        <f t="shared" si="155"/>
        <v>-0.7668567997598319</v>
      </c>
      <c r="E4875">
        <v>-3.4319820940064721E-2</v>
      </c>
      <c r="G4875">
        <v>4873</v>
      </c>
      <c r="H4875">
        <f t="shared" ca="1" si="156"/>
        <v>-6.470377836533726E-4</v>
      </c>
    </row>
    <row r="4876" spans="2:8" x14ac:dyDescent="0.3">
      <c r="B4876" s="113">
        <v>44098</v>
      </c>
      <c r="C4876">
        <v>166.55</v>
      </c>
      <c r="D4876">
        <f t="shared" si="155"/>
        <v>-0.20119904076738604</v>
      </c>
      <c r="E4876">
        <v>-3.4492753623188342E-2</v>
      </c>
      <c r="G4876">
        <v>4874</v>
      </c>
      <c r="H4876">
        <f t="shared" ca="1" si="156"/>
        <v>2.9164357995602507E-3</v>
      </c>
    </row>
    <row r="4877" spans="2:8" x14ac:dyDescent="0.3">
      <c r="B4877" s="113">
        <v>44616</v>
      </c>
      <c r="C4877">
        <v>208.5</v>
      </c>
      <c r="D4877">
        <f t="shared" si="155"/>
        <v>0.11378205128205135</v>
      </c>
      <c r="E4877">
        <v>-3.4498726557073346E-2</v>
      </c>
      <c r="G4877">
        <v>4875</v>
      </c>
      <c r="H4877">
        <f t="shared" ca="1" si="156"/>
        <v>2.4567431688567488E-2</v>
      </c>
    </row>
    <row r="4878" spans="2:8" x14ac:dyDescent="0.3">
      <c r="B4878" s="113">
        <v>43997</v>
      </c>
      <c r="C4878">
        <v>187.2</v>
      </c>
      <c r="D4878">
        <f t="shared" si="155"/>
        <v>2.2894043226146548</v>
      </c>
      <c r="E4878">
        <v>-3.4553893759670017E-2</v>
      </c>
      <c r="G4878">
        <v>4876</v>
      </c>
      <c r="H4878">
        <f t="shared" ca="1" si="156"/>
        <v>-9.3256892398082651E-3</v>
      </c>
    </row>
    <row r="4879" spans="2:8" x14ac:dyDescent="0.3">
      <c r="B4879" s="113">
        <v>39111</v>
      </c>
      <c r="C4879">
        <v>56.91</v>
      </c>
      <c r="D4879">
        <f t="shared" si="155"/>
        <v>0.4277471149021575</v>
      </c>
      <c r="E4879">
        <v>-3.4605597964376691E-2</v>
      </c>
      <c r="G4879">
        <v>4877</v>
      </c>
      <c r="H4879">
        <f t="shared" ca="1" si="156"/>
        <v>-9.4608891450557976E-4</v>
      </c>
    </row>
    <row r="4880" spans="2:8" x14ac:dyDescent="0.3">
      <c r="B4880" s="113">
        <v>38644</v>
      </c>
      <c r="C4880">
        <v>39.86</v>
      </c>
      <c r="D4880">
        <f t="shared" si="155"/>
        <v>-0.37435253492387383</v>
      </c>
      <c r="E4880">
        <v>-3.4633083070961489E-2</v>
      </c>
      <c r="G4880">
        <v>4878</v>
      </c>
      <c r="H4880">
        <f t="shared" ca="1" si="156"/>
        <v>3.5524498695437189E-2</v>
      </c>
    </row>
    <row r="4881" spans="2:8" x14ac:dyDescent="0.3">
      <c r="B4881" s="113">
        <v>38819</v>
      </c>
      <c r="C4881">
        <v>63.71</v>
      </c>
      <c r="D4881">
        <f t="shared" si="155"/>
        <v>0.33340309753034741</v>
      </c>
      <c r="E4881">
        <v>-3.4696969696969684E-2</v>
      </c>
      <c r="G4881">
        <v>4879</v>
      </c>
      <c r="H4881">
        <f t="shared" ca="1" si="156"/>
        <v>-2.7562370257163776E-2</v>
      </c>
    </row>
    <row r="4882" spans="2:8" x14ac:dyDescent="0.3">
      <c r="B4882" s="113">
        <v>39164</v>
      </c>
      <c r="C4882">
        <v>47.78</v>
      </c>
      <c r="D4882">
        <f t="shared" si="155"/>
        <v>-0.75590068458158788</v>
      </c>
      <c r="E4882">
        <v>-3.4942435871541042E-2</v>
      </c>
      <c r="G4882">
        <v>4880</v>
      </c>
      <c r="H4882">
        <f t="shared" ca="1" si="156"/>
        <v>-1.879746284261379E-3</v>
      </c>
    </row>
    <row r="4883" spans="2:8" x14ac:dyDescent="0.3">
      <c r="B4883" s="113">
        <v>41256</v>
      </c>
      <c r="C4883">
        <v>195.74</v>
      </c>
      <c r="D4883">
        <f t="shared" si="155"/>
        <v>-0.29728953509244299</v>
      </c>
      <c r="E4883">
        <v>-3.4955381353843136E-2</v>
      </c>
      <c r="G4883">
        <v>4881</v>
      </c>
      <c r="H4883">
        <f t="shared" ca="1" si="156"/>
        <v>-1.9070881097075353E-2</v>
      </c>
    </row>
    <row r="4884" spans="2:8" x14ac:dyDescent="0.3">
      <c r="B4884" s="113">
        <v>43616</v>
      </c>
      <c r="C4884">
        <v>278.55</v>
      </c>
      <c r="D4884">
        <f t="shared" si="155"/>
        <v>0.31714582939285052</v>
      </c>
      <c r="E4884">
        <v>-3.49904728910444E-2</v>
      </c>
      <c r="G4884">
        <v>4882</v>
      </c>
      <c r="H4884">
        <f t="shared" ca="1" si="156"/>
        <v>5.0678446538393084E-3</v>
      </c>
    </row>
    <row r="4885" spans="2:8" x14ac:dyDescent="0.3">
      <c r="B4885" s="113">
        <v>41583</v>
      </c>
      <c r="C4885">
        <v>211.48</v>
      </c>
      <c r="D4885">
        <f t="shared" si="155"/>
        <v>1.4613594040968341</v>
      </c>
      <c r="E4885">
        <v>-3.5086918830131854E-2</v>
      </c>
      <c r="G4885">
        <v>4883</v>
      </c>
      <c r="H4885">
        <f t="shared" ca="1" si="156"/>
        <v>-1.155476321761593E-2</v>
      </c>
    </row>
    <row r="4886" spans="2:8" x14ac:dyDescent="0.3">
      <c r="B4886" s="113">
        <v>40317</v>
      </c>
      <c r="C4886">
        <v>85.92</v>
      </c>
      <c r="D4886">
        <f t="shared" si="155"/>
        <v>-0.49833596076370645</v>
      </c>
      <c r="E4886">
        <v>-3.5148792813026339E-2</v>
      </c>
      <c r="G4886">
        <v>4884</v>
      </c>
      <c r="H4886">
        <f t="shared" ca="1" si="156"/>
        <v>1.2211889792196097E-2</v>
      </c>
    </row>
    <row r="4887" spans="2:8" x14ac:dyDescent="0.3">
      <c r="B4887" s="113">
        <v>41137</v>
      </c>
      <c r="C4887">
        <v>171.27</v>
      </c>
      <c r="D4887">
        <f t="shared" si="155"/>
        <v>1.9508959338387322</v>
      </c>
      <c r="E4887">
        <v>-3.5315985130111423E-2</v>
      </c>
      <c r="G4887">
        <v>4885</v>
      </c>
      <c r="H4887">
        <f t="shared" ca="1" si="156"/>
        <v>-3.2142775654207798E-3</v>
      </c>
    </row>
    <row r="4888" spans="2:8" x14ac:dyDescent="0.3">
      <c r="B4888" s="113">
        <v>38905</v>
      </c>
      <c r="C4888">
        <v>58.04</v>
      </c>
      <c r="D4888">
        <f t="shared" si="155"/>
        <v>-0.73305123723668475</v>
      </c>
      <c r="E4888">
        <v>-3.5559986706547038E-2</v>
      </c>
      <c r="G4888">
        <v>4886</v>
      </c>
      <c r="H4888">
        <f t="shared" ca="1" si="156"/>
        <v>1.36003496104154E-2</v>
      </c>
    </row>
    <row r="4889" spans="2:8" x14ac:dyDescent="0.3">
      <c r="B4889" s="113">
        <v>41575</v>
      </c>
      <c r="C4889">
        <v>217.42</v>
      </c>
      <c r="D4889">
        <f t="shared" si="155"/>
        <v>-0.33132400430570508</v>
      </c>
      <c r="E4889">
        <v>-3.5574875798438654E-2</v>
      </c>
      <c r="G4889">
        <v>4887</v>
      </c>
      <c r="H4889">
        <f t="shared" ca="1" si="156"/>
        <v>-2.9413670972354786E-2</v>
      </c>
    </row>
    <row r="4890" spans="2:8" x14ac:dyDescent="0.3">
      <c r="B4890" s="113">
        <v>42933</v>
      </c>
      <c r="C4890">
        <v>325.14999999999998</v>
      </c>
      <c r="D4890">
        <f t="shared" si="155"/>
        <v>1.8432144106330881</v>
      </c>
      <c r="E4890">
        <v>-3.5592466261308027E-2</v>
      </c>
      <c r="G4890">
        <v>4888</v>
      </c>
      <c r="H4890">
        <f t="shared" ca="1" si="156"/>
        <v>2.8107226625350382E-2</v>
      </c>
    </row>
    <row r="4891" spans="2:8" x14ac:dyDescent="0.3">
      <c r="B4891" s="113">
        <v>40550</v>
      </c>
      <c r="C4891">
        <v>114.36</v>
      </c>
      <c r="D4891">
        <f t="shared" si="155"/>
        <v>0.71995788840427144</v>
      </c>
      <c r="E4891">
        <v>-3.5750421585160161E-2</v>
      </c>
      <c r="G4891">
        <v>4889</v>
      </c>
      <c r="H4891">
        <f t="shared" ca="1" si="156"/>
        <v>-9.7777845297428913E-3</v>
      </c>
    </row>
    <row r="4892" spans="2:8" x14ac:dyDescent="0.3">
      <c r="B4892" s="113">
        <v>39542</v>
      </c>
      <c r="C4892">
        <v>66.489999999999995</v>
      </c>
      <c r="D4892">
        <f t="shared" si="155"/>
        <v>1.0947240383153397E-2</v>
      </c>
      <c r="E4892">
        <v>-3.5817865429234326E-2</v>
      </c>
      <c r="G4892">
        <v>4890</v>
      </c>
      <c r="H4892">
        <f t="shared" ca="1" si="156"/>
        <v>6.1779941533899639E-3</v>
      </c>
    </row>
    <row r="4893" spans="2:8" x14ac:dyDescent="0.3">
      <c r="B4893" s="113">
        <v>39619</v>
      </c>
      <c r="C4893">
        <v>65.77</v>
      </c>
      <c r="D4893">
        <f t="shared" si="155"/>
        <v>2.5413158715310188E-2</v>
      </c>
      <c r="E4893">
        <v>-3.5913221929053107E-2</v>
      </c>
      <c r="G4893">
        <v>4891</v>
      </c>
      <c r="H4893">
        <f t="shared" ca="1" si="156"/>
        <v>-2.4056242664707725E-2</v>
      </c>
    </row>
    <row r="4894" spans="2:8" x14ac:dyDescent="0.3">
      <c r="B4894" s="113">
        <v>39433</v>
      </c>
      <c r="C4894">
        <v>64.14</v>
      </c>
      <c r="D4894">
        <f t="shared" si="155"/>
        <v>1.8814016172506736</v>
      </c>
      <c r="E4894">
        <v>-3.5923643469111685E-2</v>
      </c>
      <c r="G4894">
        <v>4892</v>
      </c>
      <c r="H4894">
        <f t="shared" ca="1" si="156"/>
        <v>7.0163000163528475E-3</v>
      </c>
    </row>
    <row r="4895" spans="2:8" x14ac:dyDescent="0.3">
      <c r="B4895" s="113">
        <v>38182</v>
      </c>
      <c r="C4895">
        <v>22.26</v>
      </c>
      <c r="D4895">
        <f t="shared" si="155"/>
        <v>-0.54811205846528621</v>
      </c>
      <c r="E4895">
        <v>-3.5946297098310882E-2</v>
      </c>
      <c r="G4895">
        <v>4893</v>
      </c>
      <c r="H4895">
        <f t="shared" ca="1" si="156"/>
        <v>-2.8837419999838698E-4</v>
      </c>
    </row>
    <row r="4896" spans="2:8" x14ac:dyDescent="0.3">
      <c r="B4896" s="113">
        <v>39153</v>
      </c>
      <c r="C4896">
        <v>49.26</v>
      </c>
      <c r="D4896">
        <f t="shared" si="155"/>
        <v>-0.1686075949367089</v>
      </c>
      <c r="E4896">
        <v>-3.600782778864977E-2</v>
      </c>
      <c r="G4896">
        <v>4894</v>
      </c>
      <c r="H4896">
        <f t="shared" ca="1" si="156"/>
        <v>2.5822285638383492E-2</v>
      </c>
    </row>
    <row r="4897" spans="2:8" x14ac:dyDescent="0.3">
      <c r="B4897" s="113">
        <v>39360</v>
      </c>
      <c r="C4897">
        <v>59.25</v>
      </c>
      <c r="D4897">
        <f t="shared" si="155"/>
        <v>-0.18679659621191325</v>
      </c>
      <c r="E4897">
        <v>-3.611517813567592E-2</v>
      </c>
      <c r="G4897">
        <v>4895</v>
      </c>
      <c r="H4897">
        <f t="shared" ca="1" si="156"/>
        <v>-1.3146057262825486E-2</v>
      </c>
    </row>
    <row r="4898" spans="2:8" x14ac:dyDescent="0.3">
      <c r="B4898" s="113">
        <v>39457</v>
      </c>
      <c r="C4898">
        <v>72.86</v>
      </c>
      <c r="D4898">
        <f t="shared" si="155"/>
        <v>0.30760947595118449</v>
      </c>
      <c r="E4898">
        <v>-3.6115888345019234E-2</v>
      </c>
      <c r="G4898">
        <v>4896</v>
      </c>
      <c r="H4898">
        <f t="shared" ca="1" si="156"/>
        <v>-1.0658635445752521E-2</v>
      </c>
    </row>
    <row r="4899" spans="2:8" x14ac:dyDescent="0.3">
      <c r="B4899" s="113">
        <v>39820</v>
      </c>
      <c r="C4899">
        <v>55.72</v>
      </c>
      <c r="D4899">
        <f t="shared" si="155"/>
        <v>9.0410958904109537E-2</v>
      </c>
      <c r="E4899">
        <v>-3.6152914720636628E-2</v>
      </c>
      <c r="G4899">
        <v>4897</v>
      </c>
      <c r="H4899">
        <f t="shared" ca="1" si="156"/>
        <v>-2.3815362195637808E-2</v>
      </c>
    </row>
    <row r="4900" spans="2:8" x14ac:dyDescent="0.3">
      <c r="B4900" s="113">
        <v>39150</v>
      </c>
      <c r="C4900">
        <v>51.1</v>
      </c>
      <c r="D4900">
        <f t="shared" si="155"/>
        <v>-0.28750697155605126</v>
      </c>
      <c r="E4900">
        <v>-3.6212749905695993E-2</v>
      </c>
      <c r="G4900">
        <v>4898</v>
      </c>
      <c r="H4900">
        <f t="shared" ca="1" si="156"/>
        <v>2.691585399576376E-2</v>
      </c>
    </row>
    <row r="4901" spans="2:8" x14ac:dyDescent="0.3">
      <c r="B4901" s="113">
        <v>39462</v>
      </c>
      <c r="C4901">
        <v>71.72</v>
      </c>
      <c r="D4901">
        <f t="shared" si="155"/>
        <v>0.24773834377174675</v>
      </c>
      <c r="E4901">
        <v>-3.6280569739317425E-2</v>
      </c>
      <c r="G4901">
        <v>4899</v>
      </c>
      <c r="H4901">
        <f t="shared" ca="1" si="156"/>
        <v>3.6806473626189158E-3</v>
      </c>
    </row>
    <row r="4902" spans="2:8" x14ac:dyDescent="0.3">
      <c r="B4902" s="113">
        <v>39063</v>
      </c>
      <c r="C4902">
        <v>57.48</v>
      </c>
      <c r="D4902">
        <f t="shared" si="155"/>
        <v>-0.72001948368241608</v>
      </c>
      <c r="E4902">
        <v>-3.6378876781223833E-2</v>
      </c>
      <c r="G4902">
        <v>4900</v>
      </c>
      <c r="H4902">
        <f t="shared" ca="1" si="156"/>
        <v>-3.2339681120302217E-3</v>
      </c>
    </row>
    <row r="4903" spans="2:8" x14ac:dyDescent="0.3">
      <c r="B4903" s="113">
        <v>44298</v>
      </c>
      <c r="C4903">
        <v>205.3</v>
      </c>
      <c r="D4903">
        <f t="shared" si="155"/>
        <v>-0.25750452079566</v>
      </c>
      <c r="E4903">
        <v>-3.6602534021586031E-2</v>
      </c>
      <c r="G4903">
        <v>4901</v>
      </c>
      <c r="H4903">
        <f t="shared" ca="1" si="156"/>
        <v>8.1141495546238705E-3</v>
      </c>
    </row>
    <row r="4904" spans="2:8" x14ac:dyDescent="0.3">
      <c r="B4904" s="113">
        <v>43378</v>
      </c>
      <c r="C4904">
        <v>276.5</v>
      </c>
      <c r="D4904">
        <f t="shared" si="155"/>
        <v>3.9375</v>
      </c>
      <c r="E4904">
        <v>-3.6920933472657687E-2</v>
      </c>
      <c r="G4904">
        <v>4902</v>
      </c>
      <c r="H4904">
        <f t="shared" ca="1" si="156"/>
        <v>-1.5660095479712727E-3</v>
      </c>
    </row>
    <row r="4905" spans="2:8" x14ac:dyDescent="0.3">
      <c r="B4905" s="113">
        <v>39086</v>
      </c>
      <c r="C4905">
        <v>56</v>
      </c>
      <c r="D4905">
        <f t="shared" si="155"/>
        <v>1.8484231943031537</v>
      </c>
      <c r="E4905">
        <v>-3.7138927097661568E-2</v>
      </c>
      <c r="G4905">
        <v>4903</v>
      </c>
      <c r="H4905">
        <f t="shared" ca="1" si="156"/>
        <v>2.9326326438459564E-2</v>
      </c>
    </row>
    <row r="4906" spans="2:8" x14ac:dyDescent="0.3">
      <c r="B4906" s="113">
        <v>38133</v>
      </c>
      <c r="C4906">
        <v>19.66</v>
      </c>
      <c r="D4906">
        <f t="shared" si="155"/>
        <v>-0.90160160160160163</v>
      </c>
      <c r="E4906">
        <v>-3.7218413320274313E-2</v>
      </c>
      <c r="G4906">
        <v>4904</v>
      </c>
      <c r="H4906">
        <f t="shared" ca="1" si="156"/>
        <v>1.1224601799111512E-2</v>
      </c>
    </row>
    <row r="4907" spans="2:8" x14ac:dyDescent="0.3">
      <c r="B4907" s="113">
        <v>44018</v>
      </c>
      <c r="C4907">
        <v>199.8</v>
      </c>
      <c r="D4907">
        <f t="shared" si="155"/>
        <v>8.8617966436327738</v>
      </c>
      <c r="E4907">
        <v>-3.7340399903637675E-2</v>
      </c>
      <c r="G4907">
        <v>4905</v>
      </c>
      <c r="H4907">
        <f t="shared" ca="1" si="156"/>
        <v>-8.9259345872253239E-3</v>
      </c>
    </row>
    <row r="4908" spans="2:8" x14ac:dyDescent="0.3">
      <c r="B4908" s="113">
        <v>38121</v>
      </c>
      <c r="C4908">
        <v>20.260000000000002</v>
      </c>
      <c r="D4908">
        <f t="shared" si="155"/>
        <v>-0.90353299685744215</v>
      </c>
      <c r="E4908">
        <v>-3.7529691211401386E-2</v>
      </c>
      <c r="G4908">
        <v>4906</v>
      </c>
      <c r="H4908">
        <f t="shared" ca="1" si="156"/>
        <v>1.1075416726501391E-2</v>
      </c>
    </row>
    <row r="4909" spans="2:8" x14ac:dyDescent="0.3">
      <c r="B4909" s="113">
        <v>42149</v>
      </c>
      <c r="C4909">
        <v>210.02</v>
      </c>
      <c r="D4909">
        <f t="shared" si="155"/>
        <v>9.7923946557040082</v>
      </c>
      <c r="E4909">
        <v>-3.7532652032445796E-2</v>
      </c>
      <c r="G4909">
        <v>4907</v>
      </c>
      <c r="H4909">
        <f t="shared" ca="1" si="156"/>
        <v>-1.1933335663767397E-2</v>
      </c>
    </row>
    <row r="4910" spans="2:8" x14ac:dyDescent="0.3">
      <c r="B4910" s="113">
        <v>38135</v>
      </c>
      <c r="C4910">
        <v>19.46</v>
      </c>
      <c r="D4910">
        <f t="shared" si="155"/>
        <v>-0.62926271670794431</v>
      </c>
      <c r="E4910">
        <v>-3.7586547972304554E-2</v>
      </c>
      <c r="G4910">
        <v>4908</v>
      </c>
      <c r="H4910">
        <f t="shared" ca="1" si="156"/>
        <v>1.0411681215496139E-2</v>
      </c>
    </row>
    <row r="4911" spans="2:8" x14ac:dyDescent="0.3">
      <c r="B4911" s="113">
        <v>39881</v>
      </c>
      <c r="C4911">
        <v>52.49</v>
      </c>
      <c r="D4911">
        <f t="shared" si="155"/>
        <v>-0.15543041029766688</v>
      </c>
      <c r="E4911">
        <v>-3.7587092042537538E-2</v>
      </c>
      <c r="G4911">
        <v>4909</v>
      </c>
      <c r="H4911">
        <f t="shared" ca="1" si="156"/>
        <v>4.6060571807954951E-3</v>
      </c>
    </row>
    <row r="4912" spans="2:8" x14ac:dyDescent="0.3">
      <c r="B4912" s="113">
        <v>39471</v>
      </c>
      <c r="C4912">
        <v>62.15</v>
      </c>
      <c r="D4912">
        <f t="shared" si="155"/>
        <v>-0.53428250281004108</v>
      </c>
      <c r="E4912">
        <v>-3.7776745626258004E-2</v>
      </c>
      <c r="G4912">
        <v>4910</v>
      </c>
      <c r="H4912">
        <f t="shared" ca="1" si="156"/>
        <v>2.0585037355297965E-2</v>
      </c>
    </row>
    <row r="4913" spans="2:8" x14ac:dyDescent="0.3">
      <c r="B4913" s="113">
        <v>40928</v>
      </c>
      <c r="C4913">
        <v>133.44999999999999</v>
      </c>
      <c r="D4913">
        <f t="shared" si="155"/>
        <v>0.95904286553141482</v>
      </c>
      <c r="E4913">
        <v>-3.7782103972889246E-2</v>
      </c>
      <c r="G4913">
        <v>4911</v>
      </c>
      <c r="H4913">
        <f t="shared" ca="1" si="156"/>
        <v>1.2477303663209005E-3</v>
      </c>
    </row>
    <row r="4914" spans="2:8" x14ac:dyDescent="0.3">
      <c r="B4914" s="113">
        <v>39594</v>
      </c>
      <c r="C4914">
        <v>68.12</v>
      </c>
      <c r="D4914">
        <f t="shared" si="155"/>
        <v>0.33098866744822208</v>
      </c>
      <c r="E4914">
        <v>-3.7853107344632667E-2</v>
      </c>
      <c r="G4914">
        <v>4912</v>
      </c>
      <c r="H4914">
        <f t="shared" ca="1" si="156"/>
        <v>2.6774649671720645E-2</v>
      </c>
    </row>
    <row r="4915" spans="2:8" x14ac:dyDescent="0.3">
      <c r="B4915" s="113">
        <v>38880</v>
      </c>
      <c r="C4915">
        <v>51.18</v>
      </c>
      <c r="D4915">
        <f t="shared" si="155"/>
        <v>-0.21946011895683995</v>
      </c>
      <c r="E4915">
        <v>-3.7969924812030133E-2</v>
      </c>
      <c r="G4915">
        <v>4913</v>
      </c>
      <c r="H4915">
        <f t="shared" ca="1" si="156"/>
        <v>-7.3924643771756532E-3</v>
      </c>
    </row>
    <row r="4916" spans="2:8" x14ac:dyDescent="0.3">
      <c r="B4916" s="113">
        <v>39938</v>
      </c>
      <c r="C4916">
        <v>65.569999999999993</v>
      </c>
      <c r="D4916">
        <f t="shared" si="155"/>
        <v>0.18421527903196669</v>
      </c>
      <c r="E4916">
        <v>-3.813994425700467E-2</v>
      </c>
      <c r="G4916">
        <v>4914</v>
      </c>
      <c r="H4916">
        <f t="shared" ca="1" si="156"/>
        <v>-2.1860106976074864E-2</v>
      </c>
    </row>
    <row r="4917" spans="2:8" x14ac:dyDescent="0.3">
      <c r="B4917" s="113">
        <v>39877</v>
      </c>
      <c r="C4917">
        <v>55.37</v>
      </c>
      <c r="D4917">
        <f t="shared" si="155"/>
        <v>-0.80787647467036783</v>
      </c>
      <c r="E4917">
        <v>-3.8381382424452951E-2</v>
      </c>
      <c r="G4917">
        <v>4915</v>
      </c>
      <c r="H4917">
        <f t="shared" ca="1" si="156"/>
        <v>-2.1021920360411524E-3</v>
      </c>
    </row>
    <row r="4918" spans="2:8" x14ac:dyDescent="0.3">
      <c r="B4918" s="113">
        <v>43608</v>
      </c>
      <c r="C4918">
        <v>288.2</v>
      </c>
      <c r="D4918">
        <f t="shared" si="155"/>
        <v>4.0534806242328596</v>
      </c>
      <c r="E4918">
        <v>-3.8532110091743156E-2</v>
      </c>
      <c r="G4918">
        <v>4916</v>
      </c>
      <c r="H4918">
        <f t="shared" ca="1" si="156"/>
        <v>-4.6994259399480622E-3</v>
      </c>
    </row>
    <row r="4919" spans="2:8" x14ac:dyDescent="0.3">
      <c r="B4919" s="113">
        <v>39875</v>
      </c>
      <c r="C4919">
        <v>57.03</v>
      </c>
      <c r="D4919">
        <f t="shared" si="155"/>
        <v>-2.3291659530741554E-2</v>
      </c>
      <c r="E4919">
        <v>-3.8604180714767351E-2</v>
      </c>
      <c r="G4919">
        <v>4917</v>
      </c>
      <c r="H4919">
        <f t="shared" ca="1" si="156"/>
        <v>-1.5292491840190327E-2</v>
      </c>
    </row>
    <row r="4920" spans="2:8" x14ac:dyDescent="0.3">
      <c r="B4920" s="113">
        <v>39374</v>
      </c>
      <c r="C4920">
        <v>58.39</v>
      </c>
      <c r="D4920">
        <f t="shared" si="155"/>
        <v>-0.67686773657996679</v>
      </c>
      <c r="E4920">
        <v>-3.8689496213368479E-2</v>
      </c>
      <c r="G4920">
        <v>4918</v>
      </c>
      <c r="H4920">
        <f t="shared" ca="1" si="156"/>
        <v>1.4857151971664012E-2</v>
      </c>
    </row>
    <row r="4921" spans="2:8" x14ac:dyDescent="0.3">
      <c r="B4921" s="113">
        <v>43941</v>
      </c>
      <c r="C4921">
        <v>180.7</v>
      </c>
      <c r="D4921">
        <f t="shared" si="155"/>
        <v>1.8376256281407033</v>
      </c>
      <c r="E4921">
        <v>-3.9340776182881475E-2</v>
      </c>
      <c r="G4921">
        <v>4919</v>
      </c>
      <c r="H4921">
        <f t="shared" ca="1" si="156"/>
        <v>7.8802882534364273E-3</v>
      </c>
    </row>
    <row r="4922" spans="2:8" x14ac:dyDescent="0.3">
      <c r="B4922" s="113">
        <v>39485</v>
      </c>
      <c r="C4922">
        <v>63.68</v>
      </c>
      <c r="D4922">
        <f t="shared" si="155"/>
        <v>-0.17938144329896902</v>
      </c>
      <c r="E4922">
        <v>-3.9517345399698305E-2</v>
      </c>
      <c r="G4922">
        <v>4920</v>
      </c>
      <c r="H4922">
        <f t="shared" ca="1" si="156"/>
        <v>1.0935105663405669E-3</v>
      </c>
    </row>
    <row r="4923" spans="2:8" x14ac:dyDescent="0.3">
      <c r="B4923" s="113">
        <v>40031</v>
      </c>
      <c r="C4923">
        <v>77.599999999999994</v>
      </c>
      <c r="D4923">
        <f t="shared" si="155"/>
        <v>-0.64313635318464013</v>
      </c>
      <c r="E4923">
        <v>-3.9603960396039639E-2</v>
      </c>
      <c r="G4923">
        <v>4921</v>
      </c>
      <c r="H4923">
        <f t="shared" ca="1" si="156"/>
        <v>-1.874055423879499E-2</v>
      </c>
    </row>
    <row r="4924" spans="2:8" x14ac:dyDescent="0.3">
      <c r="B4924" s="113">
        <v>44239</v>
      </c>
      <c r="C4924">
        <v>217.45</v>
      </c>
      <c r="D4924">
        <f t="shared" si="155"/>
        <v>2.5478870941426006</v>
      </c>
      <c r="E4924">
        <v>-3.9743872819606979E-2</v>
      </c>
      <c r="G4924">
        <v>4922</v>
      </c>
      <c r="H4924">
        <f t="shared" ca="1" si="156"/>
        <v>-2.7702702612530151E-2</v>
      </c>
    </row>
    <row r="4925" spans="2:8" x14ac:dyDescent="0.3">
      <c r="B4925" s="113">
        <v>39511</v>
      </c>
      <c r="C4925">
        <v>61.29</v>
      </c>
      <c r="D4925">
        <f t="shared" si="155"/>
        <v>0.40605643496214716</v>
      </c>
      <c r="E4925">
        <v>-3.9793200689331024E-2</v>
      </c>
      <c r="G4925">
        <v>4923</v>
      </c>
      <c r="H4925">
        <f t="shared" ca="1" si="156"/>
        <v>-3.3016294897353457E-2</v>
      </c>
    </row>
    <row r="4926" spans="2:8" x14ac:dyDescent="0.3">
      <c r="B4926" s="113">
        <v>38630</v>
      </c>
      <c r="C4926">
        <v>43.59</v>
      </c>
      <c r="D4926">
        <f t="shared" si="155"/>
        <v>-0.26467611336032382</v>
      </c>
      <c r="E4926">
        <v>-3.9867841409691525E-2</v>
      </c>
      <c r="G4926">
        <v>4924</v>
      </c>
      <c r="H4926">
        <f t="shared" ca="1" si="156"/>
        <v>2.3058509710055363E-2</v>
      </c>
    </row>
    <row r="4927" spans="2:8" x14ac:dyDescent="0.3">
      <c r="B4927" s="113">
        <v>39902</v>
      </c>
      <c r="C4927">
        <v>59.28</v>
      </c>
      <c r="D4927">
        <f t="shared" si="155"/>
        <v>-0.60590347028320701</v>
      </c>
      <c r="E4927">
        <v>-3.999999999999998E-2</v>
      </c>
      <c r="G4927">
        <v>4925</v>
      </c>
      <c r="H4927">
        <f t="shared" ca="1" si="156"/>
        <v>-2.661022160457749E-3</v>
      </c>
    </row>
    <row r="4928" spans="2:8" x14ac:dyDescent="0.3">
      <c r="B4928" s="113">
        <v>41037</v>
      </c>
      <c r="C4928">
        <v>150.41999999999999</v>
      </c>
      <c r="D4928">
        <f t="shared" si="155"/>
        <v>1.6431207169214548</v>
      </c>
      <c r="E4928">
        <v>-4.0015316867700622E-2</v>
      </c>
      <c r="G4928">
        <v>4926</v>
      </c>
      <c r="H4928">
        <f t="shared" ca="1" si="156"/>
        <v>5.3403677299527028E-3</v>
      </c>
    </row>
    <row r="4929" spans="2:8" x14ac:dyDescent="0.3">
      <c r="B4929" s="113">
        <v>39387</v>
      </c>
      <c r="C4929">
        <v>56.91</v>
      </c>
      <c r="D4929">
        <f t="shared" si="155"/>
        <v>-0.730603550295858</v>
      </c>
      <c r="E4929">
        <v>-4.0303541315345713E-2</v>
      </c>
      <c r="G4929">
        <v>4927</v>
      </c>
      <c r="H4929">
        <f t="shared" ca="1" si="156"/>
        <v>3.0907175002991064E-2</v>
      </c>
    </row>
    <row r="4930" spans="2:8" x14ac:dyDescent="0.3">
      <c r="B4930" s="113">
        <v>42157</v>
      </c>
      <c r="C4930">
        <v>211.25</v>
      </c>
      <c r="D4930">
        <f t="shared" si="155"/>
        <v>1.0827171448289459</v>
      </c>
      <c r="E4930">
        <v>-4.0339799209557971E-2</v>
      </c>
      <c r="G4930">
        <v>4928</v>
      </c>
      <c r="H4930">
        <f t="shared" ca="1" si="156"/>
        <v>1.9647686311211614E-3</v>
      </c>
    </row>
    <row r="4931" spans="2:8" x14ac:dyDescent="0.3">
      <c r="B4931" s="113">
        <v>40578</v>
      </c>
      <c r="C4931">
        <v>101.43</v>
      </c>
      <c r="D4931">
        <f t="shared" ref="D4931:D4994" si="157">(C4931-C4932)/C4932</f>
        <v>1.1412286257124764</v>
      </c>
      <c r="E4931">
        <v>-4.0488127897076787E-2</v>
      </c>
      <c r="G4931">
        <v>4929</v>
      </c>
      <c r="H4931">
        <f t="shared" ca="1" si="156"/>
        <v>1.7822523224217467E-2</v>
      </c>
    </row>
    <row r="4932" spans="2:8" x14ac:dyDescent="0.3">
      <c r="B4932" s="113">
        <v>39155</v>
      </c>
      <c r="C4932">
        <v>47.37</v>
      </c>
      <c r="D4932">
        <f t="shared" si="157"/>
        <v>-0.22165626026947094</v>
      </c>
      <c r="E4932">
        <v>-4.0510431436094799E-2</v>
      </c>
      <c r="G4932">
        <v>4930</v>
      </c>
      <c r="H4932">
        <f t="shared" ref="H4932:H4995" ca="1" si="158">_xlfn.NORM.INV(RAND(),$L$4,$L$6)</f>
        <v>1.8510748581664221E-2</v>
      </c>
    </row>
    <row r="4933" spans="2:8" x14ac:dyDescent="0.3">
      <c r="B4933" s="113">
        <v>39972</v>
      </c>
      <c r="C4933">
        <v>60.86</v>
      </c>
      <c r="D4933">
        <f t="shared" si="157"/>
        <v>-0.72991923315878238</v>
      </c>
      <c r="E4933">
        <v>-4.0517105470597517E-2</v>
      </c>
      <c r="G4933">
        <v>4931</v>
      </c>
      <c r="H4933">
        <f t="shared" ca="1" si="158"/>
        <v>1.7207982809606087E-2</v>
      </c>
    </row>
    <row r="4934" spans="2:8" x14ac:dyDescent="0.3">
      <c r="B4934" s="113">
        <v>41425</v>
      </c>
      <c r="C4934">
        <v>225.34</v>
      </c>
      <c r="D4934">
        <f t="shared" si="157"/>
        <v>2.185017667844523</v>
      </c>
      <c r="E4934">
        <v>-4.0657328962493008E-2</v>
      </c>
      <c r="G4934">
        <v>4932</v>
      </c>
      <c r="H4934">
        <f t="shared" ca="1" si="158"/>
        <v>5.4128282890986961E-3</v>
      </c>
    </row>
    <row r="4935" spans="2:8" x14ac:dyDescent="0.3">
      <c r="B4935" s="113">
        <v>39605</v>
      </c>
      <c r="C4935">
        <v>70.75</v>
      </c>
      <c r="D4935">
        <f t="shared" si="157"/>
        <v>-0.6582950978024632</v>
      </c>
      <c r="E4935">
        <v>-4.0677966101694912E-2</v>
      </c>
      <c r="G4935">
        <v>4933</v>
      </c>
      <c r="H4935">
        <f t="shared" ca="1" si="158"/>
        <v>-5.6164912584537778E-3</v>
      </c>
    </row>
    <row r="4936" spans="2:8" x14ac:dyDescent="0.3">
      <c r="B4936" s="113">
        <v>44249</v>
      </c>
      <c r="C4936">
        <v>207.05</v>
      </c>
      <c r="D4936">
        <f t="shared" si="157"/>
        <v>1.2500543360139103</v>
      </c>
      <c r="E4936">
        <v>-4.1213243806436574E-2</v>
      </c>
      <c r="G4936">
        <v>4934</v>
      </c>
      <c r="H4936">
        <f t="shared" ca="1" si="158"/>
        <v>1.5713806087377973E-2</v>
      </c>
    </row>
    <row r="4937" spans="2:8" x14ac:dyDescent="0.3">
      <c r="B4937" s="113">
        <v>40338</v>
      </c>
      <c r="C4937">
        <v>92.02</v>
      </c>
      <c r="D4937">
        <f t="shared" si="157"/>
        <v>0.51124979471177523</v>
      </c>
      <c r="E4937">
        <v>-4.1757784025825313E-2</v>
      </c>
      <c r="G4937">
        <v>4935</v>
      </c>
      <c r="H4937">
        <f t="shared" ca="1" si="158"/>
        <v>-6.8063975887918508E-3</v>
      </c>
    </row>
    <row r="4938" spans="2:8" x14ac:dyDescent="0.3">
      <c r="B4938" s="113">
        <v>39626</v>
      </c>
      <c r="C4938">
        <v>60.89</v>
      </c>
      <c r="D4938">
        <f t="shared" si="157"/>
        <v>9.9692974534946785E-2</v>
      </c>
      <c r="E4938">
        <v>-4.2007551919446218E-2</v>
      </c>
      <c r="G4938">
        <v>4936</v>
      </c>
      <c r="H4938">
        <f t="shared" ca="1" si="158"/>
        <v>-1.5401838248952119E-2</v>
      </c>
    </row>
    <row r="4939" spans="2:8" x14ac:dyDescent="0.3">
      <c r="B4939" s="113">
        <v>39136</v>
      </c>
      <c r="C4939">
        <v>55.37</v>
      </c>
      <c r="D4939">
        <f t="shared" si="157"/>
        <v>2.2380116959064322</v>
      </c>
      <c r="E4939">
        <v>-4.2538474840048433E-2</v>
      </c>
      <c r="G4939">
        <v>4937</v>
      </c>
      <c r="H4939">
        <f t="shared" ca="1" si="158"/>
        <v>1.3271765492332417E-2</v>
      </c>
    </row>
    <row r="4940" spans="2:8" x14ac:dyDescent="0.3">
      <c r="B4940" s="113">
        <v>37858</v>
      </c>
      <c r="C4940">
        <v>17.100000000000001</v>
      </c>
      <c r="D4940">
        <f t="shared" si="157"/>
        <v>-0.93833393436711132</v>
      </c>
      <c r="E4940">
        <v>-4.255319148936159E-2</v>
      </c>
      <c r="G4940">
        <v>4938</v>
      </c>
      <c r="H4940">
        <f t="shared" ca="1" si="158"/>
        <v>-1.0114359223222702E-2</v>
      </c>
    </row>
    <row r="4941" spans="2:8" x14ac:dyDescent="0.3">
      <c r="B4941" s="113">
        <v>43488</v>
      </c>
      <c r="C4941">
        <v>277.3</v>
      </c>
      <c r="D4941">
        <f t="shared" si="157"/>
        <v>0.30549409161527241</v>
      </c>
      <c r="E4941">
        <v>-4.2968075927523691E-2</v>
      </c>
      <c r="G4941">
        <v>4939</v>
      </c>
      <c r="H4941">
        <f t="shared" ca="1" si="158"/>
        <v>-6.9026622561670532E-3</v>
      </c>
    </row>
    <row r="4942" spans="2:8" x14ac:dyDescent="0.3">
      <c r="B4942" s="113">
        <v>41502</v>
      </c>
      <c r="C4942">
        <v>212.41</v>
      </c>
      <c r="D4942">
        <f t="shared" si="157"/>
        <v>-4.2594428919138269E-2</v>
      </c>
      <c r="E4942">
        <v>-4.3155097076444937E-2</v>
      </c>
      <c r="G4942">
        <v>4940</v>
      </c>
      <c r="H4942">
        <f t="shared" ca="1" si="158"/>
        <v>-1.3914934947050775E-2</v>
      </c>
    </row>
    <row r="4943" spans="2:8" x14ac:dyDescent="0.3">
      <c r="B4943" s="113">
        <v>42307</v>
      </c>
      <c r="C4943">
        <v>221.86</v>
      </c>
      <c r="D4943">
        <f t="shared" si="157"/>
        <v>2.1336158192090395</v>
      </c>
      <c r="E4943">
        <v>-4.3830539154419632E-2</v>
      </c>
      <c r="G4943">
        <v>4941</v>
      </c>
      <c r="H4943">
        <f t="shared" ca="1" si="158"/>
        <v>3.4624314999489848E-2</v>
      </c>
    </row>
    <row r="4944" spans="2:8" x14ac:dyDescent="0.3">
      <c r="B4944" s="113">
        <v>39591</v>
      </c>
      <c r="C4944">
        <v>70.8</v>
      </c>
      <c r="D4944">
        <f t="shared" si="157"/>
        <v>-0.59322033898305093</v>
      </c>
      <c r="E4944">
        <v>-4.3889264010803515E-2</v>
      </c>
      <c r="G4944">
        <v>4942</v>
      </c>
      <c r="H4944">
        <f t="shared" ca="1" si="158"/>
        <v>1.28905448874235E-2</v>
      </c>
    </row>
    <row r="4945" spans="2:8" x14ac:dyDescent="0.3">
      <c r="B4945" s="113">
        <v>43955</v>
      </c>
      <c r="C4945">
        <v>174.05</v>
      </c>
      <c r="D4945">
        <f t="shared" si="157"/>
        <v>2.1382978723404253</v>
      </c>
      <c r="E4945">
        <v>-4.3943971436418566E-2</v>
      </c>
      <c r="G4945">
        <v>4943</v>
      </c>
      <c r="H4945">
        <f t="shared" ca="1" si="158"/>
        <v>-1.7974940981143054E-2</v>
      </c>
    </row>
    <row r="4946" spans="2:8" x14ac:dyDescent="0.3">
      <c r="B4946" s="113">
        <v>38919</v>
      </c>
      <c r="C4946">
        <v>55.46</v>
      </c>
      <c r="D4946">
        <f t="shared" si="157"/>
        <v>-0.72517343904856291</v>
      </c>
      <c r="E4946">
        <v>-4.4287437532310875E-2</v>
      </c>
      <c r="G4946">
        <v>4944</v>
      </c>
      <c r="H4946">
        <f t="shared" ca="1" si="158"/>
        <v>-2.7322396600073018E-2</v>
      </c>
    </row>
    <row r="4947" spans="2:8" x14ac:dyDescent="0.3">
      <c r="B4947" s="113">
        <v>42158</v>
      </c>
      <c r="C4947">
        <v>201.8</v>
      </c>
      <c r="D4947">
        <f t="shared" si="157"/>
        <v>2.8629402756508422</v>
      </c>
      <c r="E4947">
        <v>-4.4733727810650832E-2</v>
      </c>
      <c r="G4947">
        <v>4945</v>
      </c>
      <c r="H4947">
        <f t="shared" ca="1" si="158"/>
        <v>1.6987404097816471E-2</v>
      </c>
    </row>
    <row r="4948" spans="2:8" x14ac:dyDescent="0.3">
      <c r="B4948" s="113">
        <v>39310</v>
      </c>
      <c r="C4948">
        <v>52.24</v>
      </c>
      <c r="D4948">
        <f t="shared" si="157"/>
        <v>-0.78044885265192898</v>
      </c>
      <c r="E4948">
        <v>-4.4797952093618504E-2</v>
      </c>
      <c r="G4948">
        <v>4946</v>
      </c>
      <c r="H4948">
        <f t="shared" ca="1" si="158"/>
        <v>1.8914249582731232E-2</v>
      </c>
    </row>
    <row r="4949" spans="2:8" x14ac:dyDescent="0.3">
      <c r="B4949" s="113">
        <v>41480</v>
      </c>
      <c r="C4949">
        <v>237.94</v>
      </c>
      <c r="D4949">
        <f t="shared" si="157"/>
        <v>16.342565597667637</v>
      </c>
      <c r="E4949">
        <v>-4.4954643975274905E-2</v>
      </c>
      <c r="G4949">
        <v>4947</v>
      </c>
      <c r="H4949">
        <f t="shared" ca="1" si="158"/>
        <v>-8.28758779767679E-3</v>
      </c>
    </row>
    <row r="4950" spans="2:8" x14ac:dyDescent="0.3">
      <c r="B4950" s="113">
        <v>37461</v>
      </c>
      <c r="C4950">
        <v>13.72</v>
      </c>
      <c r="D4950">
        <f t="shared" si="157"/>
        <v>-0.93121082978190017</v>
      </c>
      <c r="E4950">
        <v>-4.5233124565066014E-2</v>
      </c>
      <c r="G4950">
        <v>4948</v>
      </c>
      <c r="H4950">
        <f t="shared" ca="1" si="158"/>
        <v>-1.0315017515427216E-2</v>
      </c>
    </row>
    <row r="4951" spans="2:8" x14ac:dyDescent="0.3">
      <c r="B4951" s="113">
        <v>41507</v>
      </c>
      <c r="C4951">
        <v>199.45</v>
      </c>
      <c r="D4951">
        <f t="shared" si="157"/>
        <v>2.5071215051872691</v>
      </c>
      <c r="E4951">
        <v>-4.5830741998756218E-2</v>
      </c>
      <c r="G4951">
        <v>4949</v>
      </c>
      <c r="H4951">
        <f t="shared" ca="1" si="158"/>
        <v>8.5083535012118149E-3</v>
      </c>
    </row>
    <row r="4952" spans="2:8" x14ac:dyDescent="0.3">
      <c r="B4952" s="113">
        <v>38859</v>
      </c>
      <c r="C4952">
        <v>56.87</v>
      </c>
      <c r="D4952">
        <f t="shared" si="157"/>
        <v>0.12457979038955896</v>
      </c>
      <c r="E4952">
        <v>-4.6285426798591399E-2</v>
      </c>
      <c r="G4952">
        <v>4950</v>
      </c>
      <c r="H4952">
        <f t="shared" ca="1" si="158"/>
        <v>1.9282136431354742E-2</v>
      </c>
    </row>
    <row r="4953" spans="2:8" x14ac:dyDescent="0.3">
      <c r="B4953" s="113">
        <v>38874</v>
      </c>
      <c r="C4953">
        <v>50.57</v>
      </c>
      <c r="D4953">
        <f t="shared" si="157"/>
        <v>1.2238346525945472</v>
      </c>
      <c r="E4953">
        <v>-4.6748350612629538E-2</v>
      </c>
      <c r="G4953">
        <v>4951</v>
      </c>
      <c r="H4953">
        <f t="shared" ca="1" si="158"/>
        <v>-8.3783443391554947E-3</v>
      </c>
    </row>
    <row r="4954" spans="2:8" x14ac:dyDescent="0.3">
      <c r="B4954" s="113">
        <v>38009</v>
      </c>
      <c r="C4954">
        <v>22.74</v>
      </c>
      <c r="D4954">
        <f t="shared" si="157"/>
        <v>-0.58488499452354881</v>
      </c>
      <c r="E4954">
        <v>-4.6940486169321081E-2</v>
      </c>
      <c r="G4954">
        <v>4952</v>
      </c>
      <c r="H4954">
        <f t="shared" ca="1" si="158"/>
        <v>2.8052429966334671E-3</v>
      </c>
    </row>
    <row r="4955" spans="2:8" x14ac:dyDescent="0.3">
      <c r="B4955" s="113">
        <v>39783</v>
      </c>
      <c r="C4955">
        <v>54.78</v>
      </c>
      <c r="D4955">
        <f t="shared" si="157"/>
        <v>2.989283699943605E-2</v>
      </c>
      <c r="E4955">
        <v>-4.7966631908237717E-2</v>
      </c>
      <c r="G4955">
        <v>4953</v>
      </c>
      <c r="H4955">
        <f t="shared" ca="1" si="158"/>
        <v>-4.9234105359853919E-3</v>
      </c>
    </row>
    <row r="4956" spans="2:8" x14ac:dyDescent="0.3">
      <c r="B4956" s="113">
        <v>39644</v>
      </c>
      <c r="C4956">
        <v>53.19</v>
      </c>
      <c r="D4956">
        <f t="shared" si="157"/>
        <v>-1.1267605633803245E-3</v>
      </c>
      <c r="E4956">
        <v>-4.8309178743961401E-2</v>
      </c>
      <c r="G4956">
        <v>4954</v>
      </c>
      <c r="H4956">
        <f t="shared" ca="1" si="158"/>
        <v>-1.7910640607554904E-2</v>
      </c>
    </row>
    <row r="4957" spans="2:8" x14ac:dyDescent="0.3">
      <c r="B4957" s="113">
        <v>39736</v>
      </c>
      <c r="C4957">
        <v>53.25</v>
      </c>
      <c r="D4957">
        <f t="shared" si="157"/>
        <v>-0.77226071336925839</v>
      </c>
      <c r="E4957">
        <v>-4.9107142857142856E-2</v>
      </c>
      <c r="G4957">
        <v>4955</v>
      </c>
      <c r="H4957">
        <f t="shared" ca="1" si="158"/>
        <v>-1.1935408704478002E-2</v>
      </c>
    </row>
    <row r="4958" spans="2:8" x14ac:dyDescent="0.3">
      <c r="B4958" s="113">
        <v>42025</v>
      </c>
      <c r="C4958">
        <v>233.82</v>
      </c>
      <c r="D4958">
        <f t="shared" si="157"/>
        <v>2.8180927498367079</v>
      </c>
      <c r="E4958">
        <v>-4.9589464271197529E-2</v>
      </c>
      <c r="G4958">
        <v>4956</v>
      </c>
      <c r="H4958">
        <f t="shared" ca="1" si="158"/>
        <v>-6.7979849509909691E-3</v>
      </c>
    </row>
    <row r="4959" spans="2:8" x14ac:dyDescent="0.3">
      <c r="B4959" s="113">
        <v>39708</v>
      </c>
      <c r="C4959">
        <v>61.24</v>
      </c>
      <c r="D4959">
        <f t="shared" si="157"/>
        <v>0.11426491994177586</v>
      </c>
      <c r="E4959">
        <v>-4.9658597144630598E-2</v>
      </c>
      <c r="G4959">
        <v>4957</v>
      </c>
      <c r="H4959">
        <f t="shared" ca="1" si="158"/>
        <v>-1.5982179805869447E-2</v>
      </c>
    </row>
    <row r="4960" spans="2:8" x14ac:dyDescent="0.3">
      <c r="B4960" s="113">
        <v>39729</v>
      </c>
      <c r="C4960">
        <v>54.96</v>
      </c>
      <c r="D4960">
        <f t="shared" si="157"/>
        <v>-0.75848127966250656</v>
      </c>
      <c r="E4960">
        <v>-4.9792531120331988E-2</v>
      </c>
      <c r="G4960">
        <v>4958</v>
      </c>
      <c r="H4960">
        <f t="shared" ca="1" si="158"/>
        <v>-1.8334035490237707E-2</v>
      </c>
    </row>
    <row r="4961" spans="2:8" x14ac:dyDescent="0.3">
      <c r="B4961" s="113">
        <v>42065</v>
      </c>
      <c r="C4961">
        <v>227.56</v>
      </c>
      <c r="D4961">
        <f t="shared" si="157"/>
        <v>2.5650947830173902</v>
      </c>
      <c r="E4961">
        <v>-5.0091835030889965E-2</v>
      </c>
      <c r="G4961">
        <v>4959</v>
      </c>
      <c r="H4961">
        <f t="shared" ca="1" si="158"/>
        <v>-1.890907558650241E-2</v>
      </c>
    </row>
    <row r="4962" spans="2:8" x14ac:dyDescent="0.3">
      <c r="B4962" s="113">
        <v>39510</v>
      </c>
      <c r="C4962">
        <v>63.83</v>
      </c>
      <c r="D4962">
        <f t="shared" si="157"/>
        <v>-4.6031983261096976E-2</v>
      </c>
      <c r="E4962">
        <v>-5.0290135396518311E-2</v>
      </c>
      <c r="G4962">
        <v>4960</v>
      </c>
      <c r="H4962">
        <f t="shared" ca="1" si="158"/>
        <v>8.5160682889623071E-3</v>
      </c>
    </row>
    <row r="4963" spans="2:8" x14ac:dyDescent="0.3">
      <c r="B4963" s="113">
        <v>39468</v>
      </c>
      <c r="C4963">
        <v>66.91</v>
      </c>
      <c r="D4963">
        <f t="shared" si="157"/>
        <v>-6.1175810298863473E-2</v>
      </c>
      <c r="E4963">
        <v>-5.0787345722797542E-2</v>
      </c>
      <c r="G4963">
        <v>4961</v>
      </c>
      <c r="H4963">
        <f t="shared" ca="1" si="158"/>
        <v>-2.9002907359315638E-3</v>
      </c>
    </row>
    <row r="4964" spans="2:8" x14ac:dyDescent="0.3">
      <c r="B4964" s="113">
        <v>39576</v>
      </c>
      <c r="C4964">
        <v>71.27</v>
      </c>
      <c r="D4964">
        <f t="shared" si="157"/>
        <v>-0.67985805408319122</v>
      </c>
      <c r="E4964">
        <v>-5.1377612138959132E-2</v>
      </c>
      <c r="G4964">
        <v>4962</v>
      </c>
      <c r="H4964">
        <f t="shared" ca="1" si="158"/>
        <v>-4.9171450496509001E-3</v>
      </c>
    </row>
    <row r="4965" spans="2:8" x14ac:dyDescent="0.3">
      <c r="B4965" s="113">
        <v>41407</v>
      </c>
      <c r="C4965">
        <v>222.62</v>
      </c>
      <c r="D4965">
        <f t="shared" si="157"/>
        <v>7.2350674373795817E-2</v>
      </c>
      <c r="E4965">
        <v>-5.1833553388134022E-2</v>
      </c>
      <c r="G4965">
        <v>4963</v>
      </c>
      <c r="H4965">
        <f t="shared" ca="1" si="158"/>
        <v>9.4757378692225096E-3</v>
      </c>
    </row>
    <row r="4966" spans="2:8" x14ac:dyDescent="0.3">
      <c r="B4966" s="113">
        <v>43864</v>
      </c>
      <c r="C4966">
        <v>207.6</v>
      </c>
      <c r="D4966">
        <f t="shared" si="157"/>
        <v>2.2791028273574474</v>
      </c>
      <c r="E4966">
        <v>-5.2054794520547974E-2</v>
      </c>
      <c r="G4966">
        <v>4964</v>
      </c>
      <c r="H4966">
        <f t="shared" ca="1" si="158"/>
        <v>1.6799975062728002E-2</v>
      </c>
    </row>
    <row r="4967" spans="2:8" x14ac:dyDescent="0.3">
      <c r="B4967" s="113">
        <v>38852</v>
      </c>
      <c r="C4967">
        <v>63.31</v>
      </c>
      <c r="D4967">
        <f t="shared" si="157"/>
        <v>-0.73129323882687491</v>
      </c>
      <c r="E4967">
        <v>-5.2103608324599544E-2</v>
      </c>
      <c r="G4967">
        <v>4965</v>
      </c>
      <c r="H4967">
        <f t="shared" ca="1" si="158"/>
        <v>2.3487259733092816E-2</v>
      </c>
    </row>
    <row r="4968" spans="2:8" x14ac:dyDescent="0.3">
      <c r="B4968" s="113">
        <v>41968</v>
      </c>
      <c r="C4968">
        <v>235.61</v>
      </c>
      <c r="D4968">
        <f t="shared" si="157"/>
        <v>3.8599422442244231</v>
      </c>
      <c r="E4968">
        <v>-5.2176361734652822E-2</v>
      </c>
      <c r="G4968">
        <v>4966</v>
      </c>
      <c r="H4968">
        <f t="shared" ca="1" si="158"/>
        <v>1.6625978398796212E-3</v>
      </c>
    </row>
    <row r="4969" spans="2:8" x14ac:dyDescent="0.3">
      <c r="B4969" s="113">
        <v>38881</v>
      </c>
      <c r="C4969">
        <v>48.48</v>
      </c>
      <c r="D4969">
        <f t="shared" si="157"/>
        <v>-0.34282228548190324</v>
      </c>
      <c r="E4969">
        <v>-5.2754982415005917E-2</v>
      </c>
      <c r="G4969">
        <v>4967</v>
      </c>
      <c r="H4969">
        <f t="shared" ca="1" si="158"/>
        <v>-6.8221114722512863E-3</v>
      </c>
    </row>
    <row r="4970" spans="2:8" x14ac:dyDescent="0.3">
      <c r="B4970" s="113">
        <v>40042</v>
      </c>
      <c r="C4970">
        <v>73.77</v>
      </c>
      <c r="D4970">
        <f t="shared" si="157"/>
        <v>-0.67089002899843853</v>
      </c>
      <c r="E4970">
        <v>-5.2773497688751919E-2</v>
      </c>
      <c r="G4970">
        <v>4968</v>
      </c>
      <c r="H4970">
        <f t="shared" ca="1" si="158"/>
        <v>8.8445157668725852E-3</v>
      </c>
    </row>
    <row r="4971" spans="2:8" x14ac:dyDescent="0.3">
      <c r="B4971" s="113">
        <v>41778</v>
      </c>
      <c r="C4971">
        <v>224.15</v>
      </c>
      <c r="D4971">
        <f t="shared" si="157"/>
        <v>0.10445922641044601</v>
      </c>
      <c r="E4971">
        <v>-5.2780594996619259E-2</v>
      </c>
      <c r="G4971">
        <v>4969</v>
      </c>
      <c r="H4971">
        <f t="shared" ca="1" si="158"/>
        <v>1.4908119869840863E-2</v>
      </c>
    </row>
    <row r="4972" spans="2:8" x14ac:dyDescent="0.3">
      <c r="B4972" s="113">
        <v>44186</v>
      </c>
      <c r="C4972">
        <v>202.95</v>
      </c>
      <c r="D4972">
        <f t="shared" si="157"/>
        <v>2.4012066365007536</v>
      </c>
      <c r="E4972">
        <v>-5.3846153846153898E-2</v>
      </c>
      <c r="G4972">
        <v>4970</v>
      </c>
      <c r="H4972">
        <f t="shared" ca="1" si="158"/>
        <v>1.2883134809126971E-2</v>
      </c>
    </row>
    <row r="4973" spans="2:8" x14ac:dyDescent="0.3">
      <c r="B4973" s="113">
        <v>39727</v>
      </c>
      <c r="C4973">
        <v>59.67</v>
      </c>
      <c r="D4973">
        <f t="shared" si="157"/>
        <v>-0.64494823277400926</v>
      </c>
      <c r="E4973">
        <v>-5.4807539996831946E-2</v>
      </c>
      <c r="G4973">
        <v>4971</v>
      </c>
      <c r="H4973">
        <f t="shared" ca="1" si="158"/>
        <v>6.8844331644151695E-3</v>
      </c>
    </row>
    <row r="4974" spans="2:8" x14ac:dyDescent="0.3">
      <c r="B4974" s="113">
        <v>41169</v>
      </c>
      <c r="C4974">
        <v>168.06</v>
      </c>
      <c r="D4974">
        <f t="shared" si="157"/>
        <v>1.6495349203846759</v>
      </c>
      <c r="E4974">
        <v>-5.499325236167342E-2</v>
      </c>
      <c r="G4974">
        <v>4972</v>
      </c>
      <c r="H4974">
        <f t="shared" ca="1" si="158"/>
        <v>7.1468507115817282E-3</v>
      </c>
    </row>
    <row r="4975" spans="2:8" x14ac:dyDescent="0.3">
      <c r="B4975" s="113">
        <v>39969</v>
      </c>
      <c r="C4975">
        <v>63.43</v>
      </c>
      <c r="D4975">
        <f t="shared" si="157"/>
        <v>-0.71095921622237412</v>
      </c>
      <c r="E4975">
        <v>-5.5539011316259636E-2</v>
      </c>
      <c r="G4975">
        <v>4973</v>
      </c>
      <c r="H4975">
        <f t="shared" ca="1" si="158"/>
        <v>2.2230540803475805E-3</v>
      </c>
    </row>
    <row r="4976" spans="2:8" x14ac:dyDescent="0.3">
      <c r="B4976" s="113">
        <v>44606</v>
      </c>
      <c r="C4976">
        <v>219.45</v>
      </c>
      <c r="D4976">
        <f t="shared" si="157"/>
        <v>-2.5099955575299891E-2</v>
      </c>
      <c r="E4976">
        <v>-5.592600559260056E-2</v>
      </c>
      <c r="G4976">
        <v>4974</v>
      </c>
      <c r="H4976">
        <f t="shared" ca="1" si="158"/>
        <v>-2.3438143161791925E-2</v>
      </c>
    </row>
    <row r="4977" spans="2:8" x14ac:dyDescent="0.3">
      <c r="B4977" s="113">
        <v>44497</v>
      </c>
      <c r="C4977">
        <v>225.1</v>
      </c>
      <c r="D4977">
        <f t="shared" si="157"/>
        <v>2.6625447445493</v>
      </c>
      <c r="E4977">
        <v>-5.5986579995806231E-2</v>
      </c>
      <c r="G4977">
        <v>4975</v>
      </c>
      <c r="H4977">
        <f t="shared" ca="1" si="158"/>
        <v>1.6342875033535785E-2</v>
      </c>
    </row>
    <row r="4978" spans="2:8" x14ac:dyDescent="0.3">
      <c r="B4978" s="113">
        <v>39407</v>
      </c>
      <c r="C4978">
        <v>61.46</v>
      </c>
      <c r="D4978">
        <f t="shared" si="157"/>
        <v>-0.62501525320317264</v>
      </c>
      <c r="E4978">
        <v>-5.7217364626476405E-2</v>
      </c>
      <c r="G4978">
        <v>4976</v>
      </c>
      <c r="H4978">
        <f t="shared" ca="1" si="158"/>
        <v>-1.7708190915819166E-2</v>
      </c>
    </row>
    <row r="4979" spans="2:8" x14ac:dyDescent="0.3">
      <c r="B4979" s="113">
        <v>43957</v>
      </c>
      <c r="C4979">
        <v>163.9</v>
      </c>
      <c r="D4979">
        <f t="shared" si="157"/>
        <v>2.1118283652933361</v>
      </c>
      <c r="E4979">
        <v>-5.7504312823461759E-2</v>
      </c>
      <c r="G4979">
        <v>4977</v>
      </c>
      <c r="H4979">
        <f t="shared" ca="1" si="158"/>
        <v>-8.8052845516003314E-3</v>
      </c>
    </row>
    <row r="4980" spans="2:8" x14ac:dyDescent="0.3">
      <c r="B4980" s="113">
        <v>39745</v>
      </c>
      <c r="C4980">
        <v>52.67</v>
      </c>
      <c r="D4980">
        <f t="shared" si="157"/>
        <v>-6.1475409836065503E-2</v>
      </c>
      <c r="E4980">
        <v>-5.7781753130590287E-2</v>
      </c>
      <c r="G4980">
        <v>4978</v>
      </c>
      <c r="H4980">
        <f t="shared" ca="1" si="158"/>
        <v>-2.2462799966606266E-2</v>
      </c>
    </row>
    <row r="4981" spans="2:8" x14ac:dyDescent="0.3">
      <c r="B4981" s="113">
        <v>39632</v>
      </c>
      <c r="C4981">
        <v>56.12</v>
      </c>
      <c r="D4981">
        <f t="shared" si="157"/>
        <v>-5.8862988428643383E-2</v>
      </c>
      <c r="E4981">
        <v>-5.8862988428643383E-2</v>
      </c>
      <c r="G4981">
        <v>4979</v>
      </c>
      <c r="H4981">
        <f t="shared" ca="1" si="158"/>
        <v>-4.0850667158683865E-2</v>
      </c>
    </row>
    <row r="4982" spans="2:8" x14ac:dyDescent="0.3">
      <c r="B4982" s="113">
        <v>38856</v>
      </c>
      <c r="C4982">
        <v>59.63</v>
      </c>
      <c r="D4982">
        <f t="shared" si="157"/>
        <v>-0.70087785302232253</v>
      </c>
      <c r="E4982">
        <v>-5.8869949494949447E-2</v>
      </c>
      <c r="G4982">
        <v>4980</v>
      </c>
      <c r="H4982">
        <f t="shared" ca="1" si="158"/>
        <v>5.2830163505205845E-3</v>
      </c>
    </row>
    <row r="4983" spans="2:8" x14ac:dyDescent="0.3">
      <c r="B4983" s="113">
        <v>41520</v>
      </c>
      <c r="C4983">
        <v>199.35</v>
      </c>
      <c r="D4983">
        <f t="shared" si="157"/>
        <v>-4.5258620689655249E-2</v>
      </c>
      <c r="E4983">
        <v>-6.1484864177769417E-2</v>
      </c>
      <c r="G4983">
        <v>4981</v>
      </c>
      <c r="H4983">
        <f t="shared" ca="1" si="158"/>
        <v>1.2880842649682108E-2</v>
      </c>
    </row>
    <row r="4984" spans="2:8" x14ac:dyDescent="0.3">
      <c r="B4984" s="113">
        <v>41813</v>
      </c>
      <c r="C4984">
        <v>208.8</v>
      </c>
      <c r="D4984">
        <f t="shared" si="157"/>
        <v>1.7120405247434733</v>
      </c>
      <c r="E4984">
        <v>-6.1783868793529539E-2</v>
      </c>
      <c r="G4984">
        <v>4982</v>
      </c>
      <c r="H4984">
        <f t="shared" ca="1" si="158"/>
        <v>8.9760544849703493E-3</v>
      </c>
    </row>
    <row r="4985" spans="2:8" x14ac:dyDescent="0.3">
      <c r="B4985" s="113">
        <v>40235</v>
      </c>
      <c r="C4985">
        <v>76.989999999999995</v>
      </c>
      <c r="D4985">
        <f t="shared" si="157"/>
        <v>0.55881757440777469</v>
      </c>
      <c r="E4985">
        <v>-6.1898379432192015E-2</v>
      </c>
      <c r="G4985">
        <v>4983</v>
      </c>
      <c r="H4985">
        <f t="shared" ca="1" si="158"/>
        <v>-1.5068678465575256E-2</v>
      </c>
    </row>
    <row r="4986" spans="2:8" x14ac:dyDescent="0.3">
      <c r="B4986" s="113">
        <v>39748</v>
      </c>
      <c r="C4986">
        <v>49.39</v>
      </c>
      <c r="D4986">
        <f t="shared" si="157"/>
        <v>-9.9215757796826523E-2</v>
      </c>
      <c r="E4986">
        <v>-6.2274539586102164E-2</v>
      </c>
      <c r="G4986">
        <v>4984</v>
      </c>
      <c r="H4986">
        <f t="shared" ca="1" si="158"/>
        <v>2.5682503308044253E-3</v>
      </c>
    </row>
    <row r="4987" spans="2:8" x14ac:dyDescent="0.3">
      <c r="B4987" s="113">
        <v>38868</v>
      </c>
      <c r="C4987">
        <v>54.83</v>
      </c>
      <c r="D4987">
        <f t="shared" si="157"/>
        <v>-0.77706850985972764</v>
      </c>
      <c r="E4987">
        <v>-6.2895231584344555E-2</v>
      </c>
      <c r="G4987">
        <v>4985</v>
      </c>
      <c r="H4987">
        <f t="shared" ca="1" si="158"/>
        <v>-5.9602023540299013E-3</v>
      </c>
    </row>
    <row r="4988" spans="2:8" x14ac:dyDescent="0.3">
      <c r="B4988" s="113">
        <v>44488</v>
      </c>
      <c r="C4988">
        <v>245.95</v>
      </c>
      <c r="D4988">
        <f t="shared" si="157"/>
        <v>3.0017897819720138</v>
      </c>
      <c r="E4988">
        <v>-6.3226052180537118E-2</v>
      </c>
      <c r="G4988">
        <v>4986</v>
      </c>
      <c r="H4988">
        <f t="shared" ca="1" si="158"/>
        <v>1.8745413770705495E-2</v>
      </c>
    </row>
    <row r="4989" spans="2:8" x14ac:dyDescent="0.3">
      <c r="B4989" s="113">
        <v>39489</v>
      </c>
      <c r="C4989">
        <v>61.46</v>
      </c>
      <c r="D4989">
        <f t="shared" si="157"/>
        <v>-2.9987373737373715E-2</v>
      </c>
      <c r="E4989">
        <v>-6.3538016151150317E-2</v>
      </c>
      <c r="G4989">
        <v>4987</v>
      </c>
      <c r="H4989">
        <f t="shared" ca="1" si="158"/>
        <v>-2.3839905367784041E-2</v>
      </c>
    </row>
    <row r="4990" spans="2:8" x14ac:dyDescent="0.3">
      <c r="B4990" s="113">
        <v>38855</v>
      </c>
      <c r="C4990">
        <v>63.36</v>
      </c>
      <c r="D4990">
        <f t="shared" si="157"/>
        <v>2.0682808716707024</v>
      </c>
      <c r="E4990">
        <v>-6.4382752510336677E-2</v>
      </c>
      <c r="G4990">
        <v>4988</v>
      </c>
      <c r="H4990">
        <f t="shared" ca="1" si="158"/>
        <v>1.6055473293867254E-2</v>
      </c>
    </row>
    <row r="4991" spans="2:8" x14ac:dyDescent="0.3">
      <c r="B4991" s="113">
        <v>38118</v>
      </c>
      <c r="C4991">
        <v>20.65</v>
      </c>
      <c r="D4991">
        <f t="shared" si="157"/>
        <v>-0.90065906576225518</v>
      </c>
      <c r="E4991">
        <v>-6.5187867813490327E-2</v>
      </c>
      <c r="G4991">
        <v>4989</v>
      </c>
      <c r="H4991">
        <f t="shared" ca="1" si="158"/>
        <v>1.5865871196372661E-2</v>
      </c>
    </row>
    <row r="4992" spans="2:8" x14ac:dyDescent="0.3">
      <c r="B4992" s="113">
        <v>42345</v>
      </c>
      <c r="C4992">
        <v>207.87</v>
      </c>
      <c r="D4992">
        <f t="shared" si="157"/>
        <v>-5.0821917808219159E-2</v>
      </c>
      <c r="E4992">
        <v>-6.6675646551724116E-2</v>
      </c>
      <c r="G4992">
        <v>4990</v>
      </c>
      <c r="H4992">
        <f t="shared" ca="1" si="158"/>
        <v>-1.6985046230344608E-2</v>
      </c>
    </row>
    <row r="4993" spans="2:8" x14ac:dyDescent="0.3">
      <c r="B4993" s="113">
        <v>43862</v>
      </c>
      <c r="C4993">
        <v>219</v>
      </c>
      <c r="D4993">
        <f t="shared" si="157"/>
        <v>2.4690321558688422</v>
      </c>
      <c r="E4993">
        <v>-6.8679566234318548E-2</v>
      </c>
      <c r="G4993">
        <v>4991</v>
      </c>
      <c r="H4993">
        <f t="shared" ca="1" si="158"/>
        <v>-8.1770663889806604E-3</v>
      </c>
    </row>
    <row r="4994" spans="2:8" x14ac:dyDescent="0.3">
      <c r="B4994" s="113">
        <v>39952</v>
      </c>
      <c r="C4994">
        <v>63.13</v>
      </c>
      <c r="D4994">
        <f t="shared" si="157"/>
        <v>-0.73647520454165971</v>
      </c>
      <c r="E4994">
        <v>-7.8797606887494501E-2</v>
      </c>
      <c r="G4994">
        <v>4992</v>
      </c>
      <c r="H4994">
        <f t="shared" ca="1" si="158"/>
        <v>-1.4435104660331155E-2</v>
      </c>
    </row>
    <row r="4995" spans="2:8" x14ac:dyDescent="0.3">
      <c r="B4995" s="113">
        <v>42063</v>
      </c>
      <c r="C4995">
        <v>239.56</v>
      </c>
      <c r="D4995">
        <f t="shared" ref="D4995:D5001" si="159">(C4995-C4996)/C4996</f>
        <v>0.62689303904923599</v>
      </c>
      <c r="E4995">
        <v>-8.2180759357878969E-2</v>
      </c>
      <c r="G4995">
        <v>4993</v>
      </c>
      <c r="H4995">
        <f t="shared" ca="1" si="158"/>
        <v>6.5192923682595326E-3</v>
      </c>
    </row>
    <row r="4996" spans="2:8" x14ac:dyDescent="0.3">
      <c r="B4996" s="113">
        <v>43906</v>
      </c>
      <c r="C4996">
        <v>147.25</v>
      </c>
      <c r="D4996">
        <f t="shared" si="159"/>
        <v>1.4286656770575623</v>
      </c>
      <c r="E4996">
        <v>-9.2449922958397532E-2</v>
      </c>
      <c r="G4996">
        <v>4994</v>
      </c>
      <c r="H4996">
        <f t="shared" ref="H4996:H5002" ca="1" si="160">_xlfn.NORM.INV(RAND(),$L$4,$L$6)</f>
        <v>1.614538864423487E-3</v>
      </c>
    </row>
    <row r="4997" spans="2:8" x14ac:dyDescent="0.3">
      <c r="B4997" s="113">
        <v>39469</v>
      </c>
      <c r="C4997">
        <v>60.63</v>
      </c>
      <c r="D4997">
        <f t="shared" si="159"/>
        <v>2.3167396061269145</v>
      </c>
      <c r="E4997">
        <v>-9.3857420415483395E-2</v>
      </c>
      <c r="G4997">
        <v>4995</v>
      </c>
      <c r="H4997">
        <f t="shared" ca="1" si="160"/>
        <v>2.5193365687153284E-2</v>
      </c>
    </row>
    <row r="4998" spans="2:8" x14ac:dyDescent="0.3">
      <c r="B4998" s="113">
        <v>38124</v>
      </c>
      <c r="C4998">
        <v>18.28</v>
      </c>
      <c r="D4998">
        <f t="shared" si="159"/>
        <v>-0.88267008985879336</v>
      </c>
      <c r="E4998">
        <v>-9.772951628825273E-2</v>
      </c>
      <c r="G4998">
        <v>4996</v>
      </c>
      <c r="H4998">
        <f t="shared" ca="1" si="160"/>
        <v>2.9845497781992177E-3</v>
      </c>
    </row>
    <row r="4999" spans="2:8" x14ac:dyDescent="0.3">
      <c r="B4999" s="113">
        <v>43902</v>
      </c>
      <c r="C4999">
        <v>155.80000000000001</v>
      </c>
      <c r="D4999">
        <f t="shared" si="159"/>
        <v>9.7213220998055728E-3</v>
      </c>
      <c r="E4999">
        <v>-0.11300882436663816</v>
      </c>
      <c r="G4999">
        <v>4997</v>
      </c>
      <c r="H4999">
        <f t="shared" ca="1" si="160"/>
        <v>-1.6203862656329754E-2</v>
      </c>
    </row>
    <row r="5000" spans="2:8" x14ac:dyDescent="0.3">
      <c r="B5000" s="113">
        <v>43913</v>
      </c>
      <c r="C5000">
        <v>154.30000000000001</v>
      </c>
      <c r="D5000">
        <f t="shared" si="159"/>
        <v>-0.45774029168863117</v>
      </c>
      <c r="E5000">
        <v>-0.12079772079772073</v>
      </c>
      <c r="G5000">
        <v>4998</v>
      </c>
      <c r="H5000">
        <f t="shared" ca="1" si="160"/>
        <v>6.1843606983126359E-3</v>
      </c>
    </row>
    <row r="5001" spans="2:8" x14ac:dyDescent="0.3">
      <c r="B5001" s="113">
        <v>42934</v>
      </c>
      <c r="C5001">
        <v>284.55</v>
      </c>
      <c r="D5001">
        <f t="shared" si="159"/>
        <v>19.739795918367346</v>
      </c>
      <c r="E5001">
        <v>-0.12486544671689979</v>
      </c>
      <c r="G5001">
        <v>4999</v>
      </c>
      <c r="H5001">
        <f t="shared" ca="1" si="160"/>
        <v>-2.4903471335733867E-3</v>
      </c>
    </row>
    <row r="5002" spans="2:8" x14ac:dyDescent="0.3">
      <c r="B5002" s="113">
        <v>37428</v>
      </c>
      <c r="C5002">
        <v>13.72</v>
      </c>
      <c r="G5002">
        <v>5000</v>
      </c>
      <c r="H5002">
        <f t="shared" ca="1" si="160"/>
        <v>6.9833012736476505E-3</v>
      </c>
    </row>
  </sheetData>
  <autoFilter ref="B2:E5002" xr:uid="{150C71A8-B9BB-4E2C-ACF3-55E55D477718}">
    <sortState xmlns:xlrd2="http://schemas.microsoft.com/office/spreadsheetml/2017/richdata2" ref="B3:E5002">
      <sortCondition descending="1" ref="E2:E5002"/>
    </sortState>
  </autoFilter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CFEE-C5DE-43CA-B4CF-34F978C8EBC0}">
  <dimension ref="A1"/>
  <sheetViews>
    <sheetView topLeftCell="A2" workbookViewId="0">
      <selection activeCell="H28" sqref="H27:H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Financials&gt;</vt:lpstr>
      <vt:lpstr>HistoricalFS</vt:lpstr>
      <vt:lpstr>Data&gt;</vt:lpstr>
      <vt:lpstr>Data Sheet</vt:lpstr>
      <vt:lpstr>Cash Flow Data</vt:lpstr>
      <vt:lpstr>DCF Model&gt;</vt:lpstr>
      <vt:lpstr>Raw FS </vt:lpstr>
      <vt:lpstr>Beta Regression</vt:lpstr>
      <vt:lpstr>Rm </vt:lpstr>
      <vt:lpstr>Intrinsic Growth</vt:lpstr>
      <vt:lpstr>WACC</vt:lpstr>
      <vt:lpstr>DCF</vt:lpstr>
      <vt:lpstr>Comparable Comps </vt:lpstr>
      <vt:lpstr>Football Field Analysis </vt:lpstr>
      <vt:lpstr>Value at Risk </vt:lpstr>
      <vt:lpstr>Sheet5</vt:lpstr>
      <vt:lpstr>WACC!Print_Area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Avinash Meena</cp:lastModifiedBy>
  <cp:lastPrinted>2026-06-20T17:28:33Z</cp:lastPrinted>
  <dcterms:created xsi:type="dcterms:W3CDTF">2023-01-14T08:22:33Z</dcterms:created>
  <dcterms:modified xsi:type="dcterms:W3CDTF">2026-07-07T14:43:53Z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